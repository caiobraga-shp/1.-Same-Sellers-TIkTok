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PEBR4026\Documents\Projetos\2026\1. Same Sellers TIkTok\analyses\"/>
    </mc:Choice>
  </mc:AlternateContent>
  <xr:revisionPtr revIDLastSave="0" documentId="13_ncr:1_{4EC9322C-B662-4D65-BF1B-9CF7EEF33CDD}" xr6:coauthVersionLast="47" xr6:coauthVersionMax="47" xr10:uidLastSave="{00000000-0000-0000-0000-000000000000}"/>
  <bookViews>
    <workbookView xWindow="-110" yWindow="-110" windowWidth="19420" windowHeight="10300" activeTab="1" xr2:uid="{1428BCCE-210F-470D-82F1-753F6276DB46}"/>
  </bookViews>
  <sheets>
    <sheet name="Cover" sheetId="11" r:id="rId1"/>
    <sheet name="Analysis Table" sheetId="15" r:id="rId2"/>
    <sheet name="Analysis Table dup" sheetId="16" r:id="rId3"/>
    <sheet name="Validate" sheetId="9" r:id="rId4"/>
    <sheet name="TTS to Shp" sheetId="6" r:id="rId5"/>
    <sheet name="Shp to TTS" sheetId="7" r:id="rId6"/>
    <sheet name="Shp 500" sheetId="4" r:id="rId7"/>
    <sheet name="Fastmoss 500" sheetId="3" r:id="rId8"/>
    <sheet name="Same Seller Hist" sheetId="1" r:id="rId9"/>
    <sheet name="Same Seller Perf" sheetId="2" r:id="rId10"/>
  </sheets>
  <definedNames>
    <definedName name="_xlnm._FilterDatabase" localSheetId="1" hidden="1">'Analysis Table'!$C$7:$Q$363</definedName>
    <definedName name="_xlnm._FilterDatabase" localSheetId="2" hidden="1">'Analysis Table dup'!$C$7:$Q$422</definedName>
    <definedName name="_xlnm._FilterDatabase" localSheetId="7" hidden="1">'Fastmoss 500'!$C$7:$R$507</definedName>
    <definedName name="_xlnm._FilterDatabase" localSheetId="8" hidden="1">'Same Seller Hist'!$C$7:$M$1051</definedName>
    <definedName name="_xlnm._FilterDatabase" localSheetId="6" hidden="1">'Shp 500'!$C$7:$M$507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22" i="16" l="1"/>
  <c r="H422" i="16"/>
  <c r="G422" i="16"/>
  <c r="E422" i="16"/>
  <c r="D422" i="16"/>
  <c r="C422" i="16"/>
  <c r="N421" i="16"/>
  <c r="M421" i="16"/>
  <c r="O421" i="16" s="1"/>
  <c r="I421" i="16"/>
  <c r="P421" i="16" s="1"/>
  <c r="H421" i="16"/>
  <c r="G421" i="16"/>
  <c r="E421" i="16"/>
  <c r="D421" i="16"/>
  <c r="C421" i="16"/>
  <c r="N420" i="16"/>
  <c r="E420" i="16"/>
  <c r="D420" i="16"/>
  <c r="C420" i="16"/>
  <c r="N419" i="16"/>
  <c r="I419" i="16"/>
  <c r="P419" i="16" s="1"/>
  <c r="H419" i="16"/>
  <c r="G419" i="16"/>
  <c r="E419" i="16"/>
  <c r="D419" i="16"/>
  <c r="C419" i="16"/>
  <c r="M419" i="16" s="1"/>
  <c r="O419" i="16" s="1"/>
  <c r="N178" i="16"/>
  <c r="E178" i="16"/>
  <c r="D178" i="16"/>
  <c r="C178" i="16"/>
  <c r="M178" i="16" s="1"/>
  <c r="O178" i="16" s="1"/>
  <c r="N417" i="16"/>
  <c r="E417" i="16"/>
  <c r="D417" i="16"/>
  <c r="C417" i="16"/>
  <c r="G417" i="16" s="1"/>
  <c r="N416" i="16"/>
  <c r="E416" i="16"/>
  <c r="D416" i="16"/>
  <c r="C416" i="16"/>
  <c r="G416" i="16" s="1"/>
  <c r="N415" i="16"/>
  <c r="E415" i="16"/>
  <c r="D415" i="16"/>
  <c r="C415" i="16"/>
  <c r="M415" i="16" s="1"/>
  <c r="O415" i="16" s="1"/>
  <c r="N277" i="16"/>
  <c r="E277" i="16"/>
  <c r="D277" i="16"/>
  <c r="C277" i="16"/>
  <c r="M277" i="16" s="1"/>
  <c r="O277" i="16" s="1"/>
  <c r="N413" i="16"/>
  <c r="E413" i="16"/>
  <c r="D413" i="16"/>
  <c r="C413" i="16"/>
  <c r="M413" i="16" s="1"/>
  <c r="O413" i="16" s="1"/>
  <c r="N412" i="16"/>
  <c r="E412" i="16"/>
  <c r="D412" i="16"/>
  <c r="C412" i="16"/>
  <c r="N411" i="16"/>
  <c r="G411" i="16"/>
  <c r="E411" i="16"/>
  <c r="D411" i="16"/>
  <c r="C411" i="16"/>
  <c r="M411" i="16" s="1"/>
  <c r="O411" i="16" s="1"/>
  <c r="N410" i="16"/>
  <c r="E410" i="16"/>
  <c r="D410" i="16"/>
  <c r="C410" i="16"/>
  <c r="M410" i="16" s="1"/>
  <c r="O410" i="16" s="1"/>
  <c r="N409" i="16"/>
  <c r="E409" i="16"/>
  <c r="D409" i="16"/>
  <c r="C409" i="16"/>
  <c r="G409" i="16" s="1"/>
  <c r="N408" i="16"/>
  <c r="E408" i="16"/>
  <c r="D408" i="16"/>
  <c r="C408" i="16"/>
  <c r="H408" i="16" s="1"/>
  <c r="N407" i="16"/>
  <c r="E407" i="16"/>
  <c r="D407" i="16"/>
  <c r="C407" i="16"/>
  <c r="M407" i="16" s="1"/>
  <c r="O407" i="16" s="1"/>
  <c r="N406" i="16"/>
  <c r="E406" i="16"/>
  <c r="D406" i="16"/>
  <c r="C406" i="16"/>
  <c r="M406" i="16" s="1"/>
  <c r="O406" i="16" s="1"/>
  <c r="N405" i="16"/>
  <c r="M405" i="16"/>
  <c r="O405" i="16" s="1"/>
  <c r="E405" i="16"/>
  <c r="D405" i="16"/>
  <c r="C405" i="16"/>
  <c r="I405" i="16" s="1"/>
  <c r="P405" i="16" s="1"/>
  <c r="N404" i="16"/>
  <c r="E404" i="16"/>
  <c r="D404" i="16"/>
  <c r="C404" i="16"/>
  <c r="N403" i="16"/>
  <c r="E403" i="16"/>
  <c r="D403" i="16"/>
  <c r="C403" i="16"/>
  <c r="M403" i="16" s="1"/>
  <c r="O403" i="16" s="1"/>
  <c r="N402" i="16"/>
  <c r="E402" i="16"/>
  <c r="D402" i="16"/>
  <c r="C402" i="16"/>
  <c r="M402" i="16" s="1"/>
  <c r="N401" i="16"/>
  <c r="E401" i="16"/>
  <c r="D401" i="16"/>
  <c r="C401" i="16"/>
  <c r="G401" i="16" s="1"/>
  <c r="N400" i="16"/>
  <c r="E400" i="16"/>
  <c r="D400" i="16"/>
  <c r="C400" i="16"/>
  <c r="I400" i="16" s="1"/>
  <c r="P400" i="16" s="1"/>
  <c r="N399" i="16"/>
  <c r="E399" i="16"/>
  <c r="D399" i="16"/>
  <c r="C399" i="16"/>
  <c r="M399" i="16" s="1"/>
  <c r="N398" i="16"/>
  <c r="E398" i="16"/>
  <c r="D398" i="16"/>
  <c r="C398" i="16"/>
  <c r="M398" i="16" s="1"/>
  <c r="O398" i="16" s="1"/>
  <c r="N397" i="16"/>
  <c r="E397" i="16"/>
  <c r="D397" i="16"/>
  <c r="C397" i="16"/>
  <c r="I397" i="16" s="1"/>
  <c r="P397" i="16" s="1"/>
  <c r="N396" i="16"/>
  <c r="E396" i="16"/>
  <c r="D396" i="16"/>
  <c r="C396" i="16"/>
  <c r="N395" i="16"/>
  <c r="E395" i="16"/>
  <c r="D395" i="16"/>
  <c r="C395" i="16"/>
  <c r="M395" i="16" s="1"/>
  <c r="O395" i="16" s="1"/>
  <c r="N394" i="16"/>
  <c r="E394" i="16"/>
  <c r="D394" i="16"/>
  <c r="C394" i="16"/>
  <c r="M394" i="16" s="1"/>
  <c r="O394" i="16" s="1"/>
  <c r="N393" i="16"/>
  <c r="E393" i="16"/>
  <c r="D393" i="16"/>
  <c r="C393" i="16"/>
  <c r="G393" i="16" s="1"/>
  <c r="N392" i="16"/>
  <c r="E392" i="16"/>
  <c r="D392" i="16"/>
  <c r="C392" i="16"/>
  <c r="M392" i="16" s="1"/>
  <c r="O392" i="16" s="1"/>
  <c r="N391" i="16"/>
  <c r="M391" i="16"/>
  <c r="E391" i="16"/>
  <c r="D391" i="16"/>
  <c r="C391" i="16"/>
  <c r="N390" i="16"/>
  <c r="E390" i="16"/>
  <c r="D390" i="16"/>
  <c r="C390" i="16"/>
  <c r="M390" i="16" s="1"/>
  <c r="O390" i="16" s="1"/>
  <c r="N389" i="16"/>
  <c r="E389" i="16"/>
  <c r="D389" i="16"/>
  <c r="C389" i="16"/>
  <c r="M389" i="16" s="1"/>
  <c r="N133" i="16"/>
  <c r="E133" i="16"/>
  <c r="D133" i="16"/>
  <c r="C133" i="16"/>
  <c r="N387" i="16"/>
  <c r="E387" i="16"/>
  <c r="D387" i="16"/>
  <c r="C387" i="16"/>
  <c r="M387" i="16" s="1"/>
  <c r="N386" i="16"/>
  <c r="E386" i="16"/>
  <c r="D386" i="16"/>
  <c r="C386" i="16"/>
  <c r="I386" i="16" s="1"/>
  <c r="P386" i="16" s="1"/>
  <c r="N385" i="16"/>
  <c r="E385" i="16"/>
  <c r="D385" i="16"/>
  <c r="C385" i="16"/>
  <c r="G385" i="16" s="1"/>
  <c r="N384" i="16"/>
  <c r="E384" i="16"/>
  <c r="D384" i="16"/>
  <c r="C384" i="16"/>
  <c r="M384" i="16" s="1"/>
  <c r="O384" i="16" s="1"/>
  <c r="N383" i="16"/>
  <c r="E383" i="16"/>
  <c r="D383" i="16"/>
  <c r="C383" i="16"/>
  <c r="N382" i="16"/>
  <c r="E382" i="16"/>
  <c r="D382" i="16"/>
  <c r="C382" i="16"/>
  <c r="M382" i="16" s="1"/>
  <c r="O382" i="16" s="1"/>
  <c r="N381" i="16"/>
  <c r="E381" i="16"/>
  <c r="D381" i="16"/>
  <c r="C381" i="16"/>
  <c r="M381" i="16" s="1"/>
  <c r="N380" i="16"/>
  <c r="E380" i="16"/>
  <c r="D380" i="16"/>
  <c r="C380" i="16"/>
  <c r="N379" i="16"/>
  <c r="H379" i="16"/>
  <c r="G379" i="16"/>
  <c r="E379" i="16"/>
  <c r="D379" i="16"/>
  <c r="C379" i="16"/>
  <c r="M379" i="16" s="1"/>
  <c r="N378" i="16"/>
  <c r="E378" i="16"/>
  <c r="D378" i="16"/>
  <c r="C378" i="16"/>
  <c r="H378" i="16" s="1"/>
  <c r="N377" i="16"/>
  <c r="E377" i="16"/>
  <c r="D377" i="16"/>
  <c r="C377" i="16"/>
  <c r="G377" i="16" s="1"/>
  <c r="N376" i="16"/>
  <c r="I376" i="16"/>
  <c r="P376" i="16" s="1"/>
  <c r="H376" i="16"/>
  <c r="E376" i="16"/>
  <c r="D376" i="16"/>
  <c r="C376" i="16"/>
  <c r="G376" i="16" s="1"/>
  <c r="N375" i="16"/>
  <c r="M375" i="16"/>
  <c r="I375" i="16"/>
  <c r="P375" i="16" s="1"/>
  <c r="E375" i="16"/>
  <c r="D375" i="16"/>
  <c r="C375" i="16"/>
  <c r="N374" i="16"/>
  <c r="E374" i="16"/>
  <c r="D374" i="16"/>
  <c r="C374" i="16"/>
  <c r="H374" i="16" s="1"/>
  <c r="N373" i="16"/>
  <c r="E373" i="16"/>
  <c r="D373" i="16"/>
  <c r="C373" i="16"/>
  <c r="M373" i="16" s="1"/>
  <c r="N237" i="16"/>
  <c r="E237" i="16"/>
  <c r="D237" i="16"/>
  <c r="C237" i="16"/>
  <c r="N165" i="16"/>
  <c r="H165" i="16"/>
  <c r="G165" i="16"/>
  <c r="E165" i="16"/>
  <c r="D165" i="16"/>
  <c r="C165" i="16"/>
  <c r="M165" i="16" s="1"/>
  <c r="N370" i="16"/>
  <c r="E370" i="16"/>
  <c r="D370" i="16"/>
  <c r="C370" i="16"/>
  <c r="M370" i="16" s="1"/>
  <c r="N369" i="16"/>
  <c r="E369" i="16"/>
  <c r="D369" i="16"/>
  <c r="C369" i="16"/>
  <c r="N368" i="16"/>
  <c r="M368" i="16"/>
  <c r="H368" i="16"/>
  <c r="G368" i="16"/>
  <c r="E368" i="16"/>
  <c r="D368" i="16"/>
  <c r="C368" i="16"/>
  <c r="I368" i="16" s="1"/>
  <c r="P368" i="16" s="1"/>
  <c r="N85" i="16"/>
  <c r="M85" i="16"/>
  <c r="E85" i="16"/>
  <c r="D85" i="16"/>
  <c r="C85" i="16"/>
  <c r="N366" i="16"/>
  <c r="E366" i="16"/>
  <c r="D366" i="16"/>
  <c r="C366" i="16"/>
  <c r="N365" i="16"/>
  <c r="E365" i="16"/>
  <c r="D365" i="16"/>
  <c r="C365" i="16"/>
  <c r="M365" i="16" s="1"/>
  <c r="N364" i="16"/>
  <c r="E364" i="16"/>
  <c r="D364" i="16"/>
  <c r="C364" i="16"/>
  <c r="N363" i="16"/>
  <c r="E363" i="16"/>
  <c r="D363" i="16"/>
  <c r="C363" i="16"/>
  <c r="M363" i="16" s="1"/>
  <c r="O363" i="16" s="1"/>
  <c r="N362" i="16"/>
  <c r="E362" i="16"/>
  <c r="D362" i="16"/>
  <c r="C362" i="16"/>
  <c r="I362" i="16" s="1"/>
  <c r="P362" i="16" s="1"/>
  <c r="N361" i="16"/>
  <c r="E361" i="16"/>
  <c r="D361" i="16"/>
  <c r="C361" i="16"/>
  <c r="N360" i="16"/>
  <c r="H360" i="16"/>
  <c r="G360" i="16"/>
  <c r="E360" i="16"/>
  <c r="D360" i="16"/>
  <c r="C360" i="16"/>
  <c r="M360" i="16" s="1"/>
  <c r="O360" i="16" s="1"/>
  <c r="N22" i="16"/>
  <c r="E22" i="16"/>
  <c r="D22" i="16"/>
  <c r="C22" i="16"/>
  <c r="N358" i="16"/>
  <c r="E358" i="16"/>
  <c r="D358" i="16"/>
  <c r="C358" i="16"/>
  <c r="N357" i="16"/>
  <c r="H357" i="16"/>
  <c r="E357" i="16"/>
  <c r="D357" i="16"/>
  <c r="C357" i="16"/>
  <c r="M357" i="16" s="1"/>
  <c r="N356" i="16"/>
  <c r="E356" i="16"/>
  <c r="D356" i="16"/>
  <c r="C356" i="16"/>
  <c r="N355" i="16"/>
  <c r="E355" i="16"/>
  <c r="D355" i="16"/>
  <c r="C355" i="16"/>
  <c r="M355" i="16" s="1"/>
  <c r="O355" i="16" s="1"/>
  <c r="N354" i="16"/>
  <c r="E354" i="16"/>
  <c r="D354" i="16"/>
  <c r="C354" i="16"/>
  <c r="M354" i="16" s="1"/>
  <c r="O354" i="16" s="1"/>
  <c r="N353" i="16"/>
  <c r="G353" i="16"/>
  <c r="E353" i="16"/>
  <c r="D353" i="16"/>
  <c r="C353" i="16"/>
  <c r="N352" i="16"/>
  <c r="I352" i="16"/>
  <c r="P352" i="16" s="1"/>
  <c r="H352" i="16"/>
  <c r="E352" i="16"/>
  <c r="D352" i="16"/>
  <c r="C352" i="16"/>
  <c r="M352" i="16" s="1"/>
  <c r="O352" i="16" s="1"/>
  <c r="N351" i="16"/>
  <c r="E351" i="16"/>
  <c r="D351" i="16"/>
  <c r="C351" i="16"/>
  <c r="N189" i="16"/>
  <c r="E189" i="16"/>
  <c r="D189" i="16"/>
  <c r="C189" i="16"/>
  <c r="H189" i="16" s="1"/>
  <c r="N49" i="16"/>
  <c r="H49" i="16"/>
  <c r="G49" i="16"/>
  <c r="E49" i="16"/>
  <c r="D49" i="16"/>
  <c r="C49" i="16"/>
  <c r="M49" i="16" s="1"/>
  <c r="N348" i="16"/>
  <c r="E348" i="16"/>
  <c r="D348" i="16"/>
  <c r="C348" i="16"/>
  <c r="M348" i="16" s="1"/>
  <c r="O348" i="16" s="1"/>
  <c r="N347" i="16"/>
  <c r="E347" i="16"/>
  <c r="D347" i="16"/>
  <c r="C347" i="16"/>
  <c r="M347" i="16" s="1"/>
  <c r="N346" i="16"/>
  <c r="E346" i="16"/>
  <c r="D346" i="16"/>
  <c r="C346" i="16"/>
  <c r="H346" i="16" s="1"/>
  <c r="N345" i="16"/>
  <c r="E345" i="16"/>
  <c r="D345" i="16"/>
  <c r="C345" i="16"/>
  <c r="N344" i="16"/>
  <c r="G344" i="16"/>
  <c r="E344" i="16"/>
  <c r="D344" i="16"/>
  <c r="C344" i="16"/>
  <c r="M344" i="16" s="1"/>
  <c r="N343" i="16"/>
  <c r="E343" i="16"/>
  <c r="D343" i="16"/>
  <c r="C343" i="16"/>
  <c r="M343" i="16" s="1"/>
  <c r="O343" i="16" s="1"/>
  <c r="N342" i="16"/>
  <c r="E342" i="16"/>
  <c r="D342" i="16"/>
  <c r="C342" i="16"/>
  <c r="N341" i="16"/>
  <c r="E341" i="16"/>
  <c r="D341" i="16"/>
  <c r="C341" i="16"/>
  <c r="N340" i="16"/>
  <c r="E340" i="16"/>
  <c r="D340" i="16"/>
  <c r="C340" i="16"/>
  <c r="N339" i="16"/>
  <c r="E339" i="16"/>
  <c r="D339" i="16"/>
  <c r="C339" i="16"/>
  <c r="M339" i="16" s="1"/>
  <c r="O339" i="16" s="1"/>
  <c r="N338" i="16"/>
  <c r="E338" i="16"/>
  <c r="D338" i="16"/>
  <c r="C338" i="16"/>
  <c r="M338" i="16" s="1"/>
  <c r="O338" i="16" s="1"/>
  <c r="N337" i="16"/>
  <c r="E337" i="16"/>
  <c r="D337" i="16"/>
  <c r="C337" i="16"/>
  <c r="H337" i="16" s="1"/>
  <c r="N336" i="16"/>
  <c r="E336" i="16"/>
  <c r="D336" i="16"/>
  <c r="C336" i="16"/>
  <c r="M336" i="16" s="1"/>
  <c r="N335" i="16"/>
  <c r="E335" i="16"/>
  <c r="D335" i="16"/>
  <c r="C335" i="16"/>
  <c r="N257" i="16"/>
  <c r="E257" i="16"/>
  <c r="D257" i="16"/>
  <c r="C257" i="16"/>
  <c r="G257" i="16" s="1"/>
  <c r="N333" i="16"/>
  <c r="E333" i="16"/>
  <c r="D333" i="16"/>
  <c r="C333" i="16"/>
  <c r="N117" i="16"/>
  <c r="E117" i="16"/>
  <c r="D117" i="16"/>
  <c r="C117" i="16"/>
  <c r="M117" i="16" s="1"/>
  <c r="O117" i="16" s="1"/>
  <c r="N331" i="16"/>
  <c r="E331" i="16"/>
  <c r="D331" i="16"/>
  <c r="C331" i="16"/>
  <c r="M331" i="16" s="1"/>
  <c r="N15" i="16"/>
  <c r="H15" i="16"/>
  <c r="E15" i="16"/>
  <c r="D15" i="16"/>
  <c r="C15" i="16"/>
  <c r="M15" i="16" s="1"/>
  <c r="O15" i="16" s="1"/>
  <c r="N329" i="16"/>
  <c r="E329" i="16"/>
  <c r="D329" i="16"/>
  <c r="C329" i="16"/>
  <c r="H329" i="16" s="1"/>
  <c r="N328" i="16"/>
  <c r="E328" i="16"/>
  <c r="D328" i="16"/>
  <c r="C328" i="16"/>
  <c r="M328" i="16" s="1"/>
  <c r="N388" i="16"/>
  <c r="E388" i="16"/>
  <c r="D388" i="16"/>
  <c r="C388" i="16"/>
  <c r="I388" i="16" s="1"/>
  <c r="P388" i="16" s="1"/>
  <c r="N326" i="16"/>
  <c r="E326" i="16"/>
  <c r="D326" i="16"/>
  <c r="C326" i="16"/>
  <c r="I326" i="16" s="1"/>
  <c r="P326" i="16" s="1"/>
  <c r="N325" i="16"/>
  <c r="E325" i="16"/>
  <c r="D325" i="16"/>
  <c r="C325" i="16"/>
  <c r="G325" i="16" s="1"/>
  <c r="N324" i="16"/>
  <c r="M324" i="16"/>
  <c r="E324" i="16"/>
  <c r="D324" i="16"/>
  <c r="C324" i="16"/>
  <c r="I324" i="16" s="1"/>
  <c r="P324" i="16" s="1"/>
  <c r="N323" i="16"/>
  <c r="M323" i="16"/>
  <c r="O323" i="16" s="1"/>
  <c r="I323" i="16"/>
  <c r="P323" i="16" s="1"/>
  <c r="E323" i="16"/>
  <c r="D323" i="16"/>
  <c r="C323" i="16"/>
  <c r="H323" i="16" s="1"/>
  <c r="N322" i="16"/>
  <c r="M322" i="16"/>
  <c r="O322" i="16" s="1"/>
  <c r="H322" i="16"/>
  <c r="E322" i="16"/>
  <c r="D322" i="16"/>
  <c r="C322" i="16"/>
  <c r="N321" i="16"/>
  <c r="H321" i="16"/>
  <c r="G321" i="16"/>
  <c r="E321" i="16"/>
  <c r="D321" i="16"/>
  <c r="C321" i="16"/>
  <c r="M321" i="16" s="1"/>
  <c r="N320" i="16"/>
  <c r="E320" i="16"/>
  <c r="D320" i="16"/>
  <c r="C320" i="16"/>
  <c r="M320" i="16" s="1"/>
  <c r="O320" i="16" s="1"/>
  <c r="N319" i="16"/>
  <c r="E319" i="16"/>
  <c r="D319" i="16"/>
  <c r="C319" i="16"/>
  <c r="I319" i="16" s="1"/>
  <c r="P319" i="16" s="1"/>
  <c r="N318" i="16"/>
  <c r="E318" i="16"/>
  <c r="D318" i="16"/>
  <c r="C318" i="16"/>
  <c r="I318" i="16" s="1"/>
  <c r="P318" i="16" s="1"/>
  <c r="N54" i="16"/>
  <c r="E54" i="16"/>
  <c r="D54" i="16"/>
  <c r="C54" i="16"/>
  <c r="I54" i="16" s="1"/>
  <c r="P54" i="16" s="1"/>
  <c r="N316" i="16"/>
  <c r="E316" i="16"/>
  <c r="D316" i="16"/>
  <c r="C316" i="16"/>
  <c r="M316" i="16" s="1"/>
  <c r="O316" i="16" s="1"/>
  <c r="N315" i="16"/>
  <c r="G315" i="16"/>
  <c r="E315" i="16"/>
  <c r="D315" i="16"/>
  <c r="C315" i="16"/>
  <c r="M315" i="16" s="1"/>
  <c r="N314" i="16"/>
  <c r="E314" i="16"/>
  <c r="D314" i="16"/>
  <c r="C314" i="16"/>
  <c r="N313" i="16"/>
  <c r="E313" i="16"/>
  <c r="D313" i="16"/>
  <c r="C313" i="16"/>
  <c r="N312" i="16"/>
  <c r="E312" i="16"/>
  <c r="D312" i="16"/>
  <c r="C312" i="16"/>
  <c r="N311" i="16"/>
  <c r="E311" i="16"/>
  <c r="D311" i="16"/>
  <c r="C311" i="16"/>
  <c r="M311" i="16" s="1"/>
  <c r="N310" i="16"/>
  <c r="E310" i="16"/>
  <c r="D310" i="16"/>
  <c r="C310" i="16"/>
  <c r="M310" i="16" s="1"/>
  <c r="O310" i="16" s="1"/>
  <c r="N309" i="16"/>
  <c r="E309" i="16"/>
  <c r="D309" i="16"/>
  <c r="C309" i="16"/>
  <c r="M309" i="16" s="1"/>
  <c r="O309" i="16" s="1"/>
  <c r="N41" i="16"/>
  <c r="E41" i="16"/>
  <c r="D41" i="16"/>
  <c r="C41" i="16"/>
  <c r="H41" i="16" s="1"/>
  <c r="N307" i="16"/>
  <c r="I307" i="16"/>
  <c r="P307" i="16" s="1"/>
  <c r="H307" i="16"/>
  <c r="E307" i="16"/>
  <c r="D307" i="16"/>
  <c r="C307" i="16"/>
  <c r="M307" i="16" s="1"/>
  <c r="O307" i="16" s="1"/>
  <c r="N88" i="16"/>
  <c r="E88" i="16"/>
  <c r="D88" i="16"/>
  <c r="C88" i="16"/>
  <c r="N305" i="16"/>
  <c r="E305" i="16"/>
  <c r="D305" i="16"/>
  <c r="C305" i="16"/>
  <c r="N299" i="16"/>
  <c r="G299" i="16"/>
  <c r="E299" i="16"/>
  <c r="D299" i="16"/>
  <c r="C299" i="16"/>
  <c r="M299" i="16" s="1"/>
  <c r="N303" i="16"/>
  <c r="E303" i="16"/>
  <c r="D303" i="16"/>
  <c r="C303" i="16"/>
  <c r="M303" i="16" s="1"/>
  <c r="O303" i="16" s="1"/>
  <c r="N181" i="16"/>
  <c r="E181" i="16"/>
  <c r="D181" i="16"/>
  <c r="C181" i="16"/>
  <c r="N301" i="16"/>
  <c r="H301" i="16"/>
  <c r="E301" i="16"/>
  <c r="D301" i="16"/>
  <c r="C301" i="16"/>
  <c r="I301" i="16" s="1"/>
  <c r="P301" i="16" s="1"/>
  <c r="N300" i="16"/>
  <c r="E300" i="16"/>
  <c r="D300" i="16"/>
  <c r="C300" i="16"/>
  <c r="M300" i="16" s="1"/>
  <c r="N140" i="16"/>
  <c r="E140" i="16"/>
  <c r="D140" i="16"/>
  <c r="C140" i="16"/>
  <c r="M140" i="16" s="1"/>
  <c r="N298" i="16"/>
  <c r="E298" i="16"/>
  <c r="D298" i="16"/>
  <c r="C298" i="16"/>
  <c r="I298" i="16" s="1"/>
  <c r="P298" i="16" s="1"/>
  <c r="N297" i="16"/>
  <c r="E297" i="16"/>
  <c r="D297" i="16"/>
  <c r="C297" i="16"/>
  <c r="N186" i="16"/>
  <c r="E186" i="16"/>
  <c r="D186" i="16"/>
  <c r="C186" i="16"/>
  <c r="G186" i="16" s="1"/>
  <c r="N295" i="16"/>
  <c r="E295" i="16"/>
  <c r="D295" i="16"/>
  <c r="C295" i="16"/>
  <c r="I295" i="16" s="1"/>
  <c r="P295" i="16" s="1"/>
  <c r="N219" i="16"/>
  <c r="E219" i="16"/>
  <c r="D219" i="16"/>
  <c r="C219" i="16"/>
  <c r="G219" i="16" s="1"/>
  <c r="N293" i="16"/>
  <c r="E293" i="16"/>
  <c r="D293" i="16"/>
  <c r="C293" i="16"/>
  <c r="N292" i="16"/>
  <c r="M292" i="16"/>
  <c r="E292" i="16"/>
  <c r="D292" i="16"/>
  <c r="C292" i="16"/>
  <c r="N73" i="16"/>
  <c r="M73" i="16"/>
  <c r="I73" i="16"/>
  <c r="P73" i="16" s="1"/>
  <c r="H73" i="16"/>
  <c r="G73" i="16"/>
  <c r="E73" i="16"/>
  <c r="D73" i="16"/>
  <c r="C73" i="16"/>
  <c r="N290" i="16"/>
  <c r="M290" i="16"/>
  <c r="E290" i="16"/>
  <c r="D290" i="16"/>
  <c r="C290" i="16"/>
  <c r="G290" i="16" s="1"/>
  <c r="N289" i="16"/>
  <c r="I289" i="16"/>
  <c r="P289" i="16" s="1"/>
  <c r="H289" i="16"/>
  <c r="E289" i="16"/>
  <c r="D289" i="16"/>
  <c r="C289" i="16"/>
  <c r="M289" i="16" s="1"/>
  <c r="N229" i="16"/>
  <c r="I229" i="16"/>
  <c r="P229" i="16" s="1"/>
  <c r="G229" i="16"/>
  <c r="E229" i="16"/>
  <c r="D229" i="16"/>
  <c r="C229" i="16"/>
  <c r="H229" i="16" s="1"/>
  <c r="N109" i="16"/>
  <c r="M109" i="16"/>
  <c r="O109" i="16" s="1"/>
  <c r="E109" i="16"/>
  <c r="D109" i="16"/>
  <c r="C109" i="16"/>
  <c r="I109" i="16" s="1"/>
  <c r="P109" i="16" s="1"/>
  <c r="N286" i="16"/>
  <c r="E286" i="16"/>
  <c r="D286" i="16"/>
  <c r="C286" i="16"/>
  <c r="N285" i="16"/>
  <c r="E285" i="16"/>
  <c r="D285" i="16"/>
  <c r="C285" i="16"/>
  <c r="N284" i="16"/>
  <c r="E284" i="16"/>
  <c r="D284" i="16"/>
  <c r="C284" i="16"/>
  <c r="H284" i="16" s="1"/>
  <c r="N199" i="16"/>
  <c r="E199" i="16"/>
  <c r="D199" i="16"/>
  <c r="C199" i="16"/>
  <c r="M199" i="16" s="1"/>
  <c r="O199" i="16" s="1"/>
  <c r="N282" i="16"/>
  <c r="M282" i="16"/>
  <c r="I282" i="16"/>
  <c r="P282" i="16" s="1"/>
  <c r="H282" i="16"/>
  <c r="E282" i="16"/>
  <c r="D282" i="16"/>
  <c r="C282" i="16"/>
  <c r="N281" i="16"/>
  <c r="I281" i="16"/>
  <c r="P281" i="16" s="1"/>
  <c r="E281" i="16"/>
  <c r="D281" i="16"/>
  <c r="C281" i="16"/>
  <c r="N280" i="16"/>
  <c r="E280" i="16"/>
  <c r="D280" i="16"/>
  <c r="C280" i="16"/>
  <c r="M280" i="16" s="1"/>
  <c r="O280" i="16" s="1"/>
  <c r="N279" i="16"/>
  <c r="E279" i="16"/>
  <c r="D279" i="16"/>
  <c r="C279" i="16"/>
  <c r="G279" i="16" s="1"/>
  <c r="N308" i="16"/>
  <c r="G308" i="16"/>
  <c r="E308" i="16"/>
  <c r="D308" i="16"/>
  <c r="C308" i="16"/>
  <c r="I308" i="16" s="1"/>
  <c r="P308" i="16" s="1"/>
  <c r="N24" i="16"/>
  <c r="E24" i="16"/>
  <c r="D24" i="16"/>
  <c r="C24" i="16"/>
  <c r="N276" i="16"/>
  <c r="E276" i="16"/>
  <c r="D276" i="16"/>
  <c r="C276" i="16"/>
  <c r="N275" i="16"/>
  <c r="E275" i="16"/>
  <c r="D275" i="16"/>
  <c r="C275" i="16"/>
  <c r="N274" i="16"/>
  <c r="H274" i="16"/>
  <c r="E274" i="16"/>
  <c r="D274" i="16"/>
  <c r="C274" i="16"/>
  <c r="N273" i="16"/>
  <c r="I273" i="16"/>
  <c r="P273" i="16" s="1"/>
  <c r="E273" i="16"/>
  <c r="D273" i="16"/>
  <c r="C273" i="16"/>
  <c r="G273" i="16" s="1"/>
  <c r="N272" i="16"/>
  <c r="E272" i="16"/>
  <c r="D272" i="16"/>
  <c r="C272" i="16"/>
  <c r="M272" i="16" s="1"/>
  <c r="O272" i="16" s="1"/>
  <c r="N271" i="16"/>
  <c r="E271" i="16"/>
  <c r="D271" i="16"/>
  <c r="C271" i="16"/>
  <c r="M271" i="16" s="1"/>
  <c r="N270" i="16"/>
  <c r="E270" i="16"/>
  <c r="D270" i="16"/>
  <c r="C270" i="16"/>
  <c r="M270" i="16" s="1"/>
  <c r="O270" i="16" s="1"/>
  <c r="N129" i="16"/>
  <c r="E129" i="16"/>
  <c r="D129" i="16"/>
  <c r="C129" i="16"/>
  <c r="N268" i="16"/>
  <c r="M268" i="16"/>
  <c r="I268" i="16"/>
  <c r="P268" i="16" s="1"/>
  <c r="E268" i="16"/>
  <c r="D268" i="16"/>
  <c r="C268" i="16"/>
  <c r="H268" i="16" s="1"/>
  <c r="N267" i="16"/>
  <c r="E267" i="16"/>
  <c r="D267" i="16"/>
  <c r="C267" i="16"/>
  <c r="M267" i="16" s="1"/>
  <c r="N371" i="16"/>
  <c r="E371" i="16"/>
  <c r="D371" i="16"/>
  <c r="C371" i="16"/>
  <c r="N265" i="16"/>
  <c r="E265" i="16"/>
  <c r="D265" i="16"/>
  <c r="C265" i="16"/>
  <c r="N418" i="16"/>
  <c r="E418" i="16"/>
  <c r="D418" i="16"/>
  <c r="C418" i="16"/>
  <c r="N263" i="16"/>
  <c r="E263" i="16"/>
  <c r="D263" i="16"/>
  <c r="C263" i="16"/>
  <c r="M263" i="16" s="1"/>
  <c r="O263" i="16" s="1"/>
  <c r="N262" i="16"/>
  <c r="M262" i="16"/>
  <c r="E262" i="16"/>
  <c r="D262" i="16"/>
  <c r="C262" i="16"/>
  <c r="N261" i="16"/>
  <c r="E261" i="16"/>
  <c r="D261" i="16"/>
  <c r="C261" i="16"/>
  <c r="M261" i="16" s="1"/>
  <c r="N260" i="16"/>
  <c r="E260" i="16"/>
  <c r="D260" i="16"/>
  <c r="C260" i="16"/>
  <c r="G260" i="16" s="1"/>
  <c r="N259" i="16"/>
  <c r="E259" i="16"/>
  <c r="D259" i="16"/>
  <c r="C259" i="16"/>
  <c r="M259" i="16" s="1"/>
  <c r="N258" i="16"/>
  <c r="E258" i="16"/>
  <c r="D258" i="16"/>
  <c r="C258" i="16"/>
  <c r="N60" i="16"/>
  <c r="E60" i="16"/>
  <c r="D60" i="16"/>
  <c r="C60" i="16"/>
  <c r="M60" i="16" s="1"/>
  <c r="N256" i="16"/>
  <c r="I256" i="16"/>
  <c r="P256" i="16" s="1"/>
  <c r="H256" i="16"/>
  <c r="E256" i="16"/>
  <c r="D256" i="16"/>
  <c r="C256" i="16"/>
  <c r="M256" i="16" s="1"/>
  <c r="N255" i="16"/>
  <c r="E255" i="16"/>
  <c r="D255" i="16"/>
  <c r="C255" i="16"/>
  <c r="G255" i="16" s="1"/>
  <c r="N254" i="16"/>
  <c r="E254" i="16"/>
  <c r="D254" i="16"/>
  <c r="C254" i="16"/>
  <c r="G254" i="16" s="1"/>
  <c r="N201" i="16"/>
  <c r="E201" i="16"/>
  <c r="D201" i="16"/>
  <c r="C201" i="16"/>
  <c r="N252" i="16"/>
  <c r="E252" i="16"/>
  <c r="D252" i="16"/>
  <c r="C252" i="16"/>
  <c r="N251" i="16"/>
  <c r="E251" i="16"/>
  <c r="D251" i="16"/>
  <c r="C251" i="16"/>
  <c r="M251" i="16" s="1"/>
  <c r="N250" i="16"/>
  <c r="I250" i="16"/>
  <c r="P250" i="16" s="1"/>
  <c r="H250" i="16"/>
  <c r="E250" i="16"/>
  <c r="D250" i="16"/>
  <c r="C250" i="16"/>
  <c r="M250" i="16" s="1"/>
  <c r="N249" i="16"/>
  <c r="E249" i="16"/>
  <c r="D249" i="16"/>
  <c r="C249" i="16"/>
  <c r="G249" i="16" s="1"/>
  <c r="N248" i="16"/>
  <c r="E248" i="16"/>
  <c r="D248" i="16"/>
  <c r="C248" i="16"/>
  <c r="N247" i="16"/>
  <c r="E247" i="16"/>
  <c r="D247" i="16"/>
  <c r="C247" i="16"/>
  <c r="N56" i="16"/>
  <c r="I56" i="16"/>
  <c r="P56" i="16" s="1"/>
  <c r="G56" i="16"/>
  <c r="E56" i="16"/>
  <c r="D56" i="16"/>
  <c r="C56" i="16"/>
  <c r="N245" i="16"/>
  <c r="M245" i="16"/>
  <c r="O245" i="16" s="1"/>
  <c r="I245" i="16"/>
  <c r="P245" i="16" s="1"/>
  <c r="H245" i="16"/>
  <c r="G245" i="16"/>
  <c r="E245" i="16"/>
  <c r="D245" i="16"/>
  <c r="C245" i="16"/>
  <c r="N244" i="16"/>
  <c r="I244" i="16"/>
  <c r="P244" i="16" s="1"/>
  <c r="E244" i="16"/>
  <c r="D244" i="16"/>
  <c r="C244" i="16"/>
  <c r="M244" i="16" s="1"/>
  <c r="N243" i="16"/>
  <c r="E243" i="16"/>
  <c r="D243" i="16"/>
  <c r="C243" i="16"/>
  <c r="G243" i="16" s="1"/>
  <c r="N242" i="16"/>
  <c r="E242" i="16"/>
  <c r="D242" i="16"/>
  <c r="C242" i="16"/>
  <c r="N174" i="16"/>
  <c r="E174" i="16"/>
  <c r="D174" i="16"/>
  <c r="C174" i="16"/>
  <c r="N240" i="16"/>
  <c r="E240" i="16"/>
  <c r="D240" i="16"/>
  <c r="C240" i="16"/>
  <c r="I240" i="16" s="1"/>
  <c r="P240" i="16" s="1"/>
  <c r="N239" i="16"/>
  <c r="E239" i="16"/>
  <c r="D239" i="16"/>
  <c r="C239" i="16"/>
  <c r="M239" i="16" s="1"/>
  <c r="O239" i="16" s="1"/>
  <c r="N238" i="16"/>
  <c r="E238" i="16"/>
  <c r="D238" i="16"/>
  <c r="C238" i="16"/>
  <c r="M238" i="16" s="1"/>
  <c r="O238" i="16" s="1"/>
  <c r="N359" i="16"/>
  <c r="E359" i="16"/>
  <c r="D359" i="16"/>
  <c r="C359" i="16"/>
  <c r="N236" i="16"/>
  <c r="G236" i="16"/>
  <c r="E236" i="16"/>
  <c r="D236" i="16"/>
  <c r="C236" i="16"/>
  <c r="N235" i="16"/>
  <c r="E235" i="16"/>
  <c r="D235" i="16"/>
  <c r="C235" i="16"/>
  <c r="N234" i="16"/>
  <c r="E234" i="16"/>
  <c r="D234" i="16"/>
  <c r="C234" i="16"/>
  <c r="N233" i="16"/>
  <c r="E233" i="16"/>
  <c r="D233" i="16"/>
  <c r="C233" i="16"/>
  <c r="N232" i="16"/>
  <c r="M232" i="16"/>
  <c r="I232" i="16"/>
  <c r="P232" i="16" s="1"/>
  <c r="G232" i="16"/>
  <c r="E232" i="16"/>
  <c r="D232" i="16"/>
  <c r="C232" i="16"/>
  <c r="H232" i="16" s="1"/>
  <c r="N31" i="16"/>
  <c r="M31" i="16"/>
  <c r="I31" i="16"/>
  <c r="P31" i="16" s="1"/>
  <c r="E31" i="16"/>
  <c r="D31" i="16"/>
  <c r="C31" i="16"/>
  <c r="G31" i="16" s="1"/>
  <c r="N230" i="16"/>
  <c r="E230" i="16"/>
  <c r="D230" i="16"/>
  <c r="C230" i="16"/>
  <c r="H230" i="16" s="1"/>
  <c r="N46" i="16"/>
  <c r="E46" i="16"/>
  <c r="D46" i="16"/>
  <c r="C46" i="16"/>
  <c r="N228" i="16"/>
  <c r="G228" i="16"/>
  <c r="E228" i="16"/>
  <c r="D228" i="16"/>
  <c r="C228" i="16"/>
  <c r="I228" i="16" s="1"/>
  <c r="P228" i="16" s="1"/>
  <c r="N44" i="16"/>
  <c r="E44" i="16"/>
  <c r="D44" i="16"/>
  <c r="C44" i="16"/>
  <c r="H44" i="16" s="1"/>
  <c r="N226" i="16"/>
  <c r="E226" i="16"/>
  <c r="D226" i="16"/>
  <c r="C226" i="16"/>
  <c r="N225" i="16"/>
  <c r="G225" i="16"/>
  <c r="E225" i="16"/>
  <c r="D225" i="16"/>
  <c r="C225" i="16"/>
  <c r="I225" i="16" s="1"/>
  <c r="P225" i="16" s="1"/>
  <c r="N224" i="16"/>
  <c r="G224" i="16"/>
  <c r="E224" i="16"/>
  <c r="D224" i="16"/>
  <c r="C224" i="16"/>
  <c r="M224" i="16" s="1"/>
  <c r="O224" i="16" s="1"/>
  <c r="N223" i="16"/>
  <c r="E223" i="16"/>
  <c r="D223" i="16"/>
  <c r="C223" i="16"/>
  <c r="G223" i="16" s="1"/>
  <c r="N222" i="16"/>
  <c r="E222" i="16"/>
  <c r="D222" i="16"/>
  <c r="C222" i="16"/>
  <c r="N221" i="16"/>
  <c r="G221" i="16"/>
  <c r="E221" i="16"/>
  <c r="D221" i="16"/>
  <c r="C221" i="16"/>
  <c r="M221" i="16" s="1"/>
  <c r="N220" i="16"/>
  <c r="G220" i="16"/>
  <c r="E220" i="16"/>
  <c r="D220" i="16"/>
  <c r="C220" i="16"/>
  <c r="M220" i="16" s="1"/>
  <c r="N9" i="16"/>
  <c r="E9" i="16"/>
  <c r="D9" i="16"/>
  <c r="C9" i="16"/>
  <c r="N218" i="16"/>
  <c r="E218" i="16"/>
  <c r="D218" i="16"/>
  <c r="C218" i="16"/>
  <c r="N246" i="16"/>
  <c r="E246" i="16"/>
  <c r="D246" i="16"/>
  <c r="C246" i="16"/>
  <c r="M246" i="16" s="1"/>
  <c r="O246" i="16" s="1"/>
  <c r="N216" i="16"/>
  <c r="M216" i="16"/>
  <c r="O216" i="16" s="1"/>
  <c r="G216" i="16"/>
  <c r="E216" i="16"/>
  <c r="D216" i="16"/>
  <c r="C216" i="16"/>
  <c r="N215" i="16"/>
  <c r="H215" i="16"/>
  <c r="E215" i="16"/>
  <c r="D215" i="16"/>
  <c r="C215" i="16"/>
  <c r="M215" i="16" s="1"/>
  <c r="N214" i="16"/>
  <c r="E214" i="16"/>
  <c r="D214" i="16"/>
  <c r="C214" i="16"/>
  <c r="M214" i="16" s="1"/>
  <c r="O214" i="16" s="1"/>
  <c r="N213" i="16"/>
  <c r="H213" i="16"/>
  <c r="G213" i="16"/>
  <c r="E213" i="16"/>
  <c r="D213" i="16"/>
  <c r="C213" i="16"/>
  <c r="M213" i="16" s="1"/>
  <c r="N37" i="16"/>
  <c r="M37" i="16"/>
  <c r="H37" i="16"/>
  <c r="G37" i="16"/>
  <c r="E37" i="16"/>
  <c r="D37" i="16"/>
  <c r="C37" i="16"/>
  <c r="I37" i="16" s="1"/>
  <c r="P37" i="16" s="1"/>
  <c r="N211" i="16"/>
  <c r="E211" i="16"/>
  <c r="D211" i="16"/>
  <c r="C211" i="16"/>
  <c r="I211" i="16" s="1"/>
  <c r="P211" i="16" s="1"/>
  <c r="N194" i="16"/>
  <c r="E194" i="16"/>
  <c r="D194" i="16"/>
  <c r="C194" i="16"/>
  <c r="N151" i="16"/>
  <c r="I151" i="16"/>
  <c r="P151" i="16" s="1"/>
  <c r="E151" i="16"/>
  <c r="D151" i="16"/>
  <c r="C151" i="16"/>
  <c r="M151" i="16" s="1"/>
  <c r="N208" i="16"/>
  <c r="G208" i="16"/>
  <c r="E208" i="16"/>
  <c r="D208" i="16"/>
  <c r="C208" i="16"/>
  <c r="N207" i="16"/>
  <c r="E207" i="16"/>
  <c r="D207" i="16"/>
  <c r="C207" i="16"/>
  <c r="M207" i="16" s="1"/>
  <c r="O207" i="16" s="1"/>
  <c r="N206" i="16"/>
  <c r="E206" i="16"/>
  <c r="D206" i="16"/>
  <c r="C206" i="16"/>
  <c r="M206" i="16" s="1"/>
  <c r="O206" i="16" s="1"/>
  <c r="N294" i="16"/>
  <c r="E294" i="16"/>
  <c r="D294" i="16"/>
  <c r="C294" i="16"/>
  <c r="G294" i="16" s="1"/>
  <c r="N204" i="16"/>
  <c r="I204" i="16"/>
  <c r="P204" i="16" s="1"/>
  <c r="E204" i="16"/>
  <c r="D204" i="16"/>
  <c r="C204" i="16"/>
  <c r="M204" i="16" s="1"/>
  <c r="N203" i="16"/>
  <c r="I203" i="16"/>
  <c r="P203" i="16" s="1"/>
  <c r="E203" i="16"/>
  <c r="D203" i="16"/>
  <c r="C203" i="16"/>
  <c r="M203" i="16" s="1"/>
  <c r="O203" i="16" s="1"/>
  <c r="N202" i="16"/>
  <c r="E202" i="16"/>
  <c r="D202" i="16"/>
  <c r="C202" i="16"/>
  <c r="N304" i="16"/>
  <c r="M304" i="16"/>
  <c r="O304" i="16" s="1"/>
  <c r="E304" i="16"/>
  <c r="D304" i="16"/>
  <c r="C304" i="16"/>
  <c r="N71" i="16"/>
  <c r="E71" i="16"/>
  <c r="D71" i="16"/>
  <c r="C71" i="16"/>
  <c r="M71" i="16" s="1"/>
  <c r="N327" i="16"/>
  <c r="G327" i="16"/>
  <c r="E327" i="16"/>
  <c r="D327" i="16"/>
  <c r="C327" i="16"/>
  <c r="M327" i="16" s="1"/>
  <c r="N198" i="16"/>
  <c r="E198" i="16"/>
  <c r="D198" i="16"/>
  <c r="C198" i="16"/>
  <c r="M198" i="16" s="1"/>
  <c r="N197" i="16"/>
  <c r="H197" i="16"/>
  <c r="E197" i="16"/>
  <c r="D197" i="16"/>
  <c r="C197" i="16"/>
  <c r="G197" i="16" s="1"/>
  <c r="N349" i="16"/>
  <c r="I349" i="16"/>
  <c r="P349" i="16" s="1"/>
  <c r="H349" i="16"/>
  <c r="E349" i="16"/>
  <c r="D349" i="16"/>
  <c r="C349" i="16"/>
  <c r="M349" i="16" s="1"/>
  <c r="N195" i="16"/>
  <c r="I195" i="16"/>
  <c r="P195" i="16" s="1"/>
  <c r="E195" i="16"/>
  <c r="D195" i="16"/>
  <c r="C195" i="16"/>
  <c r="N212" i="16"/>
  <c r="E212" i="16"/>
  <c r="D212" i="16"/>
  <c r="C212" i="16"/>
  <c r="N193" i="16"/>
  <c r="M193" i="16"/>
  <c r="E193" i="16"/>
  <c r="D193" i="16"/>
  <c r="C193" i="16"/>
  <c r="I193" i="16" s="1"/>
  <c r="P193" i="16" s="1"/>
  <c r="N192" i="16"/>
  <c r="E192" i="16"/>
  <c r="D192" i="16"/>
  <c r="C192" i="16"/>
  <c r="G192" i="16" s="1"/>
  <c r="N269" i="16"/>
  <c r="E269" i="16"/>
  <c r="D269" i="16"/>
  <c r="C269" i="16"/>
  <c r="I269" i="16" s="1"/>
  <c r="P269" i="16" s="1"/>
  <c r="N190" i="16"/>
  <c r="E190" i="16"/>
  <c r="D190" i="16"/>
  <c r="C190" i="16"/>
  <c r="M190" i="16" s="1"/>
  <c r="O190" i="16" s="1"/>
  <c r="N332" i="16"/>
  <c r="E332" i="16"/>
  <c r="D332" i="16"/>
  <c r="C332" i="16"/>
  <c r="G332" i="16" s="1"/>
  <c r="N188" i="16"/>
  <c r="I188" i="16"/>
  <c r="P188" i="16" s="1"/>
  <c r="E188" i="16"/>
  <c r="D188" i="16"/>
  <c r="C188" i="16"/>
  <c r="M188" i="16" s="1"/>
  <c r="O188" i="16" s="1"/>
  <c r="N288" i="16"/>
  <c r="E288" i="16"/>
  <c r="D288" i="16"/>
  <c r="C288" i="16"/>
  <c r="M288" i="16" s="1"/>
  <c r="N126" i="16"/>
  <c r="H126" i="16"/>
  <c r="E126" i="16"/>
  <c r="D126" i="16"/>
  <c r="C126" i="16"/>
  <c r="N185" i="16"/>
  <c r="E185" i="16"/>
  <c r="D185" i="16"/>
  <c r="C185" i="16"/>
  <c r="M185" i="16" s="1"/>
  <c r="N184" i="16"/>
  <c r="E184" i="16"/>
  <c r="D184" i="16"/>
  <c r="C184" i="16"/>
  <c r="M184" i="16" s="1"/>
  <c r="N183" i="16"/>
  <c r="I183" i="16"/>
  <c r="P183" i="16" s="1"/>
  <c r="E183" i="16"/>
  <c r="D183" i="16"/>
  <c r="C183" i="16"/>
  <c r="M183" i="16" s="1"/>
  <c r="O183" i="16" s="1"/>
  <c r="N283" i="16"/>
  <c r="E283" i="16"/>
  <c r="D283" i="16"/>
  <c r="C283" i="16"/>
  <c r="M283" i="16" s="1"/>
  <c r="N209" i="16"/>
  <c r="E209" i="16"/>
  <c r="D209" i="16"/>
  <c r="C209" i="16"/>
  <c r="H209" i="16" s="1"/>
  <c r="N180" i="16"/>
  <c r="E180" i="16"/>
  <c r="D180" i="16"/>
  <c r="C180" i="16"/>
  <c r="M180" i="16" s="1"/>
  <c r="O180" i="16" s="1"/>
  <c r="N64" i="16"/>
  <c r="E64" i="16"/>
  <c r="D64" i="16"/>
  <c r="C64" i="16"/>
  <c r="I64" i="16" s="1"/>
  <c r="P64" i="16" s="1"/>
  <c r="N111" i="16"/>
  <c r="E111" i="16"/>
  <c r="D111" i="16"/>
  <c r="C111" i="16"/>
  <c r="N266" i="16"/>
  <c r="E266" i="16"/>
  <c r="D266" i="16"/>
  <c r="C266" i="16"/>
  <c r="N176" i="16"/>
  <c r="G176" i="16"/>
  <c r="E176" i="16"/>
  <c r="D176" i="16"/>
  <c r="C176" i="16"/>
  <c r="N175" i="16"/>
  <c r="M175" i="16"/>
  <c r="O175" i="16" s="1"/>
  <c r="I175" i="16"/>
  <c r="P175" i="16" s="1"/>
  <c r="H175" i="16"/>
  <c r="G175" i="16"/>
  <c r="E175" i="16"/>
  <c r="D175" i="16"/>
  <c r="C175" i="16"/>
  <c r="N34" i="16"/>
  <c r="E34" i="16"/>
  <c r="D34" i="16"/>
  <c r="C34" i="16"/>
  <c r="M34" i="16" s="1"/>
  <c r="N173" i="16"/>
  <c r="E173" i="16"/>
  <c r="D173" i="16"/>
  <c r="C173" i="16"/>
  <c r="G173" i="16" s="1"/>
  <c r="N172" i="16"/>
  <c r="M172" i="16"/>
  <c r="E172" i="16"/>
  <c r="D172" i="16"/>
  <c r="C172" i="16"/>
  <c r="I172" i="16" s="1"/>
  <c r="P172" i="16" s="1"/>
  <c r="N148" i="16"/>
  <c r="M148" i="16"/>
  <c r="O148" i="16" s="1"/>
  <c r="G148" i="16"/>
  <c r="E148" i="16"/>
  <c r="D148" i="16"/>
  <c r="C148" i="16"/>
  <c r="H148" i="16" s="1"/>
  <c r="N170" i="16"/>
  <c r="E170" i="16"/>
  <c r="D170" i="16"/>
  <c r="C170" i="16"/>
  <c r="N169" i="16"/>
  <c r="M169" i="16"/>
  <c r="F169" i="16"/>
  <c r="K169" i="16" s="1"/>
  <c r="P169" i="16" s="1"/>
  <c r="E169" i="16"/>
  <c r="N168" i="16"/>
  <c r="M168" i="16"/>
  <c r="F168" i="16"/>
  <c r="J168" i="16" s="1"/>
  <c r="E168" i="16"/>
  <c r="N167" i="16"/>
  <c r="M167" i="16"/>
  <c r="K167" i="16"/>
  <c r="P167" i="16" s="1"/>
  <c r="F167" i="16"/>
  <c r="J167" i="16" s="1"/>
  <c r="E167" i="16"/>
  <c r="O166" i="16"/>
  <c r="N166" i="16"/>
  <c r="M166" i="16"/>
  <c r="K166" i="16"/>
  <c r="P166" i="16" s="1"/>
  <c r="F166" i="16"/>
  <c r="J166" i="16" s="1"/>
  <c r="E166" i="16"/>
  <c r="N302" i="16"/>
  <c r="M302" i="16"/>
  <c r="O302" i="16" s="1"/>
  <c r="F302" i="16"/>
  <c r="K302" i="16" s="1"/>
  <c r="P302" i="16" s="1"/>
  <c r="E302" i="16"/>
  <c r="N164" i="16"/>
  <c r="M164" i="16"/>
  <c r="F164" i="16"/>
  <c r="K164" i="16" s="1"/>
  <c r="P164" i="16" s="1"/>
  <c r="E164" i="16"/>
  <c r="N163" i="16"/>
  <c r="M163" i="16"/>
  <c r="O163" i="16" s="1"/>
  <c r="F163" i="16"/>
  <c r="K163" i="16" s="1"/>
  <c r="P163" i="16" s="1"/>
  <c r="E163" i="16"/>
  <c r="N162" i="16"/>
  <c r="M162" i="16"/>
  <c r="O162" i="16" s="1"/>
  <c r="F162" i="16"/>
  <c r="K162" i="16" s="1"/>
  <c r="P162" i="16" s="1"/>
  <c r="E162" i="16"/>
  <c r="N161" i="16"/>
  <c r="M161" i="16"/>
  <c r="F161" i="16"/>
  <c r="K161" i="16" s="1"/>
  <c r="P161" i="16" s="1"/>
  <c r="E161" i="16"/>
  <c r="N160" i="16"/>
  <c r="M160" i="16"/>
  <c r="F160" i="16"/>
  <c r="J160" i="16" s="1"/>
  <c r="E160" i="16"/>
  <c r="N159" i="16"/>
  <c r="M159" i="16"/>
  <c r="F159" i="16"/>
  <c r="E159" i="16"/>
  <c r="N158" i="16"/>
  <c r="M158" i="16"/>
  <c r="F158" i="16"/>
  <c r="K158" i="16" s="1"/>
  <c r="P158" i="16" s="1"/>
  <c r="E158" i="16"/>
  <c r="N157" i="16"/>
  <c r="M157" i="16"/>
  <c r="F157" i="16"/>
  <c r="J157" i="16" s="1"/>
  <c r="E157" i="16"/>
  <c r="N367" i="16"/>
  <c r="M367" i="16"/>
  <c r="F367" i="16"/>
  <c r="K367" i="16" s="1"/>
  <c r="P367" i="16" s="1"/>
  <c r="E367" i="16"/>
  <c r="N155" i="16"/>
  <c r="O155" i="16" s="1"/>
  <c r="M155" i="16"/>
  <c r="F155" i="16"/>
  <c r="K155" i="16" s="1"/>
  <c r="P155" i="16" s="1"/>
  <c r="E155" i="16"/>
  <c r="N154" i="16"/>
  <c r="M154" i="16"/>
  <c r="F154" i="16"/>
  <c r="J154" i="16" s="1"/>
  <c r="E154" i="16"/>
  <c r="N153" i="16"/>
  <c r="M153" i="16"/>
  <c r="J153" i="16"/>
  <c r="F153" i="16"/>
  <c r="K153" i="16" s="1"/>
  <c r="P153" i="16" s="1"/>
  <c r="E153" i="16"/>
  <c r="N152" i="16"/>
  <c r="M152" i="16"/>
  <c r="O152" i="16" s="1"/>
  <c r="F152" i="16"/>
  <c r="J152" i="16" s="1"/>
  <c r="E152" i="16"/>
  <c r="N128" i="16"/>
  <c r="M128" i="16"/>
  <c r="J128" i="16"/>
  <c r="F128" i="16"/>
  <c r="K128" i="16" s="1"/>
  <c r="P128" i="16" s="1"/>
  <c r="E128" i="16"/>
  <c r="N91" i="16"/>
  <c r="O91" i="16" s="1"/>
  <c r="M91" i="16"/>
  <c r="F91" i="16"/>
  <c r="K91" i="16" s="1"/>
  <c r="P91" i="16" s="1"/>
  <c r="E91" i="16"/>
  <c r="N149" i="16"/>
  <c r="M149" i="16"/>
  <c r="K149" i="16"/>
  <c r="P149" i="16" s="1"/>
  <c r="F149" i="16"/>
  <c r="J149" i="16" s="1"/>
  <c r="E149" i="16"/>
  <c r="N48" i="16"/>
  <c r="M48" i="16"/>
  <c r="O48" i="16" s="1"/>
  <c r="F48" i="16"/>
  <c r="K48" i="16" s="1"/>
  <c r="P48" i="16" s="1"/>
  <c r="E48" i="16"/>
  <c r="N147" i="16"/>
  <c r="M147" i="16"/>
  <c r="F147" i="16"/>
  <c r="K147" i="16" s="1"/>
  <c r="P147" i="16" s="1"/>
  <c r="E147" i="16"/>
  <c r="N146" i="16"/>
  <c r="M146" i="16"/>
  <c r="O146" i="16" s="1"/>
  <c r="K146" i="16"/>
  <c r="P146" i="16" s="1"/>
  <c r="F146" i="16"/>
  <c r="J146" i="16" s="1"/>
  <c r="E146" i="16"/>
  <c r="N145" i="16"/>
  <c r="M145" i="16"/>
  <c r="F145" i="16"/>
  <c r="E145" i="16"/>
  <c r="N130" i="16"/>
  <c r="M130" i="16"/>
  <c r="F130" i="16"/>
  <c r="J130" i="16" s="1"/>
  <c r="E130" i="16"/>
  <c r="N143" i="16"/>
  <c r="M143" i="16"/>
  <c r="F143" i="16"/>
  <c r="K143" i="16" s="1"/>
  <c r="P143" i="16" s="1"/>
  <c r="E143" i="16"/>
  <c r="N142" i="16"/>
  <c r="M142" i="16"/>
  <c r="F142" i="16"/>
  <c r="E142" i="16"/>
  <c r="N141" i="16"/>
  <c r="M141" i="16"/>
  <c r="O141" i="16" s="1"/>
  <c r="F141" i="16"/>
  <c r="J141" i="16" s="1"/>
  <c r="E141" i="16"/>
  <c r="N36" i="16"/>
  <c r="M36" i="16"/>
  <c r="O36" i="16" s="1"/>
  <c r="F36" i="16"/>
  <c r="K36" i="16" s="1"/>
  <c r="P36" i="16" s="1"/>
  <c r="E36" i="16"/>
  <c r="N139" i="16"/>
  <c r="M139" i="16"/>
  <c r="F139" i="16"/>
  <c r="K139" i="16" s="1"/>
  <c r="P139" i="16" s="1"/>
  <c r="E139" i="16"/>
  <c r="N138" i="16"/>
  <c r="M138" i="16"/>
  <c r="F138" i="16"/>
  <c r="K138" i="16" s="1"/>
  <c r="P138" i="16" s="1"/>
  <c r="E138" i="16"/>
  <c r="N137" i="16"/>
  <c r="M137" i="16"/>
  <c r="O137" i="16" s="1"/>
  <c r="F137" i="16"/>
  <c r="K137" i="16" s="1"/>
  <c r="P137" i="16" s="1"/>
  <c r="E137" i="16"/>
  <c r="N87" i="16"/>
  <c r="M87" i="16"/>
  <c r="F87" i="16"/>
  <c r="E87" i="16"/>
  <c r="N135" i="16"/>
  <c r="M135" i="16"/>
  <c r="F135" i="16"/>
  <c r="K135" i="16" s="1"/>
  <c r="P135" i="16" s="1"/>
  <c r="E135" i="16"/>
  <c r="N134" i="16"/>
  <c r="M134" i="16"/>
  <c r="O134" i="16" s="1"/>
  <c r="K134" i="16"/>
  <c r="P134" i="16" s="1"/>
  <c r="F134" i="16"/>
  <c r="J134" i="16" s="1"/>
  <c r="E134" i="16"/>
  <c r="N330" i="16"/>
  <c r="M330" i="16"/>
  <c r="O330" i="16" s="1"/>
  <c r="F330" i="16"/>
  <c r="J330" i="16" s="1"/>
  <c r="E330" i="16"/>
  <c r="N132" i="16"/>
  <c r="M132" i="16"/>
  <c r="F132" i="16"/>
  <c r="K132" i="16" s="1"/>
  <c r="P132" i="16" s="1"/>
  <c r="E132" i="16"/>
  <c r="N131" i="16"/>
  <c r="M131" i="16"/>
  <c r="F131" i="16"/>
  <c r="E131" i="16"/>
  <c r="N72" i="16"/>
  <c r="M72" i="16"/>
  <c r="F72" i="16"/>
  <c r="K72" i="16" s="1"/>
  <c r="P72" i="16" s="1"/>
  <c r="E72" i="16"/>
  <c r="N217" i="16"/>
  <c r="M217" i="16"/>
  <c r="F217" i="16"/>
  <c r="K217" i="16" s="1"/>
  <c r="P217" i="16" s="1"/>
  <c r="E217" i="16"/>
  <c r="N253" i="16"/>
  <c r="M253" i="16"/>
  <c r="F253" i="16"/>
  <c r="J253" i="16" s="1"/>
  <c r="E253" i="16"/>
  <c r="N127" i="16"/>
  <c r="M127" i="16"/>
  <c r="F127" i="16"/>
  <c r="E127" i="16"/>
  <c r="P317" i="16"/>
  <c r="N317" i="16"/>
  <c r="M317" i="16"/>
  <c r="O317" i="16" s="1"/>
  <c r="J317" i="16"/>
  <c r="F317" i="16"/>
  <c r="K317" i="16" s="1"/>
  <c r="E317" i="16"/>
  <c r="N125" i="16"/>
  <c r="M125" i="16"/>
  <c r="F125" i="16"/>
  <c r="J125" i="16" s="1"/>
  <c r="E125" i="16"/>
  <c r="N124" i="16"/>
  <c r="M124" i="16"/>
  <c r="F124" i="16"/>
  <c r="K124" i="16" s="1"/>
  <c r="P124" i="16" s="1"/>
  <c r="E124" i="16"/>
  <c r="N123" i="16"/>
  <c r="O123" i="16" s="1"/>
  <c r="M123" i="16"/>
  <c r="F123" i="16"/>
  <c r="E123" i="16"/>
  <c r="N122" i="16"/>
  <c r="M122" i="16"/>
  <c r="O122" i="16" s="1"/>
  <c r="F122" i="16"/>
  <c r="K122" i="16" s="1"/>
  <c r="P122" i="16" s="1"/>
  <c r="E122" i="16"/>
  <c r="N121" i="16"/>
  <c r="M121" i="16"/>
  <c r="O121" i="16" s="1"/>
  <c r="F121" i="16"/>
  <c r="K121" i="16" s="1"/>
  <c r="P121" i="16" s="1"/>
  <c r="E121" i="16"/>
  <c r="N120" i="16"/>
  <c r="M120" i="16"/>
  <c r="F120" i="16"/>
  <c r="J120" i="16" s="1"/>
  <c r="E120" i="16"/>
  <c r="N119" i="16"/>
  <c r="M119" i="16"/>
  <c r="F119" i="16"/>
  <c r="E119" i="16"/>
  <c r="N112" i="16"/>
  <c r="M112" i="16"/>
  <c r="O112" i="16" s="1"/>
  <c r="F112" i="16"/>
  <c r="K112" i="16" s="1"/>
  <c r="P112" i="16" s="1"/>
  <c r="E112" i="16"/>
  <c r="N52" i="16"/>
  <c r="M52" i="16"/>
  <c r="F52" i="16"/>
  <c r="E52" i="16"/>
  <c r="N116" i="16"/>
  <c r="M116" i="16"/>
  <c r="F116" i="16"/>
  <c r="E116" i="16"/>
  <c r="N115" i="16"/>
  <c r="M115" i="16"/>
  <c r="F115" i="16"/>
  <c r="K115" i="16" s="1"/>
  <c r="P115" i="16" s="1"/>
  <c r="E115" i="16"/>
  <c r="N114" i="16"/>
  <c r="M114" i="16"/>
  <c r="O114" i="16" s="1"/>
  <c r="K114" i="16"/>
  <c r="P114" i="16" s="1"/>
  <c r="F114" i="16"/>
  <c r="J114" i="16" s="1"/>
  <c r="E114" i="16"/>
  <c r="N113" i="16"/>
  <c r="M113" i="16"/>
  <c r="O113" i="16" s="1"/>
  <c r="F113" i="16"/>
  <c r="J113" i="16" s="1"/>
  <c r="E113" i="16"/>
  <c r="N179" i="16"/>
  <c r="M179" i="16"/>
  <c r="F179" i="16"/>
  <c r="J179" i="16" s="1"/>
  <c r="E179" i="16"/>
  <c r="N296" i="16"/>
  <c r="M296" i="16"/>
  <c r="F296" i="16"/>
  <c r="E296" i="16"/>
  <c r="N196" i="16"/>
  <c r="M196" i="16"/>
  <c r="F196" i="16"/>
  <c r="K196" i="16" s="1"/>
  <c r="P196" i="16" s="1"/>
  <c r="E196" i="16"/>
  <c r="N278" i="16"/>
  <c r="M278" i="16"/>
  <c r="O278" i="16" s="1"/>
  <c r="F278" i="16"/>
  <c r="J278" i="16" s="1"/>
  <c r="E278" i="16"/>
  <c r="N108" i="16"/>
  <c r="M108" i="16"/>
  <c r="F108" i="16"/>
  <c r="E108" i="16"/>
  <c r="N107" i="16"/>
  <c r="M107" i="16"/>
  <c r="F107" i="16"/>
  <c r="K107" i="16" s="1"/>
  <c r="P107" i="16" s="1"/>
  <c r="E107" i="16"/>
  <c r="N106" i="16"/>
  <c r="O106" i="16" s="1"/>
  <c r="M106" i="16"/>
  <c r="F106" i="16"/>
  <c r="K106" i="16" s="1"/>
  <c r="P106" i="16" s="1"/>
  <c r="E106" i="16"/>
  <c r="N105" i="16"/>
  <c r="M105" i="16"/>
  <c r="F105" i="16"/>
  <c r="J105" i="16" s="1"/>
  <c r="E105" i="16"/>
  <c r="N104" i="16"/>
  <c r="M104" i="16"/>
  <c r="F104" i="16"/>
  <c r="J104" i="16" s="1"/>
  <c r="E104" i="16"/>
  <c r="N103" i="16"/>
  <c r="M103" i="16"/>
  <c r="F103" i="16"/>
  <c r="E103" i="16"/>
  <c r="N102" i="16"/>
  <c r="M102" i="16"/>
  <c r="F102" i="16"/>
  <c r="K102" i="16" s="1"/>
  <c r="P102" i="16" s="1"/>
  <c r="E102" i="16"/>
  <c r="Q101" i="16"/>
  <c r="N101" i="16"/>
  <c r="M101" i="16"/>
  <c r="O101" i="16" s="1"/>
  <c r="F101" i="16"/>
  <c r="E101" i="16"/>
  <c r="N100" i="16"/>
  <c r="M100" i="16"/>
  <c r="F100" i="16"/>
  <c r="E100" i="16"/>
  <c r="N99" i="16"/>
  <c r="M99" i="16"/>
  <c r="F99" i="16"/>
  <c r="K99" i="16" s="1"/>
  <c r="P99" i="16" s="1"/>
  <c r="E99" i="16"/>
  <c r="N98" i="16"/>
  <c r="M98" i="16"/>
  <c r="O98" i="16" s="1"/>
  <c r="F98" i="16"/>
  <c r="K98" i="16" s="1"/>
  <c r="P98" i="16" s="1"/>
  <c r="E98" i="16"/>
  <c r="N97" i="16"/>
  <c r="M97" i="16"/>
  <c r="F97" i="16"/>
  <c r="K97" i="16" s="1"/>
  <c r="P97" i="16" s="1"/>
  <c r="E97" i="16"/>
  <c r="N96" i="16"/>
  <c r="M96" i="16"/>
  <c r="O96" i="16" s="1"/>
  <c r="F96" i="16"/>
  <c r="J96" i="16" s="1"/>
  <c r="E96" i="16"/>
  <c r="N95" i="16"/>
  <c r="M95" i="16"/>
  <c r="F95" i="16"/>
  <c r="E95" i="16"/>
  <c r="N94" i="16"/>
  <c r="M94" i="16"/>
  <c r="O94" i="16" s="1"/>
  <c r="F94" i="16"/>
  <c r="J94" i="16" s="1"/>
  <c r="E94" i="16"/>
  <c r="N93" i="16"/>
  <c r="M93" i="16"/>
  <c r="F93" i="16"/>
  <c r="J93" i="16" s="1"/>
  <c r="E93" i="16"/>
  <c r="Q92" i="16"/>
  <c r="N92" i="16"/>
  <c r="M92" i="16"/>
  <c r="O92" i="16" s="1"/>
  <c r="F92" i="16"/>
  <c r="E92" i="16"/>
  <c r="N182" i="16"/>
  <c r="M182" i="16"/>
  <c r="F182" i="16"/>
  <c r="K182" i="16" s="1"/>
  <c r="P182" i="16" s="1"/>
  <c r="E182" i="16"/>
  <c r="N90" i="16"/>
  <c r="M90" i="16"/>
  <c r="O90" i="16" s="1"/>
  <c r="F90" i="16"/>
  <c r="K90" i="16" s="1"/>
  <c r="P90" i="16" s="1"/>
  <c r="E90" i="16"/>
  <c r="N89" i="16"/>
  <c r="M89" i="16"/>
  <c r="O89" i="16" s="1"/>
  <c r="F89" i="16"/>
  <c r="K89" i="16" s="1"/>
  <c r="P89" i="16" s="1"/>
  <c r="E89" i="16"/>
  <c r="Q210" i="16"/>
  <c r="N210" i="16"/>
  <c r="M210" i="16"/>
  <c r="F210" i="16"/>
  <c r="J210" i="16" s="1"/>
  <c r="E210" i="16"/>
  <c r="N334" i="16"/>
  <c r="M334" i="16"/>
  <c r="F334" i="16"/>
  <c r="E334" i="16"/>
  <c r="N86" i="16"/>
  <c r="M86" i="16"/>
  <c r="O86" i="16" s="1"/>
  <c r="F86" i="16"/>
  <c r="J86" i="16" s="1"/>
  <c r="E86" i="16"/>
  <c r="N43" i="16"/>
  <c r="M43" i="16"/>
  <c r="O43" i="16" s="1"/>
  <c r="F43" i="16"/>
  <c r="J43" i="16" s="1"/>
  <c r="E43" i="16"/>
  <c r="N84" i="16"/>
  <c r="M84" i="16"/>
  <c r="F84" i="16"/>
  <c r="K84" i="16" s="1"/>
  <c r="P84" i="16" s="1"/>
  <c r="E84" i="16"/>
  <c r="N83" i="16"/>
  <c r="M83" i="16"/>
  <c r="F83" i="16"/>
  <c r="K83" i="16" s="1"/>
  <c r="P83" i="16" s="1"/>
  <c r="E83" i="16"/>
  <c r="N82" i="16"/>
  <c r="M82" i="16"/>
  <c r="O82" i="16" s="1"/>
  <c r="F82" i="16"/>
  <c r="K82" i="16" s="1"/>
  <c r="P82" i="16" s="1"/>
  <c r="E82" i="16"/>
  <c r="N81" i="16"/>
  <c r="M81" i="16"/>
  <c r="O81" i="16" s="1"/>
  <c r="F81" i="16"/>
  <c r="K81" i="16" s="1"/>
  <c r="P81" i="16" s="1"/>
  <c r="E81" i="16"/>
  <c r="N80" i="16"/>
  <c r="M80" i="16"/>
  <c r="O80" i="16" s="1"/>
  <c r="F80" i="16"/>
  <c r="J80" i="16" s="1"/>
  <c r="E80" i="16"/>
  <c r="N79" i="16"/>
  <c r="M79" i="16"/>
  <c r="F79" i="16"/>
  <c r="E79" i="16"/>
  <c r="N78" i="16"/>
  <c r="M78" i="16"/>
  <c r="O78" i="16" s="1"/>
  <c r="F78" i="16"/>
  <c r="K78" i="16" s="1"/>
  <c r="P78" i="16" s="1"/>
  <c r="E78" i="16"/>
  <c r="N77" i="16"/>
  <c r="M77" i="16"/>
  <c r="F77" i="16"/>
  <c r="J77" i="16" s="1"/>
  <c r="E77" i="16"/>
  <c r="N76" i="16"/>
  <c r="M76" i="16"/>
  <c r="O76" i="16" s="1"/>
  <c r="F76" i="16"/>
  <c r="K76" i="16" s="1"/>
  <c r="P76" i="16" s="1"/>
  <c r="E76" i="16"/>
  <c r="N75" i="16"/>
  <c r="M75" i="16"/>
  <c r="F75" i="16"/>
  <c r="K75" i="16" s="1"/>
  <c r="P75" i="16" s="1"/>
  <c r="E75" i="16"/>
  <c r="N74" i="16"/>
  <c r="M74" i="16"/>
  <c r="F74" i="16"/>
  <c r="K74" i="16" s="1"/>
  <c r="P74" i="16" s="1"/>
  <c r="E74" i="16"/>
  <c r="N39" i="16"/>
  <c r="M39" i="16"/>
  <c r="F39" i="16"/>
  <c r="K39" i="16" s="1"/>
  <c r="P39" i="16" s="1"/>
  <c r="E39" i="16"/>
  <c r="N58" i="16"/>
  <c r="M58" i="16"/>
  <c r="O58" i="16" s="1"/>
  <c r="F58" i="16"/>
  <c r="J58" i="16" s="1"/>
  <c r="E58" i="16"/>
  <c r="Q306" i="16"/>
  <c r="N306" i="16"/>
  <c r="M306" i="16"/>
  <c r="F306" i="16"/>
  <c r="E306" i="16"/>
  <c r="N70" i="16"/>
  <c r="M70" i="16"/>
  <c r="O70" i="16" s="1"/>
  <c r="F70" i="16"/>
  <c r="K70" i="16" s="1"/>
  <c r="P70" i="16" s="1"/>
  <c r="E70" i="16"/>
  <c r="N69" i="16"/>
  <c r="M69" i="16"/>
  <c r="O69" i="16" s="1"/>
  <c r="F69" i="16"/>
  <c r="J69" i="16" s="1"/>
  <c r="E69" i="16"/>
  <c r="N68" i="16"/>
  <c r="M68" i="16"/>
  <c r="O68" i="16" s="1"/>
  <c r="F68" i="16"/>
  <c r="K68" i="16" s="1"/>
  <c r="P68" i="16" s="1"/>
  <c r="E68" i="16"/>
  <c r="N67" i="16"/>
  <c r="M67" i="16"/>
  <c r="O67" i="16" s="1"/>
  <c r="F67" i="16"/>
  <c r="K67" i="16" s="1"/>
  <c r="P67" i="16" s="1"/>
  <c r="E67" i="16"/>
  <c r="N8" i="16"/>
  <c r="M8" i="16"/>
  <c r="F8" i="16"/>
  <c r="K8" i="16" s="1"/>
  <c r="P8" i="16" s="1"/>
  <c r="E8" i="16"/>
  <c r="N65" i="16"/>
  <c r="M65" i="16"/>
  <c r="F65" i="16"/>
  <c r="K65" i="16" s="1"/>
  <c r="P65" i="16" s="1"/>
  <c r="E65" i="16"/>
  <c r="Q241" i="16"/>
  <c r="N241" i="16"/>
  <c r="M241" i="16"/>
  <c r="F241" i="16"/>
  <c r="J241" i="16" s="1"/>
  <c r="E241" i="16"/>
  <c r="Q372" i="16"/>
  <c r="N372" i="16"/>
  <c r="M372" i="16"/>
  <c r="F372" i="16"/>
  <c r="E372" i="16"/>
  <c r="N62" i="16"/>
  <c r="M62" i="16"/>
  <c r="O62" i="16" s="1"/>
  <c r="F62" i="16"/>
  <c r="K62" i="16" s="1"/>
  <c r="P62" i="16" s="1"/>
  <c r="E62" i="16"/>
  <c r="Q61" i="16"/>
  <c r="N61" i="16"/>
  <c r="M61" i="16"/>
  <c r="O61" i="16" s="1"/>
  <c r="F61" i="16"/>
  <c r="J61" i="16" s="1"/>
  <c r="E61" i="16"/>
  <c r="Q187" i="16"/>
  <c r="N187" i="16"/>
  <c r="M187" i="16"/>
  <c r="O187" i="16" s="1"/>
  <c r="F187" i="16"/>
  <c r="J187" i="16" s="1"/>
  <c r="E187" i="16"/>
  <c r="N59" i="16"/>
  <c r="M59" i="16"/>
  <c r="O59" i="16" s="1"/>
  <c r="F59" i="16"/>
  <c r="K59" i="16" s="1"/>
  <c r="P59" i="16" s="1"/>
  <c r="E59" i="16"/>
  <c r="Q191" i="16"/>
  <c r="N191" i="16"/>
  <c r="M191" i="16"/>
  <c r="F191" i="16"/>
  <c r="J191" i="16" s="1"/>
  <c r="E191" i="16"/>
  <c r="N57" i="16"/>
  <c r="M57" i="16"/>
  <c r="O57" i="16" s="1"/>
  <c r="F57" i="16"/>
  <c r="J57" i="16" s="1"/>
  <c r="E57" i="16"/>
  <c r="N29" i="16"/>
  <c r="M29" i="16"/>
  <c r="O29" i="16" s="1"/>
  <c r="F29" i="16"/>
  <c r="K29" i="16" s="1"/>
  <c r="P29" i="16" s="1"/>
  <c r="E29" i="16"/>
  <c r="N350" i="16"/>
  <c r="M350" i="16"/>
  <c r="F350" i="16"/>
  <c r="J350" i="16" s="1"/>
  <c r="E350" i="16"/>
  <c r="N55" i="16"/>
  <c r="M55" i="16"/>
  <c r="O55" i="16" s="1"/>
  <c r="F55" i="16"/>
  <c r="K55" i="16" s="1"/>
  <c r="P55" i="16" s="1"/>
  <c r="E55" i="16"/>
  <c r="N53" i="16"/>
  <c r="M53" i="16"/>
  <c r="O53" i="16" s="1"/>
  <c r="F53" i="16"/>
  <c r="J53" i="16" s="1"/>
  <c r="E53" i="16"/>
  <c r="N14" i="16"/>
  <c r="M14" i="16"/>
  <c r="O14" i="16" s="1"/>
  <c r="F14" i="16"/>
  <c r="J14" i="16" s="1"/>
  <c r="E14" i="16"/>
  <c r="N51" i="16"/>
  <c r="M51" i="16"/>
  <c r="O51" i="16" s="1"/>
  <c r="F51" i="16"/>
  <c r="K51" i="16" s="1"/>
  <c r="P51" i="16" s="1"/>
  <c r="E51" i="16"/>
  <c r="N50" i="16"/>
  <c r="M50" i="16"/>
  <c r="O50" i="16" s="1"/>
  <c r="F50" i="16"/>
  <c r="K50" i="16" s="1"/>
  <c r="P50" i="16" s="1"/>
  <c r="E50" i="16"/>
  <c r="N63" i="16"/>
  <c r="M63" i="16"/>
  <c r="O63" i="16" s="1"/>
  <c r="F63" i="16"/>
  <c r="J63" i="16" s="1"/>
  <c r="E63" i="16"/>
  <c r="N177" i="16"/>
  <c r="M177" i="16"/>
  <c r="O177" i="16" s="1"/>
  <c r="F177" i="16"/>
  <c r="K177" i="16" s="1"/>
  <c r="P177" i="16" s="1"/>
  <c r="E177" i="16"/>
  <c r="N47" i="16"/>
  <c r="M47" i="16"/>
  <c r="F47" i="16"/>
  <c r="J47" i="16" s="1"/>
  <c r="E47" i="16"/>
  <c r="N227" i="16"/>
  <c r="M227" i="16"/>
  <c r="O227" i="16" s="1"/>
  <c r="F227" i="16"/>
  <c r="K227" i="16" s="1"/>
  <c r="P227" i="16" s="1"/>
  <c r="E227" i="16"/>
  <c r="N118" i="16"/>
  <c r="M118" i="16"/>
  <c r="O118" i="16" s="1"/>
  <c r="F118" i="16"/>
  <c r="J118" i="16" s="1"/>
  <c r="E118" i="16"/>
  <c r="N205" i="16"/>
  <c r="M205" i="16"/>
  <c r="O205" i="16" s="1"/>
  <c r="F205" i="16"/>
  <c r="J205" i="16" s="1"/>
  <c r="E205" i="16"/>
  <c r="N110" i="16"/>
  <c r="M110" i="16"/>
  <c r="O110" i="16" s="1"/>
  <c r="F110" i="16"/>
  <c r="K110" i="16" s="1"/>
  <c r="P110" i="16" s="1"/>
  <c r="E110" i="16"/>
  <c r="N42" i="16"/>
  <c r="M42" i="16"/>
  <c r="O42" i="16" s="1"/>
  <c r="F42" i="16"/>
  <c r="K42" i="16" s="1"/>
  <c r="P42" i="16" s="1"/>
  <c r="E42" i="16"/>
  <c r="N23" i="16"/>
  <c r="M23" i="16"/>
  <c r="O23" i="16" s="1"/>
  <c r="F23" i="16"/>
  <c r="J23" i="16" s="1"/>
  <c r="E23" i="16"/>
  <c r="Q40" i="16"/>
  <c r="N40" i="16"/>
  <c r="M40" i="16"/>
  <c r="F40" i="16"/>
  <c r="K40" i="16" s="1"/>
  <c r="P40" i="16" s="1"/>
  <c r="E40" i="16"/>
  <c r="Q45" i="16"/>
  <c r="N45" i="16"/>
  <c r="M45" i="16"/>
  <c r="F45" i="16"/>
  <c r="J45" i="16" s="1"/>
  <c r="E45" i="16"/>
  <c r="Q38" i="16"/>
  <c r="N38" i="16"/>
  <c r="M38" i="16"/>
  <c r="O38" i="16" s="1"/>
  <c r="F38" i="16"/>
  <c r="K38" i="16" s="1"/>
  <c r="P38" i="16" s="1"/>
  <c r="E38" i="16"/>
  <c r="N18" i="16"/>
  <c r="M18" i="16"/>
  <c r="F18" i="16"/>
  <c r="K18" i="16" s="1"/>
  <c r="P18" i="16" s="1"/>
  <c r="E18" i="16"/>
  <c r="Q150" i="16"/>
  <c r="N150" i="16"/>
  <c r="M150" i="16"/>
  <c r="O150" i="16" s="1"/>
  <c r="F150" i="16"/>
  <c r="K150" i="16" s="1"/>
  <c r="P150" i="16" s="1"/>
  <c r="E150" i="16"/>
  <c r="N35" i="16"/>
  <c r="M35" i="16"/>
  <c r="O35" i="16" s="1"/>
  <c r="F35" i="16"/>
  <c r="K35" i="16" s="1"/>
  <c r="P35" i="16" s="1"/>
  <c r="E35" i="16"/>
  <c r="Q414" i="16"/>
  <c r="N414" i="16"/>
  <c r="O414" i="16" s="1"/>
  <c r="M414" i="16"/>
  <c r="F414" i="16"/>
  <c r="K414" i="16" s="1"/>
  <c r="P414" i="16" s="1"/>
  <c r="E414" i="16"/>
  <c r="N33" i="16"/>
  <c r="M33" i="16"/>
  <c r="O33" i="16" s="1"/>
  <c r="F33" i="16"/>
  <c r="J33" i="16" s="1"/>
  <c r="E33" i="16"/>
  <c r="N136" i="16"/>
  <c r="M136" i="16"/>
  <c r="F136" i="16"/>
  <c r="K136" i="16" s="1"/>
  <c r="P136" i="16" s="1"/>
  <c r="E136" i="16"/>
  <c r="N287" i="16"/>
  <c r="M287" i="16"/>
  <c r="F287" i="16"/>
  <c r="J287" i="16" s="1"/>
  <c r="E287" i="16"/>
  <c r="N30" i="16"/>
  <c r="M30" i="16"/>
  <c r="F30" i="16"/>
  <c r="K30" i="16" s="1"/>
  <c r="P30" i="16" s="1"/>
  <c r="E30" i="16"/>
  <c r="N32" i="16"/>
  <c r="M32" i="16"/>
  <c r="O32" i="16" s="1"/>
  <c r="F32" i="16"/>
  <c r="K32" i="16" s="1"/>
  <c r="P32" i="16" s="1"/>
  <c r="E32" i="16"/>
  <c r="N28" i="16"/>
  <c r="M28" i="16"/>
  <c r="F28" i="16"/>
  <c r="K28" i="16" s="1"/>
  <c r="P28" i="16" s="1"/>
  <c r="E28" i="16"/>
  <c r="N27" i="16"/>
  <c r="M27" i="16"/>
  <c r="O27" i="16" s="1"/>
  <c r="F27" i="16"/>
  <c r="K27" i="16" s="1"/>
  <c r="P27" i="16" s="1"/>
  <c r="E27" i="16"/>
  <c r="N26" i="16"/>
  <c r="M26" i="16"/>
  <c r="O26" i="16" s="1"/>
  <c r="F26" i="16"/>
  <c r="K26" i="16" s="1"/>
  <c r="P26" i="16" s="1"/>
  <c r="E26" i="16"/>
  <c r="N25" i="16"/>
  <c r="M25" i="16"/>
  <c r="O25" i="16" s="1"/>
  <c r="F25" i="16"/>
  <c r="J25" i="16" s="1"/>
  <c r="E25" i="16"/>
  <c r="N291" i="16"/>
  <c r="M291" i="16"/>
  <c r="O291" i="16" s="1"/>
  <c r="F291" i="16"/>
  <c r="K291" i="16" s="1"/>
  <c r="P291" i="16" s="1"/>
  <c r="E291" i="16"/>
  <c r="N156" i="16"/>
  <c r="M156" i="16"/>
  <c r="F156" i="16"/>
  <c r="K156" i="16" s="1"/>
  <c r="P156" i="16" s="1"/>
  <c r="E156" i="16"/>
  <c r="Q231" i="16"/>
  <c r="N231" i="16"/>
  <c r="M231" i="16"/>
  <c r="O231" i="16" s="1"/>
  <c r="F231" i="16"/>
  <c r="J231" i="16" s="1"/>
  <c r="E231" i="16"/>
  <c r="Q21" i="16"/>
  <c r="N21" i="16"/>
  <c r="M21" i="16"/>
  <c r="F21" i="16"/>
  <c r="J21" i="16" s="1"/>
  <c r="E21" i="16"/>
  <c r="Q20" i="16"/>
  <c r="N20" i="16"/>
  <c r="M20" i="16"/>
  <c r="F20" i="16"/>
  <c r="J20" i="16" s="1"/>
  <c r="E20" i="16"/>
  <c r="N19" i="16"/>
  <c r="M19" i="16"/>
  <c r="F19" i="16"/>
  <c r="J19" i="16" s="1"/>
  <c r="E19" i="16"/>
  <c r="Q144" i="16"/>
  <c r="N144" i="16"/>
  <c r="M144" i="16"/>
  <c r="O144" i="16" s="1"/>
  <c r="K144" i="16"/>
  <c r="P144" i="16" s="1"/>
  <c r="F144" i="16"/>
  <c r="J144" i="16" s="1"/>
  <c r="E144" i="16"/>
  <c r="Q17" i="16"/>
  <c r="N17" i="16"/>
  <c r="M17" i="16"/>
  <c r="F17" i="16"/>
  <c r="J17" i="16" s="1"/>
  <c r="E17" i="16"/>
  <c r="Q16" i="16"/>
  <c r="N16" i="16"/>
  <c r="M16" i="16"/>
  <c r="F16" i="16"/>
  <c r="K16" i="16" s="1"/>
  <c r="P16" i="16" s="1"/>
  <c r="E16" i="16"/>
  <c r="Q264" i="16"/>
  <c r="N264" i="16"/>
  <c r="M264" i="16"/>
  <c r="F264" i="16"/>
  <c r="K264" i="16" s="1"/>
  <c r="P264" i="16" s="1"/>
  <c r="E264" i="16"/>
  <c r="Q200" i="16"/>
  <c r="N200" i="16"/>
  <c r="M200" i="16"/>
  <c r="O200" i="16" s="1"/>
  <c r="F200" i="16"/>
  <c r="K200" i="16" s="1"/>
  <c r="P200" i="16" s="1"/>
  <c r="E200" i="16"/>
  <c r="N13" i="16"/>
  <c r="M13" i="16"/>
  <c r="F13" i="16"/>
  <c r="K13" i="16" s="1"/>
  <c r="P13" i="16" s="1"/>
  <c r="E13" i="16"/>
  <c r="N12" i="16"/>
  <c r="M12" i="16"/>
  <c r="O12" i="16" s="1"/>
  <c r="F12" i="16"/>
  <c r="K12" i="16" s="1"/>
  <c r="P12" i="16" s="1"/>
  <c r="E12" i="16"/>
  <c r="N11" i="16"/>
  <c r="M11" i="16"/>
  <c r="F11" i="16"/>
  <c r="K11" i="16" s="1"/>
  <c r="P11" i="16" s="1"/>
  <c r="E11" i="16"/>
  <c r="N10" i="16"/>
  <c r="M10" i="16"/>
  <c r="O10" i="16" s="1"/>
  <c r="F10" i="16"/>
  <c r="K10" i="16" s="1"/>
  <c r="P10" i="16" s="1"/>
  <c r="E10" i="16"/>
  <c r="N171" i="16"/>
  <c r="M171" i="16"/>
  <c r="F171" i="16"/>
  <c r="J171" i="16" s="1"/>
  <c r="E171" i="16"/>
  <c r="N66" i="16"/>
  <c r="M66" i="16"/>
  <c r="O66" i="16" s="1"/>
  <c r="F66" i="16"/>
  <c r="K66" i="16" s="1"/>
  <c r="P66" i="16" s="1"/>
  <c r="E66" i="16"/>
  <c r="N363" i="15"/>
  <c r="N362" i="15"/>
  <c r="N361" i="15"/>
  <c r="N360" i="15"/>
  <c r="N359" i="15"/>
  <c r="N358" i="15"/>
  <c r="N357" i="15"/>
  <c r="N355" i="15"/>
  <c r="N354" i="15"/>
  <c r="N353" i="15"/>
  <c r="N352" i="15"/>
  <c r="N351" i="15"/>
  <c r="N350" i="15"/>
  <c r="N349" i="15"/>
  <c r="N348" i="15"/>
  <c r="N347" i="15"/>
  <c r="N346" i="15"/>
  <c r="N345" i="15"/>
  <c r="N344" i="15"/>
  <c r="N343" i="15"/>
  <c r="N342" i="15"/>
  <c r="N341" i="15"/>
  <c r="N340" i="15"/>
  <c r="N339" i="15"/>
  <c r="N338" i="15"/>
  <c r="N337" i="15"/>
  <c r="N336" i="15"/>
  <c r="N335" i="15"/>
  <c r="N334" i="15"/>
  <c r="N333" i="15"/>
  <c r="N332" i="15"/>
  <c r="N331" i="15"/>
  <c r="N330" i="15"/>
  <c r="N329" i="15"/>
  <c r="N328" i="15"/>
  <c r="N327" i="15"/>
  <c r="N326" i="15"/>
  <c r="N325" i="15"/>
  <c r="N324" i="15"/>
  <c r="N323" i="15"/>
  <c r="N322" i="15"/>
  <c r="N321" i="15"/>
  <c r="N320" i="15"/>
  <c r="N319" i="15"/>
  <c r="N318" i="15"/>
  <c r="N317" i="15"/>
  <c r="N316" i="15"/>
  <c r="N314" i="15"/>
  <c r="N313" i="15"/>
  <c r="N312" i="15"/>
  <c r="N310" i="15"/>
  <c r="N309" i="15"/>
  <c r="N308" i="15"/>
  <c r="N307" i="15"/>
  <c r="N306" i="15"/>
  <c r="N305" i="15"/>
  <c r="N304" i="15"/>
  <c r="N303" i="15"/>
  <c r="N302" i="15"/>
  <c r="N301" i="15"/>
  <c r="N300" i="15"/>
  <c r="N299" i="15"/>
  <c r="N298" i="15"/>
  <c r="N297" i="15"/>
  <c r="N296" i="15"/>
  <c r="N294" i="15"/>
  <c r="N293" i="15"/>
  <c r="N292" i="15"/>
  <c r="N291" i="15"/>
  <c r="N290" i="15"/>
  <c r="N289" i="15"/>
  <c r="N288" i="15"/>
  <c r="N287" i="15"/>
  <c r="N286" i="15"/>
  <c r="N285" i="15"/>
  <c r="N284" i="15"/>
  <c r="N283" i="15"/>
  <c r="N282" i="15"/>
  <c r="N281" i="15"/>
  <c r="N279" i="15"/>
  <c r="N278" i="15"/>
  <c r="N276" i="15"/>
  <c r="N275" i="15"/>
  <c r="N274" i="15"/>
  <c r="N273" i="15"/>
  <c r="N272" i="15"/>
  <c r="N271" i="15"/>
  <c r="N270" i="15"/>
  <c r="N269" i="15"/>
  <c r="N268" i="15"/>
  <c r="N267" i="15"/>
  <c r="N266" i="15"/>
  <c r="N264" i="15"/>
  <c r="N263" i="15"/>
  <c r="N262" i="15"/>
  <c r="N261" i="15"/>
  <c r="N260" i="15"/>
  <c r="N259" i="15"/>
  <c r="N258" i="15"/>
  <c r="N257" i="15"/>
  <c r="N256" i="15"/>
  <c r="N254" i="15"/>
  <c r="N253" i="15"/>
  <c r="N251" i="15"/>
  <c r="N250" i="15"/>
  <c r="N249" i="15"/>
  <c r="N248" i="15"/>
  <c r="N246" i="15"/>
  <c r="N245" i="15"/>
  <c r="N244" i="15"/>
  <c r="N242" i="15"/>
  <c r="N241" i="15"/>
  <c r="N239" i="15"/>
  <c r="N238" i="15"/>
  <c r="N237" i="15"/>
  <c r="N236" i="15"/>
  <c r="N235" i="15"/>
  <c r="N234" i="15"/>
  <c r="N233" i="15"/>
  <c r="N231" i="15"/>
  <c r="N230" i="15"/>
  <c r="N229" i="15"/>
  <c r="N228" i="15"/>
  <c r="N227" i="15"/>
  <c r="N226" i="15"/>
  <c r="N225" i="15"/>
  <c r="N223" i="15"/>
  <c r="N222" i="15"/>
  <c r="N221" i="15"/>
  <c r="N219" i="15"/>
  <c r="N218" i="15"/>
  <c r="N217" i="15"/>
  <c r="N216" i="15"/>
  <c r="N215" i="15"/>
  <c r="N214" i="15"/>
  <c r="N213" i="15"/>
  <c r="N212" i="15"/>
  <c r="N211" i="15"/>
  <c r="N209" i="15"/>
  <c r="N208" i="15"/>
  <c r="N207" i="15"/>
  <c r="N206" i="15"/>
  <c r="N205" i="15"/>
  <c r="N204" i="15"/>
  <c r="N203" i="15"/>
  <c r="N202" i="15"/>
  <c r="N201" i="15"/>
  <c r="N200" i="15"/>
  <c r="N198" i="15"/>
  <c r="N197" i="15"/>
  <c r="N196" i="15"/>
  <c r="N195" i="15"/>
  <c r="N194" i="15"/>
  <c r="N193" i="15"/>
  <c r="N192" i="15"/>
  <c r="N191" i="15"/>
  <c r="N189" i="15"/>
  <c r="N188" i="15"/>
  <c r="N186" i="15"/>
  <c r="N185" i="15"/>
  <c r="N184" i="15"/>
  <c r="N183" i="15"/>
  <c r="N182" i="15"/>
  <c r="N181" i="15"/>
  <c r="N180" i="15"/>
  <c r="N179" i="15"/>
  <c r="N177" i="15"/>
  <c r="N176" i="15"/>
  <c r="N175" i="15"/>
  <c r="N174" i="15"/>
  <c r="N173" i="15"/>
  <c r="N171" i="15"/>
  <c r="N170" i="15"/>
  <c r="N169" i="15"/>
  <c r="N167" i="15"/>
  <c r="N166" i="15"/>
  <c r="N165" i="15"/>
  <c r="N163" i="15"/>
  <c r="N162" i="15"/>
  <c r="N160" i="15"/>
  <c r="N159" i="15"/>
  <c r="N158" i="15"/>
  <c r="N224" i="15"/>
  <c r="N156" i="15"/>
  <c r="N155" i="15"/>
  <c r="N153" i="15"/>
  <c r="N152" i="15"/>
  <c r="N151" i="15"/>
  <c r="N149" i="15"/>
  <c r="N146" i="15"/>
  <c r="N145" i="15"/>
  <c r="N144" i="15"/>
  <c r="N143" i="15"/>
  <c r="N141" i="15"/>
  <c r="N140" i="15"/>
  <c r="N139" i="15"/>
  <c r="N138" i="15"/>
  <c r="N137" i="15"/>
  <c r="N252" i="15"/>
  <c r="N136" i="15"/>
  <c r="N135" i="15"/>
  <c r="N134" i="15"/>
  <c r="N133" i="15"/>
  <c r="N132" i="15"/>
  <c r="N131" i="15"/>
  <c r="N130" i="15"/>
  <c r="N129" i="15"/>
  <c r="N311" i="15"/>
  <c r="N127" i="15"/>
  <c r="N126" i="15"/>
  <c r="N125" i="15"/>
  <c r="N124" i="15"/>
  <c r="N105" i="15"/>
  <c r="N72" i="15"/>
  <c r="N122" i="15"/>
  <c r="N38" i="15"/>
  <c r="N121" i="15"/>
  <c r="N120" i="15"/>
  <c r="N119" i="15"/>
  <c r="N106" i="15"/>
  <c r="N117" i="15"/>
  <c r="N116" i="15"/>
  <c r="N115" i="15"/>
  <c r="N30" i="15"/>
  <c r="N114" i="15"/>
  <c r="N113" i="15"/>
  <c r="N112" i="15"/>
  <c r="N69" i="15"/>
  <c r="N110" i="15"/>
  <c r="N109" i="15"/>
  <c r="N277" i="15"/>
  <c r="N108" i="15"/>
  <c r="N107" i="15"/>
  <c r="N56" i="15"/>
  <c r="N178" i="15"/>
  <c r="N210" i="15"/>
  <c r="N104" i="15"/>
  <c r="N265" i="15"/>
  <c r="N103" i="15"/>
  <c r="N102" i="15"/>
  <c r="N101" i="15"/>
  <c r="N100" i="15"/>
  <c r="N99" i="15"/>
  <c r="N98" i="15"/>
  <c r="N97" i="15"/>
  <c r="N91" i="15"/>
  <c r="N41" i="15"/>
  <c r="N95" i="15"/>
  <c r="N94" i="15"/>
  <c r="N93" i="15"/>
  <c r="N92" i="15"/>
  <c r="N148" i="15"/>
  <c r="N247" i="15"/>
  <c r="N161" i="15"/>
  <c r="N232" i="15"/>
  <c r="N89" i="15"/>
  <c r="N88" i="15"/>
  <c r="N87" i="15"/>
  <c r="N86" i="15"/>
  <c r="N85" i="15"/>
  <c r="N84" i="15"/>
  <c r="N83" i="15"/>
  <c r="N82" i="15"/>
  <c r="N81" i="15"/>
  <c r="N80" i="15"/>
  <c r="N79" i="15"/>
  <c r="N78" i="15"/>
  <c r="N77" i="15"/>
  <c r="N76" i="15"/>
  <c r="N75" i="15"/>
  <c r="N74" i="15"/>
  <c r="N73" i="15"/>
  <c r="N150" i="15"/>
  <c r="N71" i="15"/>
  <c r="N70" i="15"/>
  <c r="N172" i="15"/>
  <c r="N280" i="15"/>
  <c r="N68" i="15"/>
  <c r="N35" i="15"/>
  <c r="N67" i="15"/>
  <c r="N66" i="15"/>
  <c r="N65" i="15"/>
  <c r="N64" i="15"/>
  <c r="N63" i="15"/>
  <c r="N62" i="15"/>
  <c r="N61" i="15"/>
  <c r="N60" i="15"/>
  <c r="N59" i="15"/>
  <c r="N58" i="15"/>
  <c r="N57" i="15"/>
  <c r="N32" i="15"/>
  <c r="N45" i="15"/>
  <c r="N255" i="15"/>
  <c r="N55" i="15"/>
  <c r="N54" i="15"/>
  <c r="N53" i="15"/>
  <c r="N52" i="15"/>
  <c r="N8" i="15"/>
  <c r="N50" i="15"/>
  <c r="N199" i="15"/>
  <c r="N315" i="15"/>
  <c r="N48" i="15"/>
  <c r="N47" i="15"/>
  <c r="N154" i="15"/>
  <c r="N46" i="15"/>
  <c r="N157" i="15"/>
  <c r="N44" i="15"/>
  <c r="N25" i="15"/>
  <c r="N295" i="15"/>
  <c r="N43" i="15"/>
  <c r="N42" i="15"/>
  <c r="N13" i="15"/>
  <c r="N40" i="15"/>
  <c r="N39" i="15"/>
  <c r="N49" i="15"/>
  <c r="N147" i="15"/>
  <c r="N37" i="15"/>
  <c r="N187" i="15"/>
  <c r="N96" i="15"/>
  <c r="N168" i="15"/>
  <c r="N90" i="15"/>
  <c r="N34" i="15"/>
  <c r="N20" i="15"/>
  <c r="N33" i="15"/>
  <c r="N36" i="15"/>
  <c r="N31" i="15"/>
  <c r="N16" i="15"/>
  <c r="N123" i="15"/>
  <c r="N356" i="15"/>
  <c r="O356" i="15" s="1"/>
  <c r="N28" i="15"/>
  <c r="N111" i="15"/>
  <c r="N240" i="15"/>
  <c r="N26" i="15"/>
  <c r="N27" i="15"/>
  <c r="N24" i="15"/>
  <c r="N23" i="15"/>
  <c r="N22" i="15"/>
  <c r="O22" i="15" s="1"/>
  <c r="N21" i="15"/>
  <c r="N243" i="15"/>
  <c r="N128" i="15"/>
  <c r="N190" i="15"/>
  <c r="N19" i="15"/>
  <c r="N18" i="15"/>
  <c r="N17" i="15"/>
  <c r="N118" i="15"/>
  <c r="O118" i="15" s="1"/>
  <c r="N15" i="15"/>
  <c r="N14" i="15"/>
  <c r="N220" i="15"/>
  <c r="N164" i="15"/>
  <c r="N12" i="15"/>
  <c r="N11" i="15"/>
  <c r="N10" i="15"/>
  <c r="N9" i="15"/>
  <c r="N142" i="15"/>
  <c r="N51" i="15"/>
  <c r="M356" i="15"/>
  <c r="M28" i="15"/>
  <c r="M111" i="15"/>
  <c r="M240" i="15"/>
  <c r="O240" i="15" s="1"/>
  <c r="M26" i="15"/>
  <c r="M27" i="15"/>
  <c r="M24" i="15"/>
  <c r="M23" i="15"/>
  <c r="M22" i="15"/>
  <c r="M21" i="15"/>
  <c r="M243" i="15"/>
  <c r="M128" i="15"/>
  <c r="O128" i="15" s="1"/>
  <c r="M190" i="15"/>
  <c r="M19" i="15"/>
  <c r="M18" i="15"/>
  <c r="M17" i="15"/>
  <c r="M118" i="15"/>
  <c r="M15" i="15"/>
  <c r="M14" i="15"/>
  <c r="M220" i="15"/>
  <c r="M164" i="15"/>
  <c r="M12" i="15"/>
  <c r="O12" i="15" s="1"/>
  <c r="M11" i="15"/>
  <c r="M10" i="15"/>
  <c r="M9" i="15"/>
  <c r="M142" i="15"/>
  <c r="M51" i="15"/>
  <c r="N29" i="15"/>
  <c r="M140" i="15"/>
  <c r="M139" i="15"/>
  <c r="M138" i="15"/>
  <c r="O138" i="15" s="1"/>
  <c r="M137" i="15"/>
  <c r="O137" i="15" s="1"/>
  <c r="M252" i="15"/>
  <c r="O252" i="15" s="1"/>
  <c r="M136" i="15"/>
  <c r="M135" i="15"/>
  <c r="M134" i="15"/>
  <c r="M133" i="15"/>
  <c r="M132" i="15"/>
  <c r="M131" i="15"/>
  <c r="O131" i="15" s="1"/>
  <c r="M130" i="15"/>
  <c r="O130" i="15" s="1"/>
  <c r="M129" i="15"/>
  <c r="O129" i="15" s="1"/>
  <c r="M311" i="15"/>
  <c r="O311" i="15" s="1"/>
  <c r="M127" i="15"/>
  <c r="O127" i="15" s="1"/>
  <c r="M126" i="15"/>
  <c r="M125" i="15"/>
  <c r="M124" i="15"/>
  <c r="M105" i="15"/>
  <c r="O105" i="15" s="1"/>
  <c r="M72" i="15"/>
  <c r="O72" i="15" s="1"/>
  <c r="M122" i="15"/>
  <c r="O122" i="15" s="1"/>
  <c r="M38" i="15"/>
  <c r="O38" i="15" s="1"/>
  <c r="M121" i="15"/>
  <c r="M120" i="15"/>
  <c r="M119" i="15"/>
  <c r="M106" i="15"/>
  <c r="M117" i="15"/>
  <c r="O117" i="15" s="1"/>
  <c r="M116" i="15"/>
  <c r="O116" i="15" s="1"/>
  <c r="M115" i="15"/>
  <c r="M30" i="15"/>
  <c r="O30" i="15" s="1"/>
  <c r="M114" i="15"/>
  <c r="M113" i="15"/>
  <c r="M112" i="15"/>
  <c r="M69" i="15"/>
  <c r="O69" i="15" s="1"/>
  <c r="M110" i="15"/>
  <c r="O110" i="15" s="1"/>
  <c r="M109" i="15"/>
  <c r="O109" i="15" s="1"/>
  <c r="M277" i="15"/>
  <c r="M108" i="15"/>
  <c r="O108" i="15" s="1"/>
  <c r="M107" i="15"/>
  <c r="M56" i="15"/>
  <c r="M178" i="15"/>
  <c r="M210" i="15"/>
  <c r="O210" i="15" s="1"/>
  <c r="M104" i="15"/>
  <c r="O104" i="15" s="1"/>
  <c r="M265" i="15"/>
  <c r="O265" i="15" s="1"/>
  <c r="M103" i="15"/>
  <c r="M102" i="15"/>
  <c r="O102" i="15" s="1"/>
  <c r="M101" i="15"/>
  <c r="M100" i="15"/>
  <c r="M99" i="15"/>
  <c r="M98" i="15"/>
  <c r="O98" i="15" s="1"/>
  <c r="M97" i="15"/>
  <c r="M91" i="15"/>
  <c r="O91" i="15" s="1"/>
  <c r="M41" i="15"/>
  <c r="M95" i="15"/>
  <c r="O95" i="15" s="1"/>
  <c r="M94" i="15"/>
  <c r="M93" i="15"/>
  <c r="M92" i="15"/>
  <c r="M148" i="15"/>
  <c r="O148" i="15" s="1"/>
  <c r="M247" i="15"/>
  <c r="M161" i="15"/>
  <c r="O161" i="15" s="1"/>
  <c r="M232" i="15"/>
  <c r="M89" i="15"/>
  <c r="M88" i="15"/>
  <c r="M87" i="15"/>
  <c r="M86" i="15"/>
  <c r="M85" i="15"/>
  <c r="O85" i="15" s="1"/>
  <c r="M84" i="15"/>
  <c r="M83" i="15"/>
  <c r="O83" i="15" s="1"/>
  <c r="M82" i="15"/>
  <c r="M81" i="15"/>
  <c r="M80" i="15"/>
  <c r="M79" i="15"/>
  <c r="M78" i="15"/>
  <c r="M77" i="15"/>
  <c r="O77" i="15" s="1"/>
  <c r="M76" i="15"/>
  <c r="M75" i="15"/>
  <c r="O75" i="15" s="1"/>
  <c r="M74" i="15"/>
  <c r="M73" i="15"/>
  <c r="M150" i="15"/>
  <c r="M71" i="15"/>
  <c r="M70" i="15"/>
  <c r="M172" i="15"/>
  <c r="O172" i="15" s="1"/>
  <c r="M280" i="15"/>
  <c r="M68" i="15"/>
  <c r="O68" i="15" s="1"/>
  <c r="M35" i="15"/>
  <c r="M67" i="15"/>
  <c r="M66" i="15"/>
  <c r="M65" i="15"/>
  <c r="M64" i="15"/>
  <c r="M63" i="15"/>
  <c r="O63" i="15" s="1"/>
  <c r="M62" i="15"/>
  <c r="M61" i="15"/>
  <c r="M60" i="15"/>
  <c r="M59" i="15"/>
  <c r="M58" i="15"/>
  <c r="M57" i="15"/>
  <c r="M32" i="15"/>
  <c r="M45" i="15"/>
  <c r="O45" i="15" s="1"/>
  <c r="M255" i="15"/>
  <c r="M55" i="15"/>
  <c r="M54" i="15"/>
  <c r="M53" i="15"/>
  <c r="M52" i="15"/>
  <c r="M8" i="15"/>
  <c r="M50" i="15"/>
  <c r="M199" i="15"/>
  <c r="O199" i="15" s="1"/>
  <c r="M315" i="15"/>
  <c r="M48" i="15"/>
  <c r="M47" i="15"/>
  <c r="M154" i="15"/>
  <c r="M46" i="15"/>
  <c r="M157" i="15"/>
  <c r="M44" i="15"/>
  <c r="M25" i="15"/>
  <c r="O25" i="15" s="1"/>
  <c r="M295" i="15"/>
  <c r="M43" i="15"/>
  <c r="M42" i="15"/>
  <c r="M13" i="15"/>
  <c r="M40" i="15"/>
  <c r="M39" i="15"/>
  <c r="M49" i="15"/>
  <c r="M147" i="15"/>
  <c r="O147" i="15" s="1"/>
  <c r="M37" i="15"/>
  <c r="M187" i="15"/>
  <c r="M96" i="15"/>
  <c r="M168" i="15"/>
  <c r="M90" i="15"/>
  <c r="M34" i="15"/>
  <c r="M20" i="15"/>
  <c r="M33" i="15"/>
  <c r="O33" i="15" s="1"/>
  <c r="M36" i="15"/>
  <c r="M31" i="15"/>
  <c r="M16" i="15"/>
  <c r="M123" i="15"/>
  <c r="M29" i="15"/>
  <c r="E363" i="15"/>
  <c r="D363" i="15"/>
  <c r="C363" i="15"/>
  <c r="G363" i="15" s="1"/>
  <c r="E362" i="15"/>
  <c r="D362" i="15"/>
  <c r="C362" i="15"/>
  <c r="H362" i="15" s="1"/>
  <c r="E361" i="15"/>
  <c r="D361" i="15"/>
  <c r="C361" i="15"/>
  <c r="E360" i="15"/>
  <c r="D360" i="15"/>
  <c r="C360" i="15"/>
  <c r="E359" i="15"/>
  <c r="D359" i="15"/>
  <c r="C359" i="15"/>
  <c r="H359" i="15" s="1"/>
  <c r="E358" i="15"/>
  <c r="D358" i="15"/>
  <c r="C358" i="15"/>
  <c r="M358" i="15" s="1"/>
  <c r="O358" i="15" s="1"/>
  <c r="E357" i="15"/>
  <c r="D357" i="15"/>
  <c r="C357" i="15"/>
  <c r="I357" i="15" s="1"/>
  <c r="P357" i="15" s="1"/>
  <c r="E355" i="15"/>
  <c r="D355" i="15"/>
  <c r="C355" i="15"/>
  <c r="H355" i="15" s="1"/>
  <c r="E354" i="15"/>
  <c r="D354" i="15"/>
  <c r="C354" i="15"/>
  <c r="E353" i="15"/>
  <c r="D353" i="15"/>
  <c r="C353" i="15"/>
  <c r="H353" i="15" s="1"/>
  <c r="E352" i="15"/>
  <c r="D352" i="15"/>
  <c r="C352" i="15"/>
  <c r="I352" i="15" s="1"/>
  <c r="P352" i="15" s="1"/>
  <c r="E351" i="15"/>
  <c r="D351" i="15"/>
  <c r="C351" i="15"/>
  <c r="I351" i="15" s="1"/>
  <c r="P351" i="15" s="1"/>
  <c r="E350" i="15"/>
  <c r="D350" i="15"/>
  <c r="C350" i="15"/>
  <c r="H350" i="15" s="1"/>
  <c r="E349" i="15"/>
  <c r="D349" i="15"/>
  <c r="C349" i="15"/>
  <c r="G349" i="15" s="1"/>
  <c r="E348" i="15"/>
  <c r="D348" i="15"/>
  <c r="C348" i="15"/>
  <c r="H348" i="15" s="1"/>
  <c r="E347" i="15"/>
  <c r="D347" i="15"/>
  <c r="C347" i="15"/>
  <c r="H347" i="15" s="1"/>
  <c r="E346" i="15"/>
  <c r="D346" i="15"/>
  <c r="C346" i="15"/>
  <c r="I346" i="15" s="1"/>
  <c r="P346" i="15" s="1"/>
  <c r="E345" i="15"/>
  <c r="D345" i="15"/>
  <c r="C345" i="15"/>
  <c r="I345" i="15" s="1"/>
  <c r="P345" i="15" s="1"/>
  <c r="E344" i="15"/>
  <c r="D344" i="15"/>
  <c r="C344" i="15"/>
  <c r="I344" i="15" s="1"/>
  <c r="P344" i="15" s="1"/>
  <c r="E343" i="15"/>
  <c r="D343" i="15"/>
  <c r="C343" i="15"/>
  <c r="E342" i="15"/>
  <c r="D342" i="15"/>
  <c r="C342" i="15"/>
  <c r="I342" i="15" s="1"/>
  <c r="P342" i="15" s="1"/>
  <c r="E341" i="15"/>
  <c r="D341" i="15"/>
  <c r="C341" i="15"/>
  <c r="M341" i="15" s="1"/>
  <c r="O341" i="15" s="1"/>
  <c r="E340" i="15"/>
  <c r="D340" i="15"/>
  <c r="C340" i="15"/>
  <c r="G340" i="15" s="1"/>
  <c r="E339" i="15"/>
  <c r="D339" i="15"/>
  <c r="C339" i="15"/>
  <c r="H339" i="15" s="1"/>
  <c r="E338" i="15"/>
  <c r="D338" i="15"/>
  <c r="C338" i="15"/>
  <c r="E337" i="15"/>
  <c r="D337" i="15"/>
  <c r="C337" i="15"/>
  <c r="I337" i="15" s="1"/>
  <c r="P337" i="15" s="1"/>
  <c r="E336" i="15"/>
  <c r="D336" i="15"/>
  <c r="C336" i="15"/>
  <c r="I336" i="15" s="1"/>
  <c r="P336" i="15" s="1"/>
  <c r="E335" i="15"/>
  <c r="D335" i="15"/>
  <c r="C335" i="15"/>
  <c r="E334" i="15"/>
  <c r="D334" i="15"/>
  <c r="C334" i="15"/>
  <c r="M334" i="15" s="1"/>
  <c r="O334" i="15" s="1"/>
  <c r="E333" i="15"/>
  <c r="D333" i="15"/>
  <c r="C333" i="15"/>
  <c r="M333" i="15" s="1"/>
  <c r="O333" i="15" s="1"/>
  <c r="E332" i="15"/>
  <c r="D332" i="15"/>
  <c r="C332" i="15"/>
  <c r="H332" i="15" s="1"/>
  <c r="E331" i="15"/>
  <c r="D331" i="15"/>
  <c r="C331" i="15"/>
  <c r="H331" i="15" s="1"/>
  <c r="E330" i="15"/>
  <c r="D330" i="15"/>
  <c r="C330" i="15"/>
  <c r="E329" i="15"/>
  <c r="D329" i="15"/>
  <c r="C329" i="15"/>
  <c r="I329" i="15" s="1"/>
  <c r="P329" i="15" s="1"/>
  <c r="E328" i="15"/>
  <c r="D328" i="15"/>
  <c r="C328" i="15"/>
  <c r="I328" i="15" s="1"/>
  <c r="P328" i="15" s="1"/>
  <c r="E327" i="15"/>
  <c r="D327" i="15"/>
  <c r="C327" i="15"/>
  <c r="M327" i="15" s="1"/>
  <c r="O327" i="15" s="1"/>
  <c r="E326" i="15"/>
  <c r="D326" i="15"/>
  <c r="C326" i="15"/>
  <c r="I326" i="15" s="1"/>
  <c r="P326" i="15" s="1"/>
  <c r="E325" i="15"/>
  <c r="D325" i="15"/>
  <c r="C325" i="15"/>
  <c r="H325" i="15" s="1"/>
  <c r="E324" i="15"/>
  <c r="D324" i="15"/>
  <c r="C324" i="15"/>
  <c r="H324" i="15" s="1"/>
  <c r="E323" i="15"/>
  <c r="D323" i="15"/>
  <c r="C323" i="15"/>
  <c r="E322" i="15"/>
  <c r="D322" i="15"/>
  <c r="C322" i="15"/>
  <c r="E321" i="15"/>
  <c r="D321" i="15"/>
  <c r="C321" i="15"/>
  <c r="I321" i="15" s="1"/>
  <c r="P321" i="15" s="1"/>
  <c r="E320" i="15"/>
  <c r="D320" i="15"/>
  <c r="C320" i="15"/>
  <c r="E319" i="15"/>
  <c r="D319" i="15"/>
  <c r="C319" i="15"/>
  <c r="M319" i="15" s="1"/>
  <c r="O319" i="15" s="1"/>
  <c r="E318" i="15"/>
  <c r="D318" i="15"/>
  <c r="C318" i="15"/>
  <c r="G318" i="15" s="1"/>
  <c r="E317" i="15"/>
  <c r="D317" i="15"/>
  <c r="C317" i="15"/>
  <c r="H317" i="15" s="1"/>
  <c r="E316" i="15"/>
  <c r="D316" i="15"/>
  <c r="C316" i="15"/>
  <c r="H316" i="15" s="1"/>
  <c r="E314" i="15"/>
  <c r="D314" i="15"/>
  <c r="C314" i="15"/>
  <c r="I314" i="15" s="1"/>
  <c r="P314" i="15" s="1"/>
  <c r="E313" i="15"/>
  <c r="D313" i="15"/>
  <c r="C313" i="15"/>
  <c r="E312" i="15"/>
  <c r="D312" i="15"/>
  <c r="C312" i="15"/>
  <c r="M312" i="15" s="1"/>
  <c r="O312" i="15" s="1"/>
  <c r="E310" i="15"/>
  <c r="D310" i="15"/>
  <c r="C310" i="15"/>
  <c r="I310" i="15" s="1"/>
  <c r="P310" i="15" s="1"/>
  <c r="E309" i="15"/>
  <c r="D309" i="15"/>
  <c r="C309" i="15"/>
  <c r="H309" i="15" s="1"/>
  <c r="E308" i="15"/>
  <c r="D308" i="15"/>
  <c r="C308" i="15"/>
  <c r="E307" i="15"/>
  <c r="D307" i="15"/>
  <c r="C307" i="15"/>
  <c r="G307" i="15" s="1"/>
  <c r="E306" i="15"/>
  <c r="D306" i="15"/>
  <c r="C306" i="15"/>
  <c r="I306" i="15" s="1"/>
  <c r="P306" i="15" s="1"/>
  <c r="E305" i="15"/>
  <c r="D305" i="15"/>
  <c r="C305" i="15"/>
  <c r="I305" i="15" s="1"/>
  <c r="P305" i="15" s="1"/>
  <c r="E304" i="15"/>
  <c r="D304" i="15"/>
  <c r="C304" i="15"/>
  <c r="H304" i="15" s="1"/>
  <c r="E303" i="15"/>
  <c r="D303" i="15"/>
  <c r="C303" i="15"/>
  <c r="E302" i="15"/>
  <c r="D302" i="15"/>
  <c r="C302" i="15"/>
  <c r="H302" i="15" s="1"/>
  <c r="E301" i="15"/>
  <c r="D301" i="15"/>
  <c r="C301" i="15"/>
  <c r="E300" i="15"/>
  <c r="D300" i="15"/>
  <c r="C300" i="15"/>
  <c r="G300" i="15" s="1"/>
  <c r="E299" i="15"/>
  <c r="D299" i="15"/>
  <c r="C299" i="15"/>
  <c r="I299" i="15" s="1"/>
  <c r="P299" i="15" s="1"/>
  <c r="E298" i="15"/>
  <c r="D298" i="15"/>
  <c r="C298" i="15"/>
  <c r="E297" i="15"/>
  <c r="D297" i="15"/>
  <c r="C297" i="15"/>
  <c r="M297" i="15" s="1"/>
  <c r="O297" i="15" s="1"/>
  <c r="E296" i="15"/>
  <c r="D296" i="15"/>
  <c r="C296" i="15"/>
  <c r="I296" i="15" s="1"/>
  <c r="P296" i="15" s="1"/>
  <c r="E294" i="15"/>
  <c r="D294" i="15"/>
  <c r="C294" i="15"/>
  <c r="E293" i="15"/>
  <c r="D293" i="15"/>
  <c r="C293" i="15"/>
  <c r="E292" i="15"/>
  <c r="D292" i="15"/>
  <c r="C292" i="15"/>
  <c r="I292" i="15" s="1"/>
  <c r="P292" i="15" s="1"/>
  <c r="E291" i="15"/>
  <c r="D291" i="15"/>
  <c r="C291" i="15"/>
  <c r="G291" i="15" s="1"/>
  <c r="E290" i="15"/>
  <c r="D290" i="15"/>
  <c r="C290" i="15"/>
  <c r="H290" i="15" s="1"/>
  <c r="E289" i="15"/>
  <c r="D289" i="15"/>
  <c r="C289" i="15"/>
  <c r="G289" i="15" s="1"/>
  <c r="E288" i="15"/>
  <c r="D288" i="15"/>
  <c r="C288" i="15"/>
  <c r="E287" i="15"/>
  <c r="D287" i="15"/>
  <c r="C287" i="15"/>
  <c r="H287" i="15" s="1"/>
  <c r="E286" i="15"/>
  <c r="D286" i="15"/>
  <c r="C286" i="15"/>
  <c r="E285" i="15"/>
  <c r="D285" i="15"/>
  <c r="C285" i="15"/>
  <c r="E284" i="15"/>
  <c r="D284" i="15"/>
  <c r="C284" i="15"/>
  <c r="I284" i="15" s="1"/>
  <c r="P284" i="15" s="1"/>
  <c r="E283" i="15"/>
  <c r="D283" i="15"/>
  <c r="C283" i="15"/>
  <c r="I283" i="15" s="1"/>
  <c r="P283" i="15" s="1"/>
  <c r="E282" i="15"/>
  <c r="D282" i="15"/>
  <c r="C282" i="15"/>
  <c r="I282" i="15" s="1"/>
  <c r="P282" i="15" s="1"/>
  <c r="E281" i="15"/>
  <c r="D281" i="15"/>
  <c r="C281" i="15"/>
  <c r="M281" i="15" s="1"/>
  <c r="O281" i="15" s="1"/>
  <c r="E279" i="15"/>
  <c r="D279" i="15"/>
  <c r="C279" i="15"/>
  <c r="G279" i="15" s="1"/>
  <c r="E278" i="15"/>
  <c r="D278" i="15"/>
  <c r="C278" i="15"/>
  <c r="I278" i="15" s="1"/>
  <c r="P278" i="15" s="1"/>
  <c r="E276" i="15"/>
  <c r="D276" i="15"/>
  <c r="C276" i="15"/>
  <c r="E275" i="15"/>
  <c r="D275" i="15"/>
  <c r="C275" i="15"/>
  <c r="M275" i="15" s="1"/>
  <c r="O275" i="15" s="1"/>
  <c r="E274" i="15"/>
  <c r="D274" i="15"/>
  <c r="C274" i="15"/>
  <c r="E273" i="15"/>
  <c r="D273" i="15"/>
  <c r="C273" i="15"/>
  <c r="G273" i="15" s="1"/>
  <c r="E272" i="15"/>
  <c r="D272" i="15"/>
  <c r="C272" i="15"/>
  <c r="E271" i="15"/>
  <c r="D271" i="15"/>
  <c r="C271" i="15"/>
  <c r="E270" i="15"/>
  <c r="D270" i="15"/>
  <c r="C270" i="15"/>
  <c r="G270" i="15" s="1"/>
  <c r="E269" i="15"/>
  <c r="D269" i="15"/>
  <c r="C269" i="15"/>
  <c r="H269" i="15" s="1"/>
  <c r="E268" i="15"/>
  <c r="D268" i="15"/>
  <c r="C268" i="15"/>
  <c r="M268" i="15" s="1"/>
  <c r="O268" i="15" s="1"/>
  <c r="E267" i="15"/>
  <c r="D267" i="15"/>
  <c r="C267" i="15"/>
  <c r="I267" i="15" s="1"/>
  <c r="P267" i="15" s="1"/>
  <c r="E266" i="15"/>
  <c r="D266" i="15"/>
  <c r="C266" i="15"/>
  <c r="H266" i="15" s="1"/>
  <c r="E264" i="15"/>
  <c r="D264" i="15"/>
  <c r="C264" i="15"/>
  <c r="E263" i="15"/>
  <c r="D263" i="15"/>
  <c r="C263" i="15"/>
  <c r="E262" i="15"/>
  <c r="D262" i="15"/>
  <c r="C262" i="15"/>
  <c r="H262" i="15" s="1"/>
  <c r="E261" i="15"/>
  <c r="D261" i="15"/>
  <c r="C261" i="15"/>
  <c r="H261" i="15" s="1"/>
  <c r="E260" i="15"/>
  <c r="D260" i="15"/>
  <c r="C260" i="15"/>
  <c r="M260" i="15" s="1"/>
  <c r="O260" i="15" s="1"/>
  <c r="E259" i="15"/>
  <c r="D259" i="15"/>
  <c r="C259" i="15"/>
  <c r="G259" i="15" s="1"/>
  <c r="E258" i="15"/>
  <c r="D258" i="15"/>
  <c r="C258" i="15"/>
  <c r="H258" i="15" s="1"/>
  <c r="E257" i="15"/>
  <c r="D257" i="15"/>
  <c r="C257" i="15"/>
  <c r="G257" i="15" s="1"/>
  <c r="E256" i="15"/>
  <c r="D256" i="15"/>
  <c r="C256" i="15"/>
  <c r="H256" i="15" s="1"/>
  <c r="E254" i="15"/>
  <c r="D254" i="15"/>
  <c r="C254" i="15"/>
  <c r="H254" i="15" s="1"/>
  <c r="E253" i="15"/>
  <c r="D253" i="15"/>
  <c r="C253" i="15"/>
  <c r="M253" i="15" s="1"/>
  <c r="O253" i="15" s="1"/>
  <c r="E251" i="15"/>
  <c r="D251" i="15"/>
  <c r="C251" i="15"/>
  <c r="I251" i="15" s="1"/>
  <c r="P251" i="15" s="1"/>
  <c r="E250" i="15"/>
  <c r="D250" i="15"/>
  <c r="C250" i="15"/>
  <c r="E249" i="15"/>
  <c r="D249" i="15"/>
  <c r="C249" i="15"/>
  <c r="H249" i="15" s="1"/>
  <c r="E248" i="15"/>
  <c r="D248" i="15"/>
  <c r="C248" i="15"/>
  <c r="E246" i="15"/>
  <c r="D246" i="15"/>
  <c r="C246" i="15"/>
  <c r="M246" i="15" s="1"/>
  <c r="O246" i="15" s="1"/>
  <c r="E245" i="15"/>
  <c r="D245" i="15"/>
  <c r="C245" i="15"/>
  <c r="G245" i="15" s="1"/>
  <c r="E244" i="15"/>
  <c r="D244" i="15"/>
  <c r="C244" i="15"/>
  <c r="E242" i="15"/>
  <c r="D242" i="15"/>
  <c r="C242" i="15"/>
  <c r="E241" i="15"/>
  <c r="D241" i="15"/>
  <c r="C241" i="15"/>
  <c r="E239" i="15"/>
  <c r="D239" i="15"/>
  <c r="C239" i="15"/>
  <c r="E238" i="15"/>
  <c r="D238" i="15"/>
  <c r="C238" i="15"/>
  <c r="I238" i="15" s="1"/>
  <c r="P238" i="15" s="1"/>
  <c r="E237" i="15"/>
  <c r="D237" i="15"/>
  <c r="C237" i="15"/>
  <c r="E236" i="15"/>
  <c r="D236" i="15"/>
  <c r="C236" i="15"/>
  <c r="H236" i="15" s="1"/>
  <c r="E235" i="15"/>
  <c r="D235" i="15"/>
  <c r="C235" i="15"/>
  <c r="H235" i="15" s="1"/>
  <c r="E234" i="15"/>
  <c r="D234" i="15"/>
  <c r="C234" i="15"/>
  <c r="M234" i="15" s="1"/>
  <c r="O234" i="15" s="1"/>
  <c r="E233" i="15"/>
  <c r="D233" i="15"/>
  <c r="C233" i="15"/>
  <c r="G233" i="15" s="1"/>
  <c r="E231" i="15"/>
  <c r="D231" i="15"/>
  <c r="C231" i="15"/>
  <c r="E230" i="15"/>
  <c r="D230" i="15"/>
  <c r="C230" i="15"/>
  <c r="M230" i="15" s="1"/>
  <c r="O230" i="15" s="1"/>
  <c r="E229" i="15"/>
  <c r="D229" i="15"/>
  <c r="C229" i="15"/>
  <c r="G229" i="15" s="1"/>
  <c r="E228" i="15"/>
  <c r="D228" i="15"/>
  <c r="C228" i="15"/>
  <c r="I228" i="15" s="1"/>
  <c r="P228" i="15" s="1"/>
  <c r="E227" i="15"/>
  <c r="D227" i="15"/>
  <c r="C227" i="15"/>
  <c r="M227" i="15" s="1"/>
  <c r="O227" i="15" s="1"/>
  <c r="E226" i="15"/>
  <c r="D226" i="15"/>
  <c r="C226" i="15"/>
  <c r="M226" i="15" s="1"/>
  <c r="O226" i="15" s="1"/>
  <c r="E225" i="15"/>
  <c r="D225" i="15"/>
  <c r="C225" i="15"/>
  <c r="E223" i="15"/>
  <c r="D223" i="15"/>
  <c r="C223" i="15"/>
  <c r="E222" i="15"/>
  <c r="D222" i="15"/>
  <c r="C222" i="15"/>
  <c r="I222" i="15" s="1"/>
  <c r="P222" i="15" s="1"/>
  <c r="E221" i="15"/>
  <c r="D221" i="15"/>
  <c r="C221" i="15"/>
  <c r="H221" i="15" s="1"/>
  <c r="E219" i="15"/>
  <c r="D219" i="15"/>
  <c r="C219" i="15"/>
  <c r="M219" i="15" s="1"/>
  <c r="O219" i="15" s="1"/>
  <c r="E218" i="15"/>
  <c r="D218" i="15"/>
  <c r="C218" i="15"/>
  <c r="I218" i="15" s="1"/>
  <c r="P218" i="15" s="1"/>
  <c r="E217" i="15"/>
  <c r="D217" i="15"/>
  <c r="C217" i="15"/>
  <c r="G217" i="15" s="1"/>
  <c r="E216" i="15"/>
  <c r="D216" i="15"/>
  <c r="C216" i="15"/>
  <c r="E215" i="15"/>
  <c r="D215" i="15"/>
  <c r="C215" i="15"/>
  <c r="M215" i="15" s="1"/>
  <c r="O215" i="15" s="1"/>
  <c r="E214" i="15"/>
  <c r="D214" i="15"/>
  <c r="C214" i="15"/>
  <c r="G214" i="15" s="1"/>
  <c r="E213" i="15"/>
  <c r="D213" i="15"/>
  <c r="C213" i="15"/>
  <c r="H213" i="15" s="1"/>
  <c r="E212" i="15"/>
  <c r="D212" i="15"/>
  <c r="C212" i="15"/>
  <c r="I212" i="15" s="1"/>
  <c r="P212" i="15" s="1"/>
  <c r="E211" i="15"/>
  <c r="D211" i="15"/>
  <c r="C211" i="15"/>
  <c r="I211" i="15" s="1"/>
  <c r="P211" i="15" s="1"/>
  <c r="E209" i="15"/>
  <c r="D209" i="15"/>
  <c r="C209" i="15"/>
  <c r="G209" i="15" s="1"/>
  <c r="E208" i="15"/>
  <c r="D208" i="15"/>
  <c r="C208" i="15"/>
  <c r="M208" i="15" s="1"/>
  <c r="O208" i="15" s="1"/>
  <c r="E207" i="15"/>
  <c r="D207" i="15"/>
  <c r="C207" i="15"/>
  <c r="E206" i="15"/>
  <c r="D206" i="15"/>
  <c r="C206" i="15"/>
  <c r="H206" i="15" s="1"/>
  <c r="E205" i="15"/>
  <c r="D205" i="15"/>
  <c r="C205" i="15"/>
  <c r="M205" i="15" s="1"/>
  <c r="O205" i="15" s="1"/>
  <c r="E204" i="15"/>
  <c r="D204" i="15"/>
  <c r="C204" i="15"/>
  <c r="G204" i="15" s="1"/>
  <c r="E203" i="15"/>
  <c r="D203" i="15"/>
  <c r="C203" i="15"/>
  <c r="I203" i="15" s="1"/>
  <c r="P203" i="15" s="1"/>
  <c r="E202" i="15"/>
  <c r="D202" i="15"/>
  <c r="C202" i="15"/>
  <c r="E201" i="15"/>
  <c r="D201" i="15"/>
  <c r="C201" i="15"/>
  <c r="M201" i="15" s="1"/>
  <c r="O201" i="15" s="1"/>
  <c r="E200" i="15"/>
  <c r="D200" i="15"/>
  <c r="C200" i="15"/>
  <c r="H200" i="15" s="1"/>
  <c r="E198" i="15"/>
  <c r="D198" i="15"/>
  <c r="C198" i="15"/>
  <c r="M198" i="15" s="1"/>
  <c r="O198" i="15" s="1"/>
  <c r="E197" i="15"/>
  <c r="D197" i="15"/>
  <c r="C197" i="15"/>
  <c r="M197" i="15" s="1"/>
  <c r="O197" i="15" s="1"/>
  <c r="E196" i="15"/>
  <c r="D196" i="15"/>
  <c r="C196" i="15"/>
  <c r="E195" i="15"/>
  <c r="D195" i="15"/>
  <c r="C195" i="15"/>
  <c r="E194" i="15"/>
  <c r="D194" i="15"/>
  <c r="C194" i="15"/>
  <c r="G194" i="15" s="1"/>
  <c r="E193" i="15"/>
  <c r="D193" i="15"/>
  <c r="C193" i="15"/>
  <c r="E192" i="15"/>
  <c r="D192" i="15"/>
  <c r="C192" i="15"/>
  <c r="I192" i="15" s="1"/>
  <c r="P192" i="15" s="1"/>
  <c r="E191" i="15"/>
  <c r="D191" i="15"/>
  <c r="C191" i="15"/>
  <c r="G191" i="15" s="1"/>
  <c r="E189" i="15"/>
  <c r="D189" i="15"/>
  <c r="C189" i="15"/>
  <c r="G189" i="15" s="1"/>
  <c r="E188" i="15"/>
  <c r="D188" i="15"/>
  <c r="C188" i="15"/>
  <c r="E186" i="15"/>
  <c r="D186" i="15"/>
  <c r="C186" i="15"/>
  <c r="G186" i="15" s="1"/>
  <c r="E185" i="15"/>
  <c r="D185" i="15"/>
  <c r="C185" i="15"/>
  <c r="H185" i="15" s="1"/>
  <c r="E184" i="15"/>
  <c r="D184" i="15"/>
  <c r="C184" i="15"/>
  <c r="M184" i="15" s="1"/>
  <c r="O184" i="15" s="1"/>
  <c r="E183" i="15"/>
  <c r="D183" i="15"/>
  <c r="C183" i="15"/>
  <c r="M183" i="15" s="1"/>
  <c r="O183" i="15" s="1"/>
  <c r="E182" i="15"/>
  <c r="D182" i="15"/>
  <c r="C182" i="15"/>
  <c r="H182" i="15" s="1"/>
  <c r="E181" i="15"/>
  <c r="D181" i="15"/>
  <c r="C181" i="15"/>
  <c r="I181" i="15" s="1"/>
  <c r="P181" i="15" s="1"/>
  <c r="E180" i="15"/>
  <c r="D180" i="15"/>
  <c r="C180" i="15"/>
  <c r="E179" i="15"/>
  <c r="D179" i="15"/>
  <c r="C179" i="15"/>
  <c r="E177" i="15"/>
  <c r="D177" i="15"/>
  <c r="C177" i="15"/>
  <c r="M177" i="15" s="1"/>
  <c r="O177" i="15" s="1"/>
  <c r="E176" i="15"/>
  <c r="D176" i="15"/>
  <c r="C176" i="15"/>
  <c r="M176" i="15" s="1"/>
  <c r="O176" i="15" s="1"/>
  <c r="E175" i="15"/>
  <c r="D175" i="15"/>
  <c r="C175" i="15"/>
  <c r="H175" i="15" s="1"/>
  <c r="E174" i="15"/>
  <c r="D174" i="15"/>
  <c r="C174" i="15"/>
  <c r="G174" i="15" s="1"/>
  <c r="E173" i="15"/>
  <c r="D173" i="15"/>
  <c r="C173" i="15"/>
  <c r="I173" i="15" s="1"/>
  <c r="P173" i="15" s="1"/>
  <c r="E171" i="15"/>
  <c r="D171" i="15"/>
  <c r="C171" i="15"/>
  <c r="H171" i="15" s="1"/>
  <c r="E170" i="15"/>
  <c r="D170" i="15"/>
  <c r="C170" i="15"/>
  <c r="I170" i="15" s="1"/>
  <c r="P170" i="15" s="1"/>
  <c r="E169" i="15"/>
  <c r="D169" i="15"/>
  <c r="C169" i="15"/>
  <c r="E167" i="15"/>
  <c r="D167" i="15"/>
  <c r="C167" i="15"/>
  <c r="H167" i="15" s="1"/>
  <c r="E166" i="15"/>
  <c r="D166" i="15"/>
  <c r="C166" i="15"/>
  <c r="I166" i="15" s="1"/>
  <c r="P166" i="15" s="1"/>
  <c r="E165" i="15"/>
  <c r="D165" i="15"/>
  <c r="C165" i="15"/>
  <c r="E163" i="15"/>
  <c r="D163" i="15"/>
  <c r="C163" i="15"/>
  <c r="I163" i="15" s="1"/>
  <c r="P163" i="15" s="1"/>
  <c r="E162" i="15"/>
  <c r="D162" i="15"/>
  <c r="C162" i="15"/>
  <c r="G162" i="15" s="1"/>
  <c r="E160" i="15"/>
  <c r="D160" i="15"/>
  <c r="C160" i="15"/>
  <c r="I160" i="15" s="1"/>
  <c r="P160" i="15" s="1"/>
  <c r="E159" i="15"/>
  <c r="D159" i="15"/>
  <c r="C159" i="15"/>
  <c r="I159" i="15" s="1"/>
  <c r="P159" i="15" s="1"/>
  <c r="E158" i="15"/>
  <c r="D158" i="15"/>
  <c r="C158" i="15"/>
  <c r="M158" i="15" s="1"/>
  <c r="O158" i="15" s="1"/>
  <c r="E224" i="15"/>
  <c r="D224" i="15"/>
  <c r="C224" i="15"/>
  <c r="M224" i="15" s="1"/>
  <c r="O224" i="15" s="1"/>
  <c r="E156" i="15"/>
  <c r="D156" i="15"/>
  <c r="C156" i="15"/>
  <c r="E155" i="15"/>
  <c r="D155" i="15"/>
  <c r="C155" i="15"/>
  <c r="E153" i="15"/>
  <c r="D153" i="15"/>
  <c r="C153" i="15"/>
  <c r="G153" i="15" s="1"/>
  <c r="E152" i="15"/>
  <c r="D152" i="15"/>
  <c r="C152" i="15"/>
  <c r="I152" i="15" s="1"/>
  <c r="P152" i="15" s="1"/>
  <c r="E151" i="15"/>
  <c r="D151" i="15"/>
  <c r="C151" i="15"/>
  <c r="G151" i="15" s="1"/>
  <c r="E149" i="15"/>
  <c r="D149" i="15"/>
  <c r="C149" i="15"/>
  <c r="E146" i="15"/>
  <c r="D146" i="15"/>
  <c r="C146" i="15"/>
  <c r="M146" i="15" s="1"/>
  <c r="O146" i="15" s="1"/>
  <c r="E145" i="15"/>
  <c r="D145" i="15"/>
  <c r="C145" i="15"/>
  <c r="M145" i="15" s="1"/>
  <c r="O145" i="15" s="1"/>
  <c r="E144" i="15"/>
  <c r="D144" i="15"/>
  <c r="C144" i="15"/>
  <c r="I144" i="15" s="1"/>
  <c r="P144" i="15" s="1"/>
  <c r="E143" i="15"/>
  <c r="D143" i="15"/>
  <c r="C143" i="15"/>
  <c r="I360" i="15"/>
  <c r="P360" i="15" s="1"/>
  <c r="H360" i="15"/>
  <c r="G359" i="15"/>
  <c r="H357" i="15"/>
  <c r="G357" i="15"/>
  <c r="I355" i="15"/>
  <c r="P355" i="15" s="1"/>
  <c r="G355" i="15"/>
  <c r="H352" i="15"/>
  <c r="G352" i="15"/>
  <c r="G351" i="15"/>
  <c r="G350" i="15"/>
  <c r="I349" i="15"/>
  <c r="P349" i="15" s="1"/>
  <c r="H349" i="15"/>
  <c r="H345" i="15"/>
  <c r="H344" i="15"/>
  <c r="G344" i="15"/>
  <c r="I343" i="15"/>
  <c r="P343" i="15" s="1"/>
  <c r="H343" i="15"/>
  <c r="H342" i="15"/>
  <c r="I341" i="15"/>
  <c r="P341" i="15" s="1"/>
  <c r="H341" i="15"/>
  <c r="G341" i="15"/>
  <c r="I340" i="15"/>
  <c r="P340" i="15" s="1"/>
  <c r="I339" i="15"/>
  <c r="P339" i="15" s="1"/>
  <c r="H336" i="15"/>
  <c r="G336" i="15"/>
  <c r="I335" i="15"/>
  <c r="P335" i="15" s="1"/>
  <c r="H335" i="15"/>
  <c r="G335" i="15"/>
  <c r="I334" i="15"/>
  <c r="P334" i="15" s="1"/>
  <c r="I333" i="15"/>
  <c r="P333" i="15" s="1"/>
  <c r="H333" i="15"/>
  <c r="G333" i="15"/>
  <c r="G331" i="15"/>
  <c r="H330" i="15"/>
  <c r="G330" i="15"/>
  <c r="I327" i="15"/>
  <c r="P327" i="15" s="1"/>
  <c r="H327" i="15"/>
  <c r="H326" i="15"/>
  <c r="G326" i="15"/>
  <c r="G324" i="15"/>
  <c r="H322" i="15"/>
  <c r="G321" i="15"/>
  <c r="H320" i="15"/>
  <c r="G320" i="15"/>
  <c r="I318" i="15"/>
  <c r="P318" i="15" s="1"/>
  <c r="H318" i="15"/>
  <c r="I313" i="15"/>
  <c r="P313" i="15" s="1"/>
  <c r="H313" i="15"/>
  <c r="H312" i="15"/>
  <c r="I309" i="15"/>
  <c r="P309" i="15" s="1"/>
  <c r="H306" i="15"/>
  <c r="H305" i="15"/>
  <c r="G305" i="15"/>
  <c r="G304" i="15"/>
  <c r="H300" i="15"/>
  <c r="I298" i="15"/>
  <c r="P298" i="15" s="1"/>
  <c r="G298" i="15"/>
  <c r="H296" i="15"/>
  <c r="G296" i="15"/>
  <c r="H294" i="15"/>
  <c r="H293" i="15"/>
  <c r="H291" i="15"/>
  <c r="H289" i="15"/>
  <c r="I285" i="15"/>
  <c r="P285" i="15" s="1"/>
  <c r="H285" i="15"/>
  <c r="H283" i="15"/>
  <c r="I281" i="15"/>
  <c r="P281" i="15" s="1"/>
  <c r="H281" i="15"/>
  <c r="G281" i="15"/>
  <c r="G278" i="15"/>
  <c r="I276" i="15"/>
  <c r="P276" i="15" s="1"/>
  <c r="G276" i="15"/>
  <c r="G274" i="15"/>
  <c r="H271" i="15"/>
  <c r="G271" i="15"/>
  <c r="H267" i="15"/>
  <c r="G267" i="15"/>
  <c r="H263" i="15"/>
  <c r="I259" i="15"/>
  <c r="P259" i="15" s="1"/>
  <c r="I257" i="15"/>
  <c r="P257" i="15" s="1"/>
  <c r="I256" i="15"/>
  <c r="P256" i="15" s="1"/>
  <c r="I254" i="15"/>
  <c r="P254" i="15" s="1"/>
  <c r="I253" i="15"/>
  <c r="P253" i="15" s="1"/>
  <c r="H253" i="15"/>
  <c r="H248" i="15"/>
  <c r="G248" i="15"/>
  <c r="I246" i="15"/>
  <c r="P246" i="15" s="1"/>
  <c r="H246" i="15"/>
  <c r="I241" i="15"/>
  <c r="P241" i="15" s="1"/>
  <c r="H241" i="15"/>
  <c r="I226" i="15"/>
  <c r="P226" i="15" s="1"/>
  <c r="H226" i="15"/>
  <c r="G226" i="15"/>
  <c r="H223" i="15"/>
  <c r="G222" i="15"/>
  <c r="G215" i="15"/>
  <c r="H193" i="15"/>
  <c r="H192" i="15"/>
  <c r="H155" i="15"/>
  <c r="E141" i="15"/>
  <c r="D141" i="15"/>
  <c r="C141" i="15"/>
  <c r="E140" i="15"/>
  <c r="E139" i="15"/>
  <c r="E138" i="15"/>
  <c r="E137" i="15"/>
  <c r="E252" i="15"/>
  <c r="E136" i="15"/>
  <c r="E135" i="15"/>
  <c r="E134" i="15"/>
  <c r="E133" i="15"/>
  <c r="E132" i="15"/>
  <c r="E131" i="15"/>
  <c r="E130" i="15"/>
  <c r="E129" i="15"/>
  <c r="E311" i="15"/>
  <c r="E127" i="15"/>
  <c r="E126" i="15"/>
  <c r="E125" i="15"/>
  <c r="E124" i="15"/>
  <c r="E105" i="15"/>
  <c r="E72" i="15"/>
  <c r="E122" i="15"/>
  <c r="E38" i="15"/>
  <c r="E121" i="15"/>
  <c r="E120" i="15"/>
  <c r="E119" i="15"/>
  <c r="E106" i="15"/>
  <c r="E117" i="15"/>
  <c r="E116" i="15"/>
  <c r="E115" i="15"/>
  <c r="E30" i="15"/>
  <c r="E114" i="15"/>
  <c r="E113" i="15"/>
  <c r="E112" i="15"/>
  <c r="E69" i="15"/>
  <c r="E110" i="15"/>
  <c r="E109" i="15"/>
  <c r="E277" i="15"/>
  <c r="E108" i="15"/>
  <c r="E107" i="15"/>
  <c r="E56" i="15"/>
  <c r="E178" i="15"/>
  <c r="E210" i="15"/>
  <c r="E104" i="15"/>
  <c r="E265" i="15"/>
  <c r="E103" i="15"/>
  <c r="E102" i="15"/>
  <c r="E101" i="15"/>
  <c r="E100" i="15"/>
  <c r="E99" i="15"/>
  <c r="E98" i="15"/>
  <c r="E97" i="15"/>
  <c r="E91" i="15"/>
  <c r="E41" i="15"/>
  <c r="E95" i="15"/>
  <c r="E94" i="15"/>
  <c r="E93" i="15"/>
  <c r="E92" i="15"/>
  <c r="E148" i="15"/>
  <c r="E247" i="15"/>
  <c r="E161" i="15"/>
  <c r="E232" i="15"/>
  <c r="E89" i="15"/>
  <c r="E88" i="15"/>
  <c r="E87" i="15"/>
  <c r="E86" i="15"/>
  <c r="E85" i="15"/>
  <c r="E84" i="15"/>
  <c r="E83" i="15"/>
  <c r="E82" i="15"/>
  <c r="E81" i="15"/>
  <c r="E80" i="15"/>
  <c r="E79" i="15"/>
  <c r="E78" i="15"/>
  <c r="E77" i="15"/>
  <c r="E76" i="15"/>
  <c r="E75" i="15"/>
  <c r="E74" i="15"/>
  <c r="E73" i="15"/>
  <c r="E150" i="15"/>
  <c r="E71" i="15"/>
  <c r="E70" i="15"/>
  <c r="E172" i="15"/>
  <c r="E280" i="15"/>
  <c r="E68" i="15"/>
  <c r="E35" i="15"/>
  <c r="E67" i="15"/>
  <c r="E66" i="15"/>
  <c r="E65" i="15"/>
  <c r="E64" i="15"/>
  <c r="E63" i="15"/>
  <c r="E62" i="15"/>
  <c r="E61" i="15"/>
  <c r="E60" i="15"/>
  <c r="E59" i="15"/>
  <c r="E58" i="15"/>
  <c r="E57" i="15"/>
  <c r="E32" i="15"/>
  <c r="E45" i="15"/>
  <c r="E255" i="15"/>
  <c r="E55" i="15"/>
  <c r="E54" i="15"/>
  <c r="E53" i="15"/>
  <c r="E52" i="15"/>
  <c r="E8" i="15"/>
  <c r="E50" i="15"/>
  <c r="E199" i="15"/>
  <c r="E315" i="15"/>
  <c r="E48" i="15"/>
  <c r="E47" i="15"/>
  <c r="E154" i="15"/>
  <c r="E46" i="15"/>
  <c r="E157" i="15"/>
  <c r="E44" i="15"/>
  <c r="E25" i="15"/>
  <c r="E295" i="15"/>
  <c r="E43" i="15"/>
  <c r="E42" i="15"/>
  <c r="E13" i="15"/>
  <c r="E40" i="15"/>
  <c r="E39" i="15"/>
  <c r="E49" i="15"/>
  <c r="E147" i="15"/>
  <c r="E37" i="15"/>
  <c r="E187" i="15"/>
  <c r="E96" i="15"/>
  <c r="E168" i="15"/>
  <c r="E90" i="15"/>
  <c r="E34" i="15"/>
  <c r="E20" i="15"/>
  <c r="E33" i="15"/>
  <c r="E36" i="15"/>
  <c r="E31" i="15"/>
  <c r="E16" i="15"/>
  <c r="E123" i="15"/>
  <c r="E29" i="15"/>
  <c r="E356" i="15"/>
  <c r="E28" i="15"/>
  <c r="E111" i="15"/>
  <c r="E240" i="15"/>
  <c r="E26" i="15"/>
  <c r="E27" i="15"/>
  <c r="E24" i="15"/>
  <c r="E23" i="15"/>
  <c r="E22" i="15"/>
  <c r="E21" i="15"/>
  <c r="E243" i="15"/>
  <c r="E128" i="15"/>
  <c r="E190" i="15"/>
  <c r="E19" i="15"/>
  <c r="E18" i="15"/>
  <c r="E17" i="15"/>
  <c r="E118" i="15"/>
  <c r="E15" i="15"/>
  <c r="E14" i="15"/>
  <c r="E220" i="15"/>
  <c r="E164" i="15"/>
  <c r="E12" i="15"/>
  <c r="E11" i="15"/>
  <c r="E10" i="15"/>
  <c r="E9" i="15"/>
  <c r="E142" i="15"/>
  <c r="F140" i="15"/>
  <c r="K140" i="15" s="1"/>
  <c r="P140" i="15" s="1"/>
  <c r="F139" i="15"/>
  <c r="K139" i="15" s="1"/>
  <c r="P139" i="15" s="1"/>
  <c r="F138" i="15"/>
  <c r="K138" i="15" s="1"/>
  <c r="P138" i="15" s="1"/>
  <c r="F137" i="15"/>
  <c r="J137" i="15" s="1"/>
  <c r="F252" i="15"/>
  <c r="K252" i="15" s="1"/>
  <c r="P252" i="15" s="1"/>
  <c r="F136" i="15"/>
  <c r="K136" i="15" s="1"/>
  <c r="P136" i="15" s="1"/>
  <c r="F135" i="15"/>
  <c r="K135" i="15" s="1"/>
  <c r="P135" i="15" s="1"/>
  <c r="F134" i="15"/>
  <c r="K134" i="15" s="1"/>
  <c r="P134" i="15" s="1"/>
  <c r="F133" i="15"/>
  <c r="K133" i="15" s="1"/>
  <c r="P133" i="15" s="1"/>
  <c r="F132" i="15"/>
  <c r="K132" i="15" s="1"/>
  <c r="P132" i="15" s="1"/>
  <c r="F131" i="15"/>
  <c r="K131" i="15" s="1"/>
  <c r="P131" i="15" s="1"/>
  <c r="F130" i="15"/>
  <c r="K130" i="15" s="1"/>
  <c r="P130" i="15" s="1"/>
  <c r="F129" i="15"/>
  <c r="K129" i="15" s="1"/>
  <c r="P129" i="15" s="1"/>
  <c r="F311" i="15"/>
  <c r="J311" i="15" s="1"/>
  <c r="F127" i="15"/>
  <c r="K127" i="15" s="1"/>
  <c r="P127" i="15" s="1"/>
  <c r="F126" i="15"/>
  <c r="K126" i="15" s="1"/>
  <c r="P126" i="15" s="1"/>
  <c r="F125" i="15"/>
  <c r="K125" i="15" s="1"/>
  <c r="P125" i="15" s="1"/>
  <c r="F124" i="15"/>
  <c r="J124" i="15" s="1"/>
  <c r="F105" i="15"/>
  <c r="K105" i="15" s="1"/>
  <c r="P105" i="15" s="1"/>
  <c r="F72" i="15"/>
  <c r="J72" i="15" s="1"/>
  <c r="F122" i="15"/>
  <c r="F38" i="15"/>
  <c r="K38" i="15" s="1"/>
  <c r="P38" i="15" s="1"/>
  <c r="F121" i="15"/>
  <c r="J121" i="15" s="1"/>
  <c r="F120" i="15"/>
  <c r="K120" i="15" s="1"/>
  <c r="P120" i="15" s="1"/>
  <c r="F119" i="15"/>
  <c r="K119" i="15" s="1"/>
  <c r="P119" i="15" s="1"/>
  <c r="F106" i="15"/>
  <c r="K106" i="15" s="1"/>
  <c r="P106" i="15" s="1"/>
  <c r="F117" i="15"/>
  <c r="J117" i="15" s="1"/>
  <c r="F116" i="15"/>
  <c r="K116" i="15" s="1"/>
  <c r="P116" i="15" s="1"/>
  <c r="F115" i="15"/>
  <c r="K115" i="15" s="1"/>
  <c r="P115" i="15" s="1"/>
  <c r="F30" i="15"/>
  <c r="F114" i="15"/>
  <c r="F113" i="15"/>
  <c r="K113" i="15" s="1"/>
  <c r="P113" i="15" s="1"/>
  <c r="F112" i="15"/>
  <c r="K112" i="15" s="1"/>
  <c r="P112" i="15" s="1"/>
  <c r="F69" i="15"/>
  <c r="K69" i="15" s="1"/>
  <c r="P69" i="15" s="1"/>
  <c r="F110" i="15"/>
  <c r="K110" i="15" s="1"/>
  <c r="P110" i="15" s="1"/>
  <c r="F109" i="15"/>
  <c r="K109" i="15" s="1"/>
  <c r="P109" i="15" s="1"/>
  <c r="F277" i="15"/>
  <c r="K277" i="15" s="1"/>
  <c r="P277" i="15" s="1"/>
  <c r="F108" i="15"/>
  <c r="K108" i="15" s="1"/>
  <c r="P108" i="15" s="1"/>
  <c r="F107" i="15"/>
  <c r="K107" i="15" s="1"/>
  <c r="P107" i="15" s="1"/>
  <c r="F56" i="15"/>
  <c r="J56" i="15" s="1"/>
  <c r="F178" i="15"/>
  <c r="K178" i="15" s="1"/>
  <c r="P178" i="15" s="1"/>
  <c r="F210" i="15"/>
  <c r="K210" i="15" s="1"/>
  <c r="P210" i="15" s="1"/>
  <c r="F104" i="15"/>
  <c r="K104" i="15" s="1"/>
  <c r="P104" i="15" s="1"/>
  <c r="F265" i="15"/>
  <c r="K265" i="15" s="1"/>
  <c r="P265" i="15" s="1"/>
  <c r="F103" i="15"/>
  <c r="K103" i="15" s="1"/>
  <c r="P103" i="15" s="1"/>
  <c r="F102" i="15"/>
  <c r="J102" i="15" s="1"/>
  <c r="F101" i="15"/>
  <c r="K101" i="15" s="1"/>
  <c r="P101" i="15" s="1"/>
  <c r="F100" i="15"/>
  <c r="J100" i="15" s="1"/>
  <c r="F99" i="15"/>
  <c r="K99" i="15" s="1"/>
  <c r="P99" i="15" s="1"/>
  <c r="F98" i="15"/>
  <c r="K98" i="15" s="1"/>
  <c r="P98" i="15" s="1"/>
  <c r="F97" i="15"/>
  <c r="K97" i="15" s="1"/>
  <c r="P97" i="15" s="1"/>
  <c r="F91" i="15"/>
  <c r="K91" i="15" s="1"/>
  <c r="P91" i="15" s="1"/>
  <c r="F41" i="15"/>
  <c r="K41" i="15" s="1"/>
  <c r="P41" i="15" s="1"/>
  <c r="F95" i="15"/>
  <c r="K95" i="15" s="1"/>
  <c r="P95" i="15" s="1"/>
  <c r="F94" i="15"/>
  <c r="F93" i="15"/>
  <c r="K93" i="15" s="1"/>
  <c r="P93" i="15" s="1"/>
  <c r="F92" i="15"/>
  <c r="K92" i="15" s="1"/>
  <c r="P92" i="15" s="1"/>
  <c r="F148" i="15"/>
  <c r="J148" i="15" s="1"/>
  <c r="F247" i="15"/>
  <c r="K247" i="15" s="1"/>
  <c r="P247" i="15" s="1"/>
  <c r="F161" i="15"/>
  <c r="K161" i="15" s="1"/>
  <c r="P161" i="15" s="1"/>
  <c r="F232" i="15"/>
  <c r="K232" i="15" s="1"/>
  <c r="P232" i="15" s="1"/>
  <c r="F89" i="15"/>
  <c r="K89" i="15" s="1"/>
  <c r="P89" i="15" s="1"/>
  <c r="F88" i="15"/>
  <c r="K88" i="15" s="1"/>
  <c r="P88" i="15" s="1"/>
  <c r="F87" i="15"/>
  <c r="J87" i="15" s="1"/>
  <c r="F86" i="15"/>
  <c r="K86" i="15" s="1"/>
  <c r="P86" i="15" s="1"/>
  <c r="F85" i="15"/>
  <c r="K85" i="15" s="1"/>
  <c r="P85" i="15" s="1"/>
  <c r="F84" i="15"/>
  <c r="J84" i="15" s="1"/>
  <c r="F83" i="15"/>
  <c r="J83" i="15" s="1"/>
  <c r="F82" i="15"/>
  <c r="K82" i="15" s="1"/>
  <c r="P82" i="15" s="1"/>
  <c r="F81" i="15"/>
  <c r="K81" i="15" s="1"/>
  <c r="P81" i="15" s="1"/>
  <c r="F80" i="15"/>
  <c r="K80" i="15" s="1"/>
  <c r="P80" i="15" s="1"/>
  <c r="F79" i="15"/>
  <c r="K79" i="15" s="1"/>
  <c r="P79" i="15" s="1"/>
  <c r="F78" i="15"/>
  <c r="F77" i="15"/>
  <c r="K77" i="15" s="1"/>
  <c r="P77" i="15" s="1"/>
  <c r="F76" i="15"/>
  <c r="K76" i="15" s="1"/>
  <c r="P76" i="15" s="1"/>
  <c r="F75" i="15"/>
  <c r="J75" i="15" s="1"/>
  <c r="F74" i="15"/>
  <c r="K74" i="15" s="1"/>
  <c r="P74" i="15" s="1"/>
  <c r="F73" i="15"/>
  <c r="J73" i="15" s="1"/>
  <c r="F150" i="15"/>
  <c r="K150" i="15" s="1"/>
  <c r="P150" i="15" s="1"/>
  <c r="F71" i="15"/>
  <c r="K71" i="15" s="1"/>
  <c r="P71" i="15" s="1"/>
  <c r="F70" i="15"/>
  <c r="K70" i="15" s="1"/>
  <c r="P70" i="15" s="1"/>
  <c r="F172" i="15"/>
  <c r="K172" i="15" s="1"/>
  <c r="P172" i="15" s="1"/>
  <c r="F280" i="15"/>
  <c r="K280" i="15" s="1"/>
  <c r="P280" i="15" s="1"/>
  <c r="F68" i="15"/>
  <c r="K68" i="15" s="1"/>
  <c r="P68" i="15" s="1"/>
  <c r="F35" i="15"/>
  <c r="K35" i="15" s="1"/>
  <c r="P35" i="15" s="1"/>
  <c r="F67" i="15"/>
  <c r="K67" i="15" s="1"/>
  <c r="P67" i="15" s="1"/>
  <c r="F66" i="15"/>
  <c r="J66" i="15" s="1"/>
  <c r="F65" i="15"/>
  <c r="K65" i="15" s="1"/>
  <c r="P65" i="15" s="1"/>
  <c r="F64" i="15"/>
  <c r="K64" i="15" s="1"/>
  <c r="P64" i="15" s="1"/>
  <c r="F63" i="15"/>
  <c r="J63" i="15" s="1"/>
  <c r="F62" i="15"/>
  <c r="K62" i="15" s="1"/>
  <c r="P62" i="15" s="1"/>
  <c r="F61" i="15"/>
  <c r="K61" i="15" s="1"/>
  <c r="P61" i="15" s="1"/>
  <c r="F60" i="15"/>
  <c r="K60" i="15" s="1"/>
  <c r="P60" i="15" s="1"/>
  <c r="F59" i="15"/>
  <c r="K59" i="15" s="1"/>
  <c r="P59" i="15" s="1"/>
  <c r="F58" i="15"/>
  <c r="K58" i="15" s="1"/>
  <c r="P58" i="15" s="1"/>
  <c r="F57" i="15"/>
  <c r="J57" i="15" s="1"/>
  <c r="F32" i="15"/>
  <c r="K32" i="15" s="1"/>
  <c r="P32" i="15" s="1"/>
  <c r="F45" i="15"/>
  <c r="K45" i="15" s="1"/>
  <c r="P45" i="15" s="1"/>
  <c r="F255" i="15"/>
  <c r="J255" i="15" s="1"/>
  <c r="F55" i="15"/>
  <c r="J55" i="15" s="1"/>
  <c r="F54" i="15"/>
  <c r="K54" i="15" s="1"/>
  <c r="P54" i="15" s="1"/>
  <c r="F53" i="15"/>
  <c r="K53" i="15" s="1"/>
  <c r="P53" i="15" s="1"/>
  <c r="F52" i="15"/>
  <c r="K52" i="15" s="1"/>
  <c r="P52" i="15" s="1"/>
  <c r="F8" i="15"/>
  <c r="K8" i="15" s="1"/>
  <c r="P8" i="15" s="1"/>
  <c r="F50" i="15"/>
  <c r="F199" i="15"/>
  <c r="K199" i="15" s="1"/>
  <c r="P199" i="15" s="1"/>
  <c r="F315" i="15"/>
  <c r="K315" i="15" s="1"/>
  <c r="P315" i="15" s="1"/>
  <c r="F48" i="15"/>
  <c r="K48" i="15" s="1"/>
  <c r="P48" i="15" s="1"/>
  <c r="F47" i="15"/>
  <c r="K47" i="15" s="1"/>
  <c r="P47" i="15" s="1"/>
  <c r="F154" i="15"/>
  <c r="J154" i="15" s="1"/>
  <c r="F46" i="15"/>
  <c r="K46" i="15" s="1"/>
  <c r="P46" i="15" s="1"/>
  <c r="F157" i="15"/>
  <c r="J157" i="15" s="1"/>
  <c r="F44" i="15"/>
  <c r="K44" i="15" s="1"/>
  <c r="P44" i="15" s="1"/>
  <c r="F25" i="15"/>
  <c r="K25" i="15" s="1"/>
  <c r="P25" i="15" s="1"/>
  <c r="F295" i="15"/>
  <c r="K295" i="15" s="1"/>
  <c r="P295" i="15" s="1"/>
  <c r="F43" i="15"/>
  <c r="K43" i="15" s="1"/>
  <c r="P43" i="15" s="1"/>
  <c r="F42" i="15"/>
  <c r="K42" i="15" s="1"/>
  <c r="P42" i="15" s="1"/>
  <c r="F13" i="15"/>
  <c r="K13" i="15" s="1"/>
  <c r="P13" i="15" s="1"/>
  <c r="F40" i="15"/>
  <c r="J40" i="15" s="1"/>
  <c r="F39" i="15"/>
  <c r="K39" i="15" s="1"/>
  <c r="P39" i="15" s="1"/>
  <c r="F49" i="15"/>
  <c r="K49" i="15" s="1"/>
  <c r="P49" i="15" s="1"/>
  <c r="F147" i="15"/>
  <c r="K147" i="15" s="1"/>
  <c r="P147" i="15" s="1"/>
  <c r="F37" i="15"/>
  <c r="K37" i="15" s="1"/>
  <c r="P37" i="15" s="1"/>
  <c r="F187" i="15"/>
  <c r="K187" i="15" s="1"/>
  <c r="P187" i="15" s="1"/>
  <c r="F96" i="15"/>
  <c r="K96" i="15" s="1"/>
  <c r="P96" i="15" s="1"/>
  <c r="F168" i="15"/>
  <c r="K168" i="15" s="1"/>
  <c r="P168" i="15" s="1"/>
  <c r="F90" i="15"/>
  <c r="K90" i="15" s="1"/>
  <c r="P90" i="15" s="1"/>
  <c r="F34" i="15"/>
  <c r="J34" i="15" s="1"/>
  <c r="F20" i="15"/>
  <c r="K20" i="15" s="1"/>
  <c r="P20" i="15" s="1"/>
  <c r="F33" i="15"/>
  <c r="K33" i="15" s="1"/>
  <c r="P33" i="15" s="1"/>
  <c r="F36" i="15"/>
  <c r="K36" i="15" s="1"/>
  <c r="P36" i="15" s="1"/>
  <c r="F31" i="15"/>
  <c r="J31" i="15" s="1"/>
  <c r="F16" i="15"/>
  <c r="K16" i="15" s="1"/>
  <c r="P16" i="15" s="1"/>
  <c r="F123" i="15"/>
  <c r="K123" i="15" s="1"/>
  <c r="P123" i="15" s="1"/>
  <c r="F29" i="15"/>
  <c r="K29" i="15" s="1"/>
  <c r="P29" i="15" s="1"/>
  <c r="F356" i="15"/>
  <c r="K356" i="15" s="1"/>
  <c r="P356" i="15" s="1"/>
  <c r="F28" i="15"/>
  <c r="F111" i="15"/>
  <c r="K111" i="15" s="1"/>
  <c r="P111" i="15" s="1"/>
  <c r="F240" i="15"/>
  <c r="K240" i="15" s="1"/>
  <c r="P240" i="15" s="1"/>
  <c r="F26" i="15"/>
  <c r="K26" i="15" s="1"/>
  <c r="P26" i="15" s="1"/>
  <c r="F27" i="15"/>
  <c r="F24" i="15"/>
  <c r="J24" i="15" s="1"/>
  <c r="F23" i="15"/>
  <c r="K23" i="15" s="1"/>
  <c r="P23" i="15" s="1"/>
  <c r="F22" i="15"/>
  <c r="J22" i="15" s="1"/>
  <c r="F21" i="15"/>
  <c r="K21" i="15" s="1"/>
  <c r="P21" i="15" s="1"/>
  <c r="F243" i="15"/>
  <c r="K243" i="15" s="1"/>
  <c r="P243" i="15" s="1"/>
  <c r="F128" i="15"/>
  <c r="K128" i="15" s="1"/>
  <c r="P128" i="15" s="1"/>
  <c r="F190" i="15"/>
  <c r="K190" i="15" s="1"/>
  <c r="P190" i="15" s="1"/>
  <c r="F19" i="15"/>
  <c r="K19" i="15" s="1"/>
  <c r="P19" i="15" s="1"/>
  <c r="F18" i="15"/>
  <c r="K18" i="15" s="1"/>
  <c r="P18" i="15" s="1"/>
  <c r="F17" i="15"/>
  <c r="J17" i="15" s="1"/>
  <c r="F118" i="15"/>
  <c r="K118" i="15" s="1"/>
  <c r="P118" i="15" s="1"/>
  <c r="F15" i="15"/>
  <c r="K15" i="15" s="1"/>
  <c r="P15" i="15" s="1"/>
  <c r="F14" i="15"/>
  <c r="K14" i="15" s="1"/>
  <c r="P14" i="15" s="1"/>
  <c r="F220" i="15"/>
  <c r="K220" i="15" s="1"/>
  <c r="P220" i="15" s="1"/>
  <c r="F164" i="15"/>
  <c r="K164" i="15" s="1"/>
  <c r="P164" i="15" s="1"/>
  <c r="F12" i="15"/>
  <c r="K12" i="15" s="1"/>
  <c r="P12" i="15" s="1"/>
  <c r="F11" i="15"/>
  <c r="K11" i="15" s="1"/>
  <c r="P11" i="15" s="1"/>
  <c r="F10" i="15"/>
  <c r="K10" i="15" s="1"/>
  <c r="P10" i="15" s="1"/>
  <c r="F9" i="15"/>
  <c r="J9" i="15" s="1"/>
  <c r="F142" i="15"/>
  <c r="K142" i="15" s="1"/>
  <c r="P142" i="15" s="1"/>
  <c r="F51" i="15"/>
  <c r="K51" i="15" s="1"/>
  <c r="P51" i="15" s="1"/>
  <c r="E51" i="15"/>
  <c r="R507" i="3"/>
  <c r="R506" i="3"/>
  <c r="R505" i="3"/>
  <c r="R504" i="3"/>
  <c r="R503" i="3"/>
  <c r="R502" i="3"/>
  <c r="R501" i="3"/>
  <c r="R500" i="3"/>
  <c r="R499" i="3"/>
  <c r="R498" i="3"/>
  <c r="R497" i="3"/>
  <c r="R496" i="3"/>
  <c r="R495" i="3"/>
  <c r="R494" i="3"/>
  <c r="R493" i="3"/>
  <c r="R492" i="3"/>
  <c r="R491" i="3"/>
  <c r="R490" i="3"/>
  <c r="R489" i="3"/>
  <c r="R488" i="3"/>
  <c r="R487" i="3"/>
  <c r="R486" i="3"/>
  <c r="R485" i="3"/>
  <c r="R484" i="3"/>
  <c r="R483" i="3"/>
  <c r="R482" i="3"/>
  <c r="R481" i="3"/>
  <c r="R480" i="3"/>
  <c r="R479" i="3"/>
  <c r="R478" i="3"/>
  <c r="R477" i="3"/>
  <c r="R476" i="3"/>
  <c r="R475" i="3"/>
  <c r="R474" i="3"/>
  <c r="R473" i="3"/>
  <c r="R472" i="3"/>
  <c r="R471" i="3"/>
  <c r="R470" i="3"/>
  <c r="R469" i="3"/>
  <c r="R468" i="3"/>
  <c r="R467" i="3"/>
  <c r="R466" i="3"/>
  <c r="R465" i="3"/>
  <c r="R464" i="3"/>
  <c r="R463" i="3"/>
  <c r="R462" i="3"/>
  <c r="R461" i="3"/>
  <c r="R460" i="3"/>
  <c r="R459" i="3"/>
  <c r="R458" i="3"/>
  <c r="R457" i="3"/>
  <c r="R456" i="3"/>
  <c r="R455" i="3"/>
  <c r="R454" i="3"/>
  <c r="R453" i="3"/>
  <c r="R452" i="3"/>
  <c r="R451" i="3"/>
  <c r="R450" i="3"/>
  <c r="R449" i="3"/>
  <c r="R448" i="3"/>
  <c r="R447" i="3"/>
  <c r="R446" i="3"/>
  <c r="R445" i="3"/>
  <c r="R444" i="3"/>
  <c r="R443" i="3"/>
  <c r="R442" i="3"/>
  <c r="R441" i="3"/>
  <c r="R440" i="3"/>
  <c r="R439" i="3"/>
  <c r="R438" i="3"/>
  <c r="R437" i="3"/>
  <c r="R436" i="3"/>
  <c r="R435" i="3"/>
  <c r="R434" i="3"/>
  <c r="R433" i="3"/>
  <c r="R432" i="3"/>
  <c r="R431" i="3"/>
  <c r="R430" i="3"/>
  <c r="R429" i="3"/>
  <c r="R428" i="3"/>
  <c r="R427" i="3"/>
  <c r="R426" i="3"/>
  <c r="R425" i="3"/>
  <c r="R424" i="3"/>
  <c r="R423" i="3"/>
  <c r="R422" i="3"/>
  <c r="R421" i="3"/>
  <c r="R420" i="3"/>
  <c r="R419" i="3"/>
  <c r="R418" i="3"/>
  <c r="R417" i="3"/>
  <c r="R416" i="3"/>
  <c r="R415" i="3"/>
  <c r="R414" i="3"/>
  <c r="R413" i="3"/>
  <c r="R412" i="3"/>
  <c r="R411" i="3"/>
  <c r="R410" i="3"/>
  <c r="R409" i="3"/>
  <c r="R408" i="3"/>
  <c r="R407" i="3"/>
  <c r="R406" i="3"/>
  <c r="R405" i="3"/>
  <c r="R404" i="3"/>
  <c r="R403" i="3"/>
  <c r="R402" i="3"/>
  <c r="R401" i="3"/>
  <c r="R400" i="3"/>
  <c r="R399" i="3"/>
  <c r="R398" i="3"/>
  <c r="R397" i="3"/>
  <c r="R396" i="3"/>
  <c r="R395" i="3"/>
  <c r="R394" i="3"/>
  <c r="R393" i="3"/>
  <c r="R392" i="3"/>
  <c r="R391" i="3"/>
  <c r="R390" i="3"/>
  <c r="R389" i="3"/>
  <c r="R388" i="3"/>
  <c r="R387" i="3"/>
  <c r="R386" i="3"/>
  <c r="R385" i="3"/>
  <c r="R384" i="3"/>
  <c r="R383" i="3"/>
  <c r="R382" i="3"/>
  <c r="R381" i="3"/>
  <c r="R380" i="3"/>
  <c r="R379" i="3"/>
  <c r="R378" i="3"/>
  <c r="R377" i="3"/>
  <c r="R376" i="3"/>
  <c r="R375" i="3"/>
  <c r="R374" i="3"/>
  <c r="R373" i="3"/>
  <c r="R372" i="3"/>
  <c r="R371" i="3"/>
  <c r="R370" i="3"/>
  <c r="R369" i="3"/>
  <c r="R368" i="3"/>
  <c r="R367" i="3"/>
  <c r="R366" i="3"/>
  <c r="R365" i="3"/>
  <c r="R364" i="3"/>
  <c r="R363" i="3"/>
  <c r="R362" i="3"/>
  <c r="R361" i="3"/>
  <c r="R360" i="3"/>
  <c r="R359" i="3"/>
  <c r="R358" i="3"/>
  <c r="R357" i="3"/>
  <c r="R356" i="3"/>
  <c r="R355" i="3"/>
  <c r="R354" i="3"/>
  <c r="R353" i="3"/>
  <c r="R352" i="3"/>
  <c r="R351" i="3"/>
  <c r="R350" i="3"/>
  <c r="R349" i="3"/>
  <c r="R348" i="3"/>
  <c r="R347" i="3"/>
  <c r="R346" i="3"/>
  <c r="R345" i="3"/>
  <c r="R344" i="3"/>
  <c r="R343" i="3"/>
  <c r="R342" i="3"/>
  <c r="R341" i="3"/>
  <c r="R340" i="3"/>
  <c r="R339" i="3"/>
  <c r="R338" i="3"/>
  <c r="R337" i="3"/>
  <c r="R336" i="3"/>
  <c r="R335" i="3"/>
  <c r="R334" i="3"/>
  <c r="R333" i="3"/>
  <c r="R332" i="3"/>
  <c r="R331" i="3"/>
  <c r="R330" i="3"/>
  <c r="R329" i="3"/>
  <c r="R328" i="3"/>
  <c r="R327" i="3"/>
  <c r="R326" i="3"/>
  <c r="R325" i="3"/>
  <c r="R324" i="3"/>
  <c r="R323" i="3"/>
  <c r="R322" i="3"/>
  <c r="R321" i="3"/>
  <c r="R320" i="3"/>
  <c r="R319" i="3"/>
  <c r="R318" i="3"/>
  <c r="R317" i="3"/>
  <c r="R316" i="3"/>
  <c r="R315" i="3"/>
  <c r="R314" i="3"/>
  <c r="R313" i="3"/>
  <c r="R312" i="3"/>
  <c r="R311" i="3"/>
  <c r="R310" i="3"/>
  <c r="R309" i="3"/>
  <c r="R308" i="3"/>
  <c r="R307" i="3"/>
  <c r="R306" i="3"/>
  <c r="R305" i="3"/>
  <c r="R304" i="3"/>
  <c r="R303" i="3"/>
  <c r="R302" i="3"/>
  <c r="R301" i="3"/>
  <c r="R300" i="3"/>
  <c r="R299" i="3"/>
  <c r="R298" i="3"/>
  <c r="R297" i="3"/>
  <c r="R296" i="3"/>
  <c r="R295" i="3"/>
  <c r="R294" i="3"/>
  <c r="R293" i="3"/>
  <c r="R292" i="3"/>
  <c r="R291" i="3"/>
  <c r="R290" i="3"/>
  <c r="R289" i="3"/>
  <c r="R288" i="3"/>
  <c r="R287" i="3"/>
  <c r="R286" i="3"/>
  <c r="R285" i="3"/>
  <c r="R284" i="3"/>
  <c r="R283" i="3"/>
  <c r="R282" i="3"/>
  <c r="R281" i="3"/>
  <c r="R280" i="3"/>
  <c r="R279" i="3"/>
  <c r="R278" i="3"/>
  <c r="R277" i="3"/>
  <c r="R276" i="3"/>
  <c r="R275" i="3"/>
  <c r="R274" i="3"/>
  <c r="R273" i="3"/>
  <c r="R272" i="3"/>
  <c r="R271" i="3"/>
  <c r="R270" i="3"/>
  <c r="R269" i="3"/>
  <c r="R268" i="3"/>
  <c r="R267" i="3"/>
  <c r="R266" i="3"/>
  <c r="R265" i="3"/>
  <c r="R264" i="3"/>
  <c r="R263" i="3"/>
  <c r="R262" i="3"/>
  <c r="R261" i="3"/>
  <c r="R260" i="3"/>
  <c r="R259" i="3"/>
  <c r="R258" i="3"/>
  <c r="R257" i="3"/>
  <c r="R256" i="3"/>
  <c r="R255" i="3"/>
  <c r="R254" i="3"/>
  <c r="R253" i="3"/>
  <c r="R252" i="3"/>
  <c r="R251" i="3"/>
  <c r="R250" i="3"/>
  <c r="R249" i="3"/>
  <c r="R248" i="3"/>
  <c r="R247" i="3"/>
  <c r="R246" i="3"/>
  <c r="R245" i="3"/>
  <c r="R244" i="3"/>
  <c r="R243" i="3"/>
  <c r="R242" i="3"/>
  <c r="R241" i="3"/>
  <c r="R240" i="3"/>
  <c r="R239" i="3"/>
  <c r="R238" i="3"/>
  <c r="R237" i="3"/>
  <c r="R236" i="3"/>
  <c r="R235" i="3"/>
  <c r="R234" i="3"/>
  <c r="R233" i="3"/>
  <c r="R232" i="3"/>
  <c r="R231" i="3"/>
  <c r="R230" i="3"/>
  <c r="R229" i="3"/>
  <c r="R228" i="3"/>
  <c r="R227" i="3"/>
  <c r="R226" i="3"/>
  <c r="R225" i="3"/>
  <c r="R224" i="3"/>
  <c r="R223" i="3"/>
  <c r="R222" i="3"/>
  <c r="R221" i="3"/>
  <c r="R220" i="3"/>
  <c r="R219" i="3"/>
  <c r="R218" i="3"/>
  <c r="R217" i="3"/>
  <c r="R216" i="3"/>
  <c r="R215" i="3"/>
  <c r="R214" i="3"/>
  <c r="R213" i="3"/>
  <c r="R212" i="3"/>
  <c r="R211" i="3"/>
  <c r="R210" i="3"/>
  <c r="R209" i="3"/>
  <c r="R208" i="3"/>
  <c r="R207" i="3"/>
  <c r="R206" i="3"/>
  <c r="R205" i="3"/>
  <c r="R204" i="3"/>
  <c r="R203" i="3"/>
  <c r="R202" i="3"/>
  <c r="R201" i="3"/>
  <c r="R200" i="3"/>
  <c r="R199" i="3"/>
  <c r="R198" i="3"/>
  <c r="R197" i="3"/>
  <c r="R196" i="3"/>
  <c r="R195" i="3"/>
  <c r="R194" i="3"/>
  <c r="R193" i="3"/>
  <c r="R192" i="3"/>
  <c r="R191" i="3"/>
  <c r="R190" i="3"/>
  <c r="R189" i="3"/>
  <c r="R188" i="3"/>
  <c r="R187" i="3"/>
  <c r="R186" i="3"/>
  <c r="R185" i="3"/>
  <c r="R184" i="3"/>
  <c r="R183" i="3"/>
  <c r="R182" i="3"/>
  <c r="R181" i="3"/>
  <c r="R180" i="3"/>
  <c r="R179" i="3"/>
  <c r="R178" i="3"/>
  <c r="R177" i="3"/>
  <c r="R176" i="3"/>
  <c r="R175" i="3"/>
  <c r="R174" i="3"/>
  <c r="R173" i="3"/>
  <c r="R172" i="3"/>
  <c r="R171" i="3"/>
  <c r="R170" i="3"/>
  <c r="R169" i="3"/>
  <c r="R168" i="3"/>
  <c r="R167" i="3"/>
  <c r="R166" i="3"/>
  <c r="R165" i="3"/>
  <c r="R164" i="3"/>
  <c r="R163" i="3"/>
  <c r="R162" i="3"/>
  <c r="R161" i="3"/>
  <c r="R160" i="3"/>
  <c r="R159" i="3"/>
  <c r="R158" i="3"/>
  <c r="R157" i="3"/>
  <c r="R156" i="3"/>
  <c r="R155" i="3"/>
  <c r="R154" i="3"/>
  <c r="R153" i="3"/>
  <c r="R152" i="3"/>
  <c r="R151" i="3"/>
  <c r="R150" i="3"/>
  <c r="R149" i="3"/>
  <c r="R148" i="3"/>
  <c r="R147" i="3"/>
  <c r="R146" i="3"/>
  <c r="R145" i="3"/>
  <c r="R144" i="3"/>
  <c r="R143" i="3"/>
  <c r="R142" i="3"/>
  <c r="R141" i="3"/>
  <c r="R140" i="3"/>
  <c r="R139" i="3"/>
  <c r="R138" i="3"/>
  <c r="R137" i="3"/>
  <c r="R136" i="3"/>
  <c r="R135" i="3"/>
  <c r="R134" i="3"/>
  <c r="R133" i="3"/>
  <c r="R132" i="3"/>
  <c r="R131" i="3"/>
  <c r="R130" i="3"/>
  <c r="R129" i="3"/>
  <c r="R128" i="3"/>
  <c r="R127" i="3"/>
  <c r="R126" i="3"/>
  <c r="R125" i="3"/>
  <c r="R124" i="3"/>
  <c r="R123" i="3"/>
  <c r="R122" i="3"/>
  <c r="R121" i="3"/>
  <c r="R120" i="3"/>
  <c r="R119" i="3"/>
  <c r="R118" i="3"/>
  <c r="R117" i="3"/>
  <c r="R116" i="3"/>
  <c r="R115" i="3"/>
  <c r="R114" i="3"/>
  <c r="R113" i="3"/>
  <c r="R112" i="3"/>
  <c r="R111" i="3"/>
  <c r="R110" i="3"/>
  <c r="R109" i="3"/>
  <c r="R108" i="3"/>
  <c r="R107" i="3"/>
  <c r="R106" i="3"/>
  <c r="R105" i="3"/>
  <c r="R104" i="3"/>
  <c r="R103" i="3"/>
  <c r="R102" i="3"/>
  <c r="R101" i="3"/>
  <c r="R100" i="3"/>
  <c r="R99" i="3"/>
  <c r="R98" i="3"/>
  <c r="R97" i="3"/>
  <c r="R96" i="3"/>
  <c r="R95" i="3"/>
  <c r="R94" i="3"/>
  <c r="R93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Q507" i="3"/>
  <c r="Q506" i="3"/>
  <c r="Q505" i="3"/>
  <c r="Q504" i="3"/>
  <c r="Q503" i="3"/>
  <c r="Q502" i="3"/>
  <c r="Q501" i="3"/>
  <c r="Q500" i="3"/>
  <c r="Q499" i="3"/>
  <c r="Q498" i="3"/>
  <c r="Q497" i="3"/>
  <c r="Q496" i="3"/>
  <c r="Q495" i="3"/>
  <c r="Q494" i="3"/>
  <c r="Q493" i="3"/>
  <c r="Q492" i="3"/>
  <c r="Q491" i="3"/>
  <c r="Q490" i="3"/>
  <c r="Q489" i="3"/>
  <c r="Q488" i="3"/>
  <c r="Q487" i="3"/>
  <c r="Q486" i="3"/>
  <c r="Q485" i="3"/>
  <c r="Q484" i="3"/>
  <c r="Q483" i="3"/>
  <c r="Q482" i="3"/>
  <c r="Q481" i="3"/>
  <c r="Q480" i="3"/>
  <c r="Q479" i="3"/>
  <c r="Q478" i="3"/>
  <c r="Q477" i="3"/>
  <c r="Q476" i="3"/>
  <c r="Q475" i="3"/>
  <c r="Q474" i="3"/>
  <c r="Q473" i="3"/>
  <c r="Q472" i="3"/>
  <c r="Q471" i="3"/>
  <c r="Q470" i="3"/>
  <c r="Q469" i="3"/>
  <c r="Q468" i="3"/>
  <c r="Q467" i="3"/>
  <c r="Q466" i="3"/>
  <c r="Q465" i="3"/>
  <c r="Q464" i="3"/>
  <c r="Q463" i="3"/>
  <c r="Q462" i="3"/>
  <c r="Q461" i="3"/>
  <c r="Q460" i="3"/>
  <c r="Q459" i="3"/>
  <c r="Q458" i="3"/>
  <c r="Q457" i="3"/>
  <c r="Q456" i="3"/>
  <c r="Q455" i="3"/>
  <c r="Q454" i="3"/>
  <c r="Q453" i="3"/>
  <c r="Q452" i="3"/>
  <c r="Q451" i="3"/>
  <c r="Q450" i="3"/>
  <c r="Q449" i="3"/>
  <c r="Q448" i="3"/>
  <c r="Q447" i="3"/>
  <c r="Q446" i="3"/>
  <c r="Q445" i="3"/>
  <c r="Q444" i="3"/>
  <c r="Q443" i="3"/>
  <c r="Q442" i="3"/>
  <c r="Q441" i="3"/>
  <c r="Q440" i="3"/>
  <c r="Q439" i="3"/>
  <c r="Q438" i="3"/>
  <c r="Q437" i="3"/>
  <c r="Q436" i="3"/>
  <c r="Q435" i="3"/>
  <c r="Q434" i="3"/>
  <c r="Q433" i="3"/>
  <c r="Q432" i="3"/>
  <c r="Q431" i="3"/>
  <c r="Q430" i="3"/>
  <c r="Q429" i="3"/>
  <c r="Q428" i="3"/>
  <c r="Q427" i="3"/>
  <c r="Q426" i="3"/>
  <c r="Q425" i="3"/>
  <c r="Q424" i="3"/>
  <c r="Q423" i="3"/>
  <c r="Q422" i="3"/>
  <c r="Q421" i="3"/>
  <c r="Q420" i="3"/>
  <c r="Q419" i="3"/>
  <c r="Q418" i="3"/>
  <c r="Q417" i="3"/>
  <c r="Q416" i="3"/>
  <c r="Q415" i="3"/>
  <c r="Q414" i="3"/>
  <c r="Q413" i="3"/>
  <c r="Q412" i="3"/>
  <c r="Q411" i="3"/>
  <c r="Q410" i="3"/>
  <c r="Q409" i="3"/>
  <c r="Q408" i="3"/>
  <c r="Q407" i="3"/>
  <c r="Q406" i="3"/>
  <c r="Q405" i="3"/>
  <c r="Q404" i="3"/>
  <c r="Q403" i="3"/>
  <c r="Q402" i="3"/>
  <c r="Q401" i="3"/>
  <c r="Q400" i="3"/>
  <c r="Q399" i="3"/>
  <c r="Q398" i="3"/>
  <c r="Q397" i="3"/>
  <c r="Q396" i="3"/>
  <c r="Q395" i="3"/>
  <c r="Q394" i="3"/>
  <c r="Q393" i="3"/>
  <c r="Q392" i="3"/>
  <c r="Q391" i="3"/>
  <c r="Q390" i="3"/>
  <c r="Q389" i="3"/>
  <c r="Q388" i="3"/>
  <c r="Q387" i="3"/>
  <c r="Q386" i="3"/>
  <c r="Q385" i="3"/>
  <c r="Q384" i="3"/>
  <c r="Q383" i="3"/>
  <c r="Q382" i="3"/>
  <c r="Q381" i="3"/>
  <c r="Q380" i="3"/>
  <c r="Q379" i="3"/>
  <c r="Q378" i="3"/>
  <c r="Q377" i="3"/>
  <c r="Q376" i="3"/>
  <c r="Q375" i="3"/>
  <c r="Q374" i="3"/>
  <c r="Q373" i="3"/>
  <c r="Q372" i="3"/>
  <c r="Q371" i="3"/>
  <c r="Q370" i="3"/>
  <c r="Q369" i="3"/>
  <c r="Q368" i="3"/>
  <c r="Q367" i="3"/>
  <c r="Q366" i="3"/>
  <c r="Q365" i="3"/>
  <c r="Q364" i="3"/>
  <c r="Q363" i="3"/>
  <c r="Q362" i="3"/>
  <c r="Q361" i="3"/>
  <c r="Q360" i="3"/>
  <c r="Q359" i="3"/>
  <c r="Q358" i="3"/>
  <c r="Q357" i="3"/>
  <c r="Q356" i="3"/>
  <c r="Q355" i="3"/>
  <c r="Q354" i="3"/>
  <c r="Q353" i="3"/>
  <c r="Q352" i="3"/>
  <c r="Q351" i="3"/>
  <c r="Q350" i="3"/>
  <c r="Q349" i="3"/>
  <c r="Q348" i="3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Q333" i="3"/>
  <c r="Q332" i="3"/>
  <c r="Q331" i="3"/>
  <c r="Q330" i="3"/>
  <c r="Q329" i="3"/>
  <c r="Q328" i="3"/>
  <c r="Q327" i="3"/>
  <c r="Q326" i="3"/>
  <c r="Q325" i="3"/>
  <c r="Q324" i="3"/>
  <c r="Q323" i="3"/>
  <c r="Q322" i="3"/>
  <c r="Q321" i="3"/>
  <c r="Q320" i="3"/>
  <c r="Q319" i="3"/>
  <c r="Q318" i="3"/>
  <c r="Q317" i="3"/>
  <c r="Q316" i="3"/>
  <c r="Q315" i="3"/>
  <c r="Q314" i="3"/>
  <c r="Q313" i="3"/>
  <c r="Q312" i="3"/>
  <c r="Q311" i="3"/>
  <c r="Q310" i="3"/>
  <c r="Q309" i="3"/>
  <c r="Q308" i="3"/>
  <c r="Q307" i="3"/>
  <c r="Q306" i="3"/>
  <c r="Q305" i="3"/>
  <c r="Q304" i="3"/>
  <c r="Q303" i="3"/>
  <c r="Q302" i="3"/>
  <c r="Q301" i="3"/>
  <c r="Q300" i="3"/>
  <c r="Q299" i="3"/>
  <c r="Q298" i="3"/>
  <c r="Q297" i="3"/>
  <c r="Q296" i="3"/>
  <c r="Q295" i="3"/>
  <c r="Q294" i="3"/>
  <c r="Q293" i="3"/>
  <c r="Q292" i="3"/>
  <c r="Q291" i="3"/>
  <c r="Q290" i="3"/>
  <c r="Q289" i="3"/>
  <c r="Q288" i="3"/>
  <c r="Q287" i="3"/>
  <c r="Q286" i="3"/>
  <c r="Q285" i="3"/>
  <c r="Q284" i="3"/>
  <c r="Q283" i="3"/>
  <c r="Q282" i="3"/>
  <c r="Q281" i="3"/>
  <c r="Q280" i="3"/>
  <c r="Q279" i="3"/>
  <c r="Q278" i="3"/>
  <c r="Q277" i="3"/>
  <c r="Q276" i="3"/>
  <c r="Q275" i="3"/>
  <c r="Q274" i="3"/>
  <c r="Q273" i="3"/>
  <c r="Q272" i="3"/>
  <c r="Q271" i="3"/>
  <c r="Q270" i="3"/>
  <c r="Q269" i="3"/>
  <c r="Q268" i="3"/>
  <c r="Q267" i="3"/>
  <c r="Q266" i="3"/>
  <c r="Q265" i="3"/>
  <c r="Q264" i="3"/>
  <c r="Q263" i="3"/>
  <c r="Q262" i="3"/>
  <c r="Q261" i="3"/>
  <c r="Q260" i="3"/>
  <c r="Q259" i="3"/>
  <c r="Q258" i="3"/>
  <c r="Q257" i="3"/>
  <c r="Q256" i="3"/>
  <c r="Q255" i="3"/>
  <c r="Q254" i="3"/>
  <c r="Q253" i="3"/>
  <c r="Q25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N502" i="3"/>
  <c r="O492" i="3"/>
  <c r="N487" i="3"/>
  <c r="N484" i="3"/>
  <c r="N479" i="3"/>
  <c r="N476" i="3"/>
  <c r="O475" i="3"/>
  <c r="N465" i="3"/>
  <c r="N443" i="3"/>
  <c r="N438" i="3"/>
  <c r="O432" i="3"/>
  <c r="N427" i="3"/>
  <c r="P427" i="3" s="1"/>
  <c r="N417" i="3"/>
  <c r="N400" i="3"/>
  <c r="O389" i="3"/>
  <c r="N368" i="3"/>
  <c r="O357" i="3"/>
  <c r="O352" i="3"/>
  <c r="N342" i="3"/>
  <c r="N325" i="3"/>
  <c r="N320" i="3"/>
  <c r="N281" i="3"/>
  <c r="N271" i="3"/>
  <c r="N249" i="3"/>
  <c r="N239" i="3"/>
  <c r="N214" i="3"/>
  <c r="N203" i="3"/>
  <c r="N153" i="3"/>
  <c r="N78" i="3"/>
  <c r="N72" i="3"/>
  <c r="N60" i="3"/>
  <c r="N51" i="3"/>
  <c r="N40" i="3"/>
  <c r="N19" i="3"/>
  <c r="M507" i="3"/>
  <c r="N507" i="3" s="1"/>
  <c r="P507" i="3" s="1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N409" i="3" s="1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N393" i="3" s="1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N346" i="3" s="1"/>
  <c r="P346" i="3" s="1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N194" i="3" s="1"/>
  <c r="P194" i="3" s="1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N138" i="3" s="1"/>
  <c r="P138" i="3" s="1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N122" i="3" s="1"/>
  <c r="P122" i="3" s="1"/>
  <c r="M121" i="3"/>
  <c r="M120" i="3"/>
  <c r="M119" i="3"/>
  <c r="M118" i="3"/>
  <c r="M117" i="3"/>
  <c r="M116" i="3"/>
  <c r="M115" i="3"/>
  <c r="M114" i="3"/>
  <c r="N114" i="3" s="1"/>
  <c r="P114" i="3" s="1"/>
  <c r="M113" i="3"/>
  <c r="M112" i="3"/>
  <c r="M111" i="3"/>
  <c r="M110" i="3"/>
  <c r="M109" i="3"/>
  <c r="M108" i="3"/>
  <c r="M107" i="3"/>
  <c r="M106" i="3"/>
  <c r="N106" i="3" s="1"/>
  <c r="P106" i="3" s="1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J507" i="3"/>
  <c r="K507" i="3" s="1"/>
  <c r="J506" i="3"/>
  <c r="K506" i="3" s="1"/>
  <c r="J505" i="3"/>
  <c r="K505" i="3" s="1"/>
  <c r="N505" i="3" s="1"/>
  <c r="J504" i="3"/>
  <c r="K504" i="3" s="1"/>
  <c r="N504" i="3" s="1"/>
  <c r="P504" i="3" s="1"/>
  <c r="K503" i="3"/>
  <c r="N503" i="3" s="1"/>
  <c r="J503" i="3"/>
  <c r="J502" i="3"/>
  <c r="K502" i="3" s="1"/>
  <c r="J501" i="3"/>
  <c r="K501" i="3" s="1"/>
  <c r="N501" i="3" s="1"/>
  <c r="P501" i="3" s="1"/>
  <c r="J500" i="3"/>
  <c r="K500" i="3" s="1"/>
  <c r="N500" i="3" s="1"/>
  <c r="J499" i="3"/>
  <c r="K499" i="3" s="1"/>
  <c r="J498" i="3"/>
  <c r="K498" i="3" s="1"/>
  <c r="J497" i="3"/>
  <c r="K497" i="3" s="1"/>
  <c r="N497" i="3" s="1"/>
  <c r="J496" i="3"/>
  <c r="K496" i="3" s="1"/>
  <c r="J495" i="3"/>
  <c r="K495" i="3" s="1"/>
  <c r="N495" i="3" s="1"/>
  <c r="K494" i="3"/>
  <c r="N494" i="3" s="1"/>
  <c r="J494" i="3"/>
  <c r="J493" i="3"/>
  <c r="K493" i="3" s="1"/>
  <c r="N493" i="3" s="1"/>
  <c r="J492" i="3"/>
  <c r="K492" i="3" s="1"/>
  <c r="N492" i="3" s="1"/>
  <c r="P492" i="3" s="1"/>
  <c r="K491" i="3"/>
  <c r="N491" i="3" s="1"/>
  <c r="J491" i="3"/>
  <c r="J490" i="3"/>
  <c r="K490" i="3" s="1"/>
  <c r="N490" i="3" s="1"/>
  <c r="J489" i="3"/>
  <c r="K489" i="3" s="1"/>
  <c r="N489" i="3" s="1"/>
  <c r="J488" i="3"/>
  <c r="K488" i="3" s="1"/>
  <c r="J487" i="3"/>
  <c r="K487" i="3" s="1"/>
  <c r="J486" i="3"/>
  <c r="K486" i="3" s="1"/>
  <c r="N486" i="3" s="1"/>
  <c r="P486" i="3" s="1"/>
  <c r="J485" i="3"/>
  <c r="K485" i="3" s="1"/>
  <c r="N485" i="3" s="1"/>
  <c r="P485" i="3" s="1"/>
  <c r="J484" i="3"/>
  <c r="K484" i="3" s="1"/>
  <c r="J483" i="3"/>
  <c r="K483" i="3" s="1"/>
  <c r="N483" i="3" s="1"/>
  <c r="P483" i="3" s="1"/>
  <c r="J482" i="3"/>
  <c r="K482" i="3" s="1"/>
  <c r="N482" i="3" s="1"/>
  <c r="P482" i="3" s="1"/>
  <c r="J481" i="3"/>
  <c r="K481" i="3" s="1"/>
  <c r="N481" i="3" s="1"/>
  <c r="J480" i="3"/>
  <c r="K480" i="3" s="1"/>
  <c r="N480" i="3" s="1"/>
  <c r="P480" i="3" s="1"/>
  <c r="J479" i="3"/>
  <c r="K479" i="3" s="1"/>
  <c r="J478" i="3"/>
  <c r="K478" i="3" s="1"/>
  <c r="N478" i="3" s="1"/>
  <c r="J477" i="3"/>
  <c r="K477" i="3" s="1"/>
  <c r="N477" i="3" s="1"/>
  <c r="P477" i="3" s="1"/>
  <c r="J476" i="3"/>
  <c r="K476" i="3" s="1"/>
  <c r="J475" i="3"/>
  <c r="K475" i="3" s="1"/>
  <c r="J474" i="3"/>
  <c r="K474" i="3" s="1"/>
  <c r="N474" i="3" s="1"/>
  <c r="J473" i="3"/>
  <c r="K473" i="3" s="1"/>
  <c r="N473" i="3" s="1"/>
  <c r="J472" i="3"/>
  <c r="K472" i="3" s="1"/>
  <c r="J471" i="3"/>
  <c r="K471" i="3" s="1"/>
  <c r="N471" i="3" s="1"/>
  <c r="P471" i="3" s="1"/>
  <c r="J470" i="3"/>
  <c r="K470" i="3" s="1"/>
  <c r="N470" i="3" s="1"/>
  <c r="J469" i="3"/>
  <c r="K469" i="3" s="1"/>
  <c r="N469" i="3" s="1"/>
  <c r="J468" i="3"/>
  <c r="K468" i="3" s="1"/>
  <c r="N468" i="3" s="1"/>
  <c r="P468" i="3" s="1"/>
  <c r="J467" i="3"/>
  <c r="K467" i="3" s="1"/>
  <c r="N467" i="3" s="1"/>
  <c r="P467" i="3" s="1"/>
  <c r="J466" i="3"/>
  <c r="K466" i="3" s="1"/>
  <c r="J465" i="3"/>
  <c r="K465" i="3" s="1"/>
  <c r="J464" i="3"/>
  <c r="K464" i="3" s="1"/>
  <c r="N464" i="3" s="1"/>
  <c r="P464" i="3" s="1"/>
  <c r="J463" i="3"/>
  <c r="K463" i="3" s="1"/>
  <c r="N463" i="3" s="1"/>
  <c r="J462" i="3"/>
  <c r="K462" i="3" s="1"/>
  <c r="N462" i="3" s="1"/>
  <c r="J461" i="3"/>
  <c r="K461" i="3" s="1"/>
  <c r="J460" i="3"/>
  <c r="K460" i="3" s="1"/>
  <c r="N460" i="3" s="1"/>
  <c r="P460" i="3" s="1"/>
  <c r="K459" i="3"/>
  <c r="N459" i="3" s="1"/>
  <c r="P459" i="3" s="1"/>
  <c r="J459" i="3"/>
  <c r="J458" i="3"/>
  <c r="K458" i="3" s="1"/>
  <c r="N458" i="3" s="1"/>
  <c r="J457" i="3"/>
  <c r="K457" i="3" s="1"/>
  <c r="N457" i="3" s="1"/>
  <c r="J456" i="3"/>
  <c r="K456" i="3" s="1"/>
  <c r="N456" i="3" s="1"/>
  <c r="J455" i="3"/>
  <c r="K455" i="3" s="1"/>
  <c r="N455" i="3" s="1"/>
  <c r="J454" i="3"/>
  <c r="K454" i="3" s="1"/>
  <c r="N454" i="3" s="1"/>
  <c r="J453" i="3"/>
  <c r="K453" i="3" s="1"/>
  <c r="N453" i="3" s="1"/>
  <c r="J452" i="3"/>
  <c r="K452" i="3" s="1"/>
  <c r="N452" i="3" s="1"/>
  <c r="J451" i="3"/>
  <c r="K451" i="3" s="1"/>
  <c r="N451" i="3" s="1"/>
  <c r="K450" i="3"/>
  <c r="J450" i="3"/>
  <c r="J449" i="3"/>
  <c r="K449" i="3" s="1"/>
  <c r="N449" i="3" s="1"/>
  <c r="J448" i="3"/>
  <c r="K448" i="3" s="1"/>
  <c r="N448" i="3" s="1"/>
  <c r="P448" i="3" s="1"/>
  <c r="J447" i="3"/>
  <c r="K447" i="3" s="1"/>
  <c r="N447" i="3" s="1"/>
  <c r="J446" i="3"/>
  <c r="K446" i="3" s="1"/>
  <c r="N446" i="3" s="1"/>
  <c r="J445" i="3"/>
  <c r="K445" i="3" s="1"/>
  <c r="N445" i="3" s="1"/>
  <c r="J444" i="3"/>
  <c r="K444" i="3" s="1"/>
  <c r="N444" i="3" s="1"/>
  <c r="J443" i="3"/>
  <c r="K443" i="3" s="1"/>
  <c r="J442" i="3"/>
  <c r="K442" i="3" s="1"/>
  <c r="N442" i="3" s="1"/>
  <c r="J441" i="3"/>
  <c r="K441" i="3" s="1"/>
  <c r="N441" i="3" s="1"/>
  <c r="J440" i="3"/>
  <c r="K440" i="3" s="1"/>
  <c r="N440" i="3" s="1"/>
  <c r="P440" i="3" s="1"/>
  <c r="J439" i="3"/>
  <c r="K439" i="3" s="1"/>
  <c r="N439" i="3" s="1"/>
  <c r="J438" i="3"/>
  <c r="K438" i="3" s="1"/>
  <c r="J437" i="3"/>
  <c r="K437" i="3" s="1"/>
  <c r="N437" i="3" s="1"/>
  <c r="P437" i="3" s="1"/>
  <c r="J436" i="3"/>
  <c r="K436" i="3" s="1"/>
  <c r="N436" i="3" s="1"/>
  <c r="P436" i="3" s="1"/>
  <c r="J435" i="3"/>
  <c r="K435" i="3" s="1"/>
  <c r="J434" i="3"/>
  <c r="K434" i="3" s="1"/>
  <c r="J433" i="3"/>
  <c r="K433" i="3" s="1"/>
  <c r="N433" i="3" s="1"/>
  <c r="J432" i="3"/>
  <c r="K432" i="3" s="1"/>
  <c r="N432" i="3" s="1"/>
  <c r="J431" i="3"/>
  <c r="K431" i="3" s="1"/>
  <c r="N431" i="3" s="1"/>
  <c r="J430" i="3"/>
  <c r="K430" i="3" s="1"/>
  <c r="N430" i="3" s="1"/>
  <c r="J429" i="3"/>
  <c r="K429" i="3" s="1"/>
  <c r="N429" i="3" s="1"/>
  <c r="P429" i="3" s="1"/>
  <c r="J428" i="3"/>
  <c r="K428" i="3" s="1"/>
  <c r="N428" i="3" s="1"/>
  <c r="P428" i="3" s="1"/>
  <c r="K427" i="3"/>
  <c r="J427" i="3"/>
  <c r="J426" i="3"/>
  <c r="K426" i="3" s="1"/>
  <c r="N426" i="3" s="1"/>
  <c r="J425" i="3"/>
  <c r="K425" i="3" s="1"/>
  <c r="N425" i="3" s="1"/>
  <c r="J424" i="3"/>
  <c r="K424" i="3" s="1"/>
  <c r="N424" i="3" s="1"/>
  <c r="J423" i="3"/>
  <c r="K423" i="3" s="1"/>
  <c r="N423" i="3" s="1"/>
  <c r="J422" i="3"/>
  <c r="K422" i="3" s="1"/>
  <c r="N422" i="3" s="1"/>
  <c r="P422" i="3" s="1"/>
  <c r="J421" i="3"/>
  <c r="K421" i="3" s="1"/>
  <c r="N421" i="3" s="1"/>
  <c r="P421" i="3" s="1"/>
  <c r="J420" i="3"/>
  <c r="K420" i="3" s="1"/>
  <c r="K419" i="3"/>
  <c r="N419" i="3" s="1"/>
  <c r="P419" i="3" s="1"/>
  <c r="J419" i="3"/>
  <c r="J418" i="3"/>
  <c r="K418" i="3" s="1"/>
  <c r="N418" i="3" s="1"/>
  <c r="J417" i="3"/>
  <c r="K417" i="3" s="1"/>
  <c r="J416" i="3"/>
  <c r="K416" i="3" s="1"/>
  <c r="N416" i="3" s="1"/>
  <c r="P416" i="3" s="1"/>
  <c r="J415" i="3"/>
  <c r="K415" i="3" s="1"/>
  <c r="N415" i="3" s="1"/>
  <c r="J414" i="3"/>
  <c r="K414" i="3" s="1"/>
  <c r="N414" i="3" s="1"/>
  <c r="J413" i="3"/>
  <c r="K413" i="3" s="1"/>
  <c r="N413" i="3" s="1"/>
  <c r="J412" i="3"/>
  <c r="K412" i="3" s="1"/>
  <c r="N412" i="3" s="1"/>
  <c r="J411" i="3"/>
  <c r="K411" i="3" s="1"/>
  <c r="N411" i="3" s="1"/>
  <c r="K410" i="3"/>
  <c r="J410" i="3"/>
  <c r="J409" i="3"/>
  <c r="K409" i="3" s="1"/>
  <c r="J408" i="3"/>
  <c r="K408" i="3" s="1"/>
  <c r="N408" i="3" s="1"/>
  <c r="J407" i="3"/>
  <c r="K407" i="3" s="1"/>
  <c r="N407" i="3" s="1"/>
  <c r="K406" i="3"/>
  <c r="N406" i="3" s="1"/>
  <c r="P406" i="3" s="1"/>
  <c r="J406" i="3"/>
  <c r="J405" i="3"/>
  <c r="K405" i="3" s="1"/>
  <c r="N405" i="3" s="1"/>
  <c r="J404" i="3"/>
  <c r="K404" i="3" s="1"/>
  <c r="N404" i="3" s="1"/>
  <c r="J403" i="3"/>
  <c r="K403" i="3" s="1"/>
  <c r="N403" i="3" s="1"/>
  <c r="J402" i="3"/>
  <c r="K402" i="3" s="1"/>
  <c r="N402" i="3" s="1"/>
  <c r="J401" i="3"/>
  <c r="K401" i="3" s="1"/>
  <c r="N401" i="3" s="1"/>
  <c r="J400" i="3"/>
  <c r="K400" i="3" s="1"/>
  <c r="K399" i="3"/>
  <c r="N399" i="3" s="1"/>
  <c r="J399" i="3"/>
  <c r="J398" i="3"/>
  <c r="K398" i="3" s="1"/>
  <c r="N398" i="3" s="1"/>
  <c r="J397" i="3"/>
  <c r="K397" i="3" s="1"/>
  <c r="N397" i="3" s="1"/>
  <c r="J396" i="3"/>
  <c r="K396" i="3" s="1"/>
  <c r="N396" i="3" s="1"/>
  <c r="P396" i="3" s="1"/>
  <c r="J395" i="3"/>
  <c r="K395" i="3" s="1"/>
  <c r="N395" i="3" s="1"/>
  <c r="J394" i="3"/>
  <c r="K394" i="3" s="1"/>
  <c r="N394" i="3" s="1"/>
  <c r="J393" i="3"/>
  <c r="K393" i="3" s="1"/>
  <c r="J392" i="3"/>
  <c r="K392" i="3" s="1"/>
  <c r="N392" i="3" s="1"/>
  <c r="J391" i="3"/>
  <c r="K391" i="3" s="1"/>
  <c r="N391" i="3" s="1"/>
  <c r="K390" i="3"/>
  <c r="N390" i="3" s="1"/>
  <c r="J390" i="3"/>
  <c r="J389" i="3"/>
  <c r="K389" i="3" s="1"/>
  <c r="N389" i="3" s="1"/>
  <c r="J388" i="3"/>
  <c r="K388" i="3" s="1"/>
  <c r="N388" i="3" s="1"/>
  <c r="P388" i="3" s="1"/>
  <c r="J387" i="3"/>
  <c r="K387" i="3" s="1"/>
  <c r="N387" i="3" s="1"/>
  <c r="J386" i="3"/>
  <c r="K386" i="3" s="1"/>
  <c r="N386" i="3" s="1"/>
  <c r="J385" i="3"/>
  <c r="K385" i="3" s="1"/>
  <c r="N385" i="3" s="1"/>
  <c r="J384" i="3"/>
  <c r="K384" i="3" s="1"/>
  <c r="N384" i="3" s="1"/>
  <c r="P384" i="3" s="1"/>
  <c r="K383" i="3"/>
  <c r="N383" i="3" s="1"/>
  <c r="J383" i="3"/>
  <c r="J382" i="3"/>
  <c r="K382" i="3" s="1"/>
  <c r="N382" i="3" s="1"/>
  <c r="J381" i="3"/>
  <c r="K381" i="3" s="1"/>
  <c r="N381" i="3" s="1"/>
  <c r="J380" i="3"/>
  <c r="K380" i="3" s="1"/>
  <c r="N380" i="3" s="1"/>
  <c r="J379" i="3"/>
  <c r="K379" i="3" s="1"/>
  <c r="N379" i="3" s="1"/>
  <c r="J378" i="3"/>
  <c r="K378" i="3" s="1"/>
  <c r="N378" i="3" s="1"/>
  <c r="P378" i="3" s="1"/>
  <c r="J377" i="3"/>
  <c r="K377" i="3" s="1"/>
  <c r="N377" i="3" s="1"/>
  <c r="J376" i="3"/>
  <c r="K376" i="3" s="1"/>
  <c r="N376" i="3" s="1"/>
  <c r="P376" i="3" s="1"/>
  <c r="J375" i="3"/>
  <c r="K375" i="3" s="1"/>
  <c r="N375" i="3" s="1"/>
  <c r="J374" i="3"/>
  <c r="K374" i="3" s="1"/>
  <c r="N374" i="3" s="1"/>
  <c r="P374" i="3" s="1"/>
  <c r="J373" i="3"/>
  <c r="K373" i="3" s="1"/>
  <c r="N373" i="3" s="1"/>
  <c r="J372" i="3"/>
  <c r="K372" i="3" s="1"/>
  <c r="N372" i="3" s="1"/>
  <c r="K371" i="3"/>
  <c r="N371" i="3" s="1"/>
  <c r="J371" i="3"/>
  <c r="J370" i="3"/>
  <c r="K370" i="3" s="1"/>
  <c r="N370" i="3" s="1"/>
  <c r="J369" i="3"/>
  <c r="K369" i="3" s="1"/>
  <c r="N369" i="3" s="1"/>
  <c r="K368" i="3"/>
  <c r="J368" i="3"/>
  <c r="J367" i="3"/>
  <c r="K367" i="3" s="1"/>
  <c r="N367" i="3" s="1"/>
  <c r="K366" i="3"/>
  <c r="N366" i="3" s="1"/>
  <c r="J366" i="3"/>
  <c r="J365" i="3"/>
  <c r="K365" i="3" s="1"/>
  <c r="N365" i="3" s="1"/>
  <c r="J364" i="3"/>
  <c r="K364" i="3" s="1"/>
  <c r="N364" i="3" s="1"/>
  <c r="J363" i="3"/>
  <c r="K363" i="3" s="1"/>
  <c r="N363" i="3" s="1"/>
  <c r="J362" i="3"/>
  <c r="K362" i="3" s="1"/>
  <c r="N362" i="3" s="1"/>
  <c r="J361" i="3"/>
  <c r="K361" i="3" s="1"/>
  <c r="N361" i="3" s="1"/>
  <c r="J360" i="3"/>
  <c r="K360" i="3" s="1"/>
  <c r="N360" i="3" s="1"/>
  <c r="K359" i="3"/>
  <c r="N359" i="3" s="1"/>
  <c r="J359" i="3"/>
  <c r="J358" i="3"/>
  <c r="K358" i="3" s="1"/>
  <c r="N358" i="3" s="1"/>
  <c r="J357" i="3"/>
  <c r="K357" i="3" s="1"/>
  <c r="N357" i="3" s="1"/>
  <c r="J356" i="3"/>
  <c r="K356" i="3" s="1"/>
  <c r="N356" i="3" s="1"/>
  <c r="K355" i="3"/>
  <c r="N355" i="3" s="1"/>
  <c r="J355" i="3"/>
  <c r="J354" i="3"/>
  <c r="K354" i="3" s="1"/>
  <c r="J353" i="3"/>
  <c r="K353" i="3" s="1"/>
  <c r="N353" i="3" s="1"/>
  <c r="J352" i="3"/>
  <c r="K352" i="3" s="1"/>
  <c r="N352" i="3" s="1"/>
  <c r="P352" i="3" s="1"/>
  <c r="J351" i="3"/>
  <c r="K351" i="3" s="1"/>
  <c r="N351" i="3" s="1"/>
  <c r="J350" i="3"/>
  <c r="K350" i="3" s="1"/>
  <c r="N350" i="3" s="1"/>
  <c r="J349" i="3"/>
  <c r="K349" i="3" s="1"/>
  <c r="N349" i="3" s="1"/>
  <c r="J348" i="3"/>
  <c r="K348" i="3" s="1"/>
  <c r="N348" i="3" s="1"/>
  <c r="K347" i="3"/>
  <c r="N347" i="3" s="1"/>
  <c r="P347" i="3" s="1"/>
  <c r="J347" i="3"/>
  <c r="J346" i="3"/>
  <c r="K346" i="3" s="1"/>
  <c r="J345" i="3"/>
  <c r="K345" i="3" s="1"/>
  <c r="N345" i="3" s="1"/>
  <c r="J344" i="3"/>
  <c r="K344" i="3" s="1"/>
  <c r="N344" i="3" s="1"/>
  <c r="K343" i="3"/>
  <c r="N343" i="3" s="1"/>
  <c r="J343" i="3"/>
  <c r="J342" i="3"/>
  <c r="K342" i="3" s="1"/>
  <c r="J341" i="3"/>
  <c r="K341" i="3" s="1"/>
  <c r="N341" i="3" s="1"/>
  <c r="J340" i="3"/>
  <c r="K340" i="3" s="1"/>
  <c r="N340" i="3" s="1"/>
  <c r="J339" i="3"/>
  <c r="K339" i="3" s="1"/>
  <c r="N339" i="3" s="1"/>
  <c r="J338" i="3"/>
  <c r="K338" i="3" s="1"/>
  <c r="J337" i="3"/>
  <c r="K337" i="3" s="1"/>
  <c r="N337" i="3" s="1"/>
  <c r="K336" i="3"/>
  <c r="N336" i="3" s="1"/>
  <c r="P336" i="3" s="1"/>
  <c r="J336" i="3"/>
  <c r="J335" i="3"/>
  <c r="K335" i="3" s="1"/>
  <c r="N335" i="3" s="1"/>
  <c r="J334" i="3"/>
  <c r="K334" i="3" s="1"/>
  <c r="N334" i="3" s="1"/>
  <c r="J333" i="3"/>
  <c r="K333" i="3" s="1"/>
  <c r="N333" i="3" s="1"/>
  <c r="J332" i="3"/>
  <c r="K332" i="3" s="1"/>
  <c r="N332" i="3" s="1"/>
  <c r="J331" i="3"/>
  <c r="K331" i="3" s="1"/>
  <c r="N331" i="3" s="1"/>
  <c r="K330" i="3"/>
  <c r="N330" i="3" s="1"/>
  <c r="J330" i="3"/>
  <c r="J329" i="3"/>
  <c r="K329" i="3" s="1"/>
  <c r="N329" i="3" s="1"/>
  <c r="J328" i="3"/>
  <c r="K328" i="3" s="1"/>
  <c r="N328" i="3" s="1"/>
  <c r="J327" i="3"/>
  <c r="K327" i="3" s="1"/>
  <c r="N327" i="3" s="1"/>
  <c r="J326" i="3"/>
  <c r="K326" i="3" s="1"/>
  <c r="N326" i="3" s="1"/>
  <c r="J325" i="3"/>
  <c r="K325" i="3" s="1"/>
  <c r="J324" i="3"/>
  <c r="K324" i="3" s="1"/>
  <c r="N324" i="3" s="1"/>
  <c r="J323" i="3"/>
  <c r="K323" i="3" s="1"/>
  <c r="N323" i="3" s="1"/>
  <c r="J322" i="3"/>
  <c r="K322" i="3" s="1"/>
  <c r="N322" i="3" s="1"/>
  <c r="J321" i="3"/>
  <c r="K321" i="3" s="1"/>
  <c r="N321" i="3" s="1"/>
  <c r="J320" i="3"/>
  <c r="K320" i="3" s="1"/>
  <c r="J319" i="3"/>
  <c r="K319" i="3" s="1"/>
  <c r="N319" i="3" s="1"/>
  <c r="J318" i="3"/>
  <c r="K318" i="3" s="1"/>
  <c r="N318" i="3" s="1"/>
  <c r="J317" i="3"/>
  <c r="K317" i="3" s="1"/>
  <c r="N317" i="3" s="1"/>
  <c r="J316" i="3"/>
  <c r="K316" i="3" s="1"/>
  <c r="N316" i="3" s="1"/>
  <c r="J315" i="3"/>
  <c r="K315" i="3" s="1"/>
  <c r="N315" i="3" s="1"/>
  <c r="K314" i="3"/>
  <c r="N314" i="3" s="1"/>
  <c r="J314" i="3"/>
  <c r="J313" i="3"/>
  <c r="K313" i="3" s="1"/>
  <c r="N313" i="3" s="1"/>
  <c r="J312" i="3"/>
  <c r="K312" i="3" s="1"/>
  <c r="N312" i="3" s="1"/>
  <c r="P312" i="3" s="1"/>
  <c r="J311" i="3"/>
  <c r="K311" i="3" s="1"/>
  <c r="N311" i="3" s="1"/>
  <c r="J310" i="3"/>
  <c r="K310" i="3" s="1"/>
  <c r="N310" i="3" s="1"/>
  <c r="J309" i="3"/>
  <c r="K309" i="3" s="1"/>
  <c r="N309" i="3" s="1"/>
  <c r="J308" i="3"/>
  <c r="K308" i="3" s="1"/>
  <c r="N308" i="3" s="1"/>
  <c r="J307" i="3"/>
  <c r="K307" i="3" s="1"/>
  <c r="N307" i="3" s="1"/>
  <c r="J306" i="3"/>
  <c r="K306" i="3" s="1"/>
  <c r="N306" i="3" s="1"/>
  <c r="J305" i="3"/>
  <c r="K305" i="3" s="1"/>
  <c r="N305" i="3" s="1"/>
  <c r="J304" i="3"/>
  <c r="K304" i="3" s="1"/>
  <c r="N304" i="3" s="1"/>
  <c r="P304" i="3" s="1"/>
  <c r="J303" i="3"/>
  <c r="K303" i="3" s="1"/>
  <c r="N303" i="3" s="1"/>
  <c r="J302" i="3"/>
  <c r="K302" i="3" s="1"/>
  <c r="N302" i="3" s="1"/>
  <c r="J301" i="3"/>
  <c r="K301" i="3" s="1"/>
  <c r="N301" i="3" s="1"/>
  <c r="J300" i="3"/>
  <c r="K300" i="3" s="1"/>
  <c r="N300" i="3" s="1"/>
  <c r="J299" i="3"/>
  <c r="K299" i="3" s="1"/>
  <c r="N299" i="3" s="1"/>
  <c r="J298" i="3"/>
  <c r="K298" i="3" s="1"/>
  <c r="N298" i="3" s="1"/>
  <c r="P298" i="3" s="1"/>
  <c r="J297" i="3"/>
  <c r="K297" i="3" s="1"/>
  <c r="N297" i="3" s="1"/>
  <c r="J296" i="3"/>
  <c r="K296" i="3" s="1"/>
  <c r="N296" i="3" s="1"/>
  <c r="P296" i="3" s="1"/>
  <c r="J295" i="3"/>
  <c r="K295" i="3" s="1"/>
  <c r="N295" i="3" s="1"/>
  <c r="J294" i="3"/>
  <c r="K294" i="3" s="1"/>
  <c r="N294" i="3" s="1"/>
  <c r="J293" i="3"/>
  <c r="K293" i="3" s="1"/>
  <c r="N293" i="3" s="1"/>
  <c r="J292" i="3"/>
  <c r="K292" i="3" s="1"/>
  <c r="N292" i="3" s="1"/>
  <c r="K291" i="3"/>
  <c r="N291" i="3" s="1"/>
  <c r="J291" i="3"/>
  <c r="J290" i="3"/>
  <c r="K290" i="3" s="1"/>
  <c r="N290" i="3" s="1"/>
  <c r="J289" i="3"/>
  <c r="K289" i="3" s="1"/>
  <c r="N289" i="3" s="1"/>
  <c r="J288" i="3"/>
  <c r="K288" i="3" s="1"/>
  <c r="N288" i="3" s="1"/>
  <c r="J287" i="3"/>
  <c r="K287" i="3" s="1"/>
  <c r="N287" i="3" s="1"/>
  <c r="J286" i="3"/>
  <c r="K286" i="3" s="1"/>
  <c r="N286" i="3" s="1"/>
  <c r="J285" i="3"/>
  <c r="K285" i="3" s="1"/>
  <c r="N285" i="3" s="1"/>
  <c r="J284" i="3"/>
  <c r="K284" i="3" s="1"/>
  <c r="N284" i="3" s="1"/>
  <c r="J283" i="3"/>
  <c r="K283" i="3" s="1"/>
  <c r="N283" i="3" s="1"/>
  <c r="J282" i="3"/>
  <c r="K282" i="3" s="1"/>
  <c r="N282" i="3" s="1"/>
  <c r="J281" i="3"/>
  <c r="K281" i="3" s="1"/>
  <c r="J280" i="3"/>
  <c r="K280" i="3" s="1"/>
  <c r="N280" i="3" s="1"/>
  <c r="K279" i="3"/>
  <c r="N279" i="3" s="1"/>
  <c r="J279" i="3"/>
  <c r="J278" i="3"/>
  <c r="K278" i="3" s="1"/>
  <c r="N278" i="3" s="1"/>
  <c r="J277" i="3"/>
  <c r="K277" i="3" s="1"/>
  <c r="N277" i="3" s="1"/>
  <c r="P277" i="3" s="1"/>
  <c r="J276" i="3"/>
  <c r="K276" i="3" s="1"/>
  <c r="N276" i="3" s="1"/>
  <c r="J275" i="3"/>
  <c r="K275" i="3" s="1"/>
  <c r="N275" i="3" s="1"/>
  <c r="J274" i="3"/>
  <c r="K274" i="3" s="1"/>
  <c r="J273" i="3"/>
  <c r="K273" i="3" s="1"/>
  <c r="N273" i="3" s="1"/>
  <c r="J272" i="3"/>
  <c r="K272" i="3" s="1"/>
  <c r="N272" i="3" s="1"/>
  <c r="J271" i="3"/>
  <c r="K271" i="3" s="1"/>
  <c r="K270" i="3"/>
  <c r="N270" i="3" s="1"/>
  <c r="J270" i="3"/>
  <c r="J269" i="3"/>
  <c r="K269" i="3" s="1"/>
  <c r="N269" i="3" s="1"/>
  <c r="J268" i="3"/>
  <c r="K268" i="3" s="1"/>
  <c r="N268" i="3" s="1"/>
  <c r="J267" i="3"/>
  <c r="K267" i="3" s="1"/>
  <c r="N267" i="3" s="1"/>
  <c r="J266" i="3"/>
  <c r="K266" i="3" s="1"/>
  <c r="N266" i="3" s="1"/>
  <c r="J265" i="3"/>
  <c r="K265" i="3" s="1"/>
  <c r="N265" i="3" s="1"/>
  <c r="J264" i="3"/>
  <c r="K264" i="3" s="1"/>
  <c r="N264" i="3" s="1"/>
  <c r="J263" i="3"/>
  <c r="K263" i="3" s="1"/>
  <c r="N263" i="3" s="1"/>
  <c r="J262" i="3"/>
  <c r="K262" i="3" s="1"/>
  <c r="N262" i="3" s="1"/>
  <c r="J261" i="3"/>
  <c r="K261" i="3" s="1"/>
  <c r="N261" i="3" s="1"/>
  <c r="K260" i="3"/>
  <c r="N260" i="3" s="1"/>
  <c r="P260" i="3" s="1"/>
  <c r="J260" i="3"/>
  <c r="J259" i="3"/>
  <c r="K259" i="3" s="1"/>
  <c r="N259" i="3" s="1"/>
  <c r="J258" i="3"/>
  <c r="K258" i="3" s="1"/>
  <c r="J257" i="3"/>
  <c r="K257" i="3" s="1"/>
  <c r="N257" i="3" s="1"/>
  <c r="J256" i="3"/>
  <c r="K256" i="3" s="1"/>
  <c r="N256" i="3" s="1"/>
  <c r="J255" i="3"/>
  <c r="K255" i="3" s="1"/>
  <c r="N255" i="3" s="1"/>
  <c r="K254" i="3"/>
  <c r="N254" i="3" s="1"/>
  <c r="J254" i="3"/>
  <c r="J253" i="3"/>
  <c r="K253" i="3" s="1"/>
  <c r="N253" i="3" s="1"/>
  <c r="J252" i="3"/>
  <c r="K252" i="3" s="1"/>
  <c r="N252" i="3" s="1"/>
  <c r="J251" i="3"/>
  <c r="K251" i="3" s="1"/>
  <c r="N251" i="3" s="1"/>
  <c r="J250" i="3"/>
  <c r="K250" i="3" s="1"/>
  <c r="N250" i="3" s="1"/>
  <c r="J249" i="3"/>
  <c r="K249" i="3" s="1"/>
  <c r="J248" i="3"/>
  <c r="K248" i="3" s="1"/>
  <c r="N248" i="3" s="1"/>
  <c r="J247" i="3"/>
  <c r="K247" i="3" s="1"/>
  <c r="N247" i="3" s="1"/>
  <c r="J246" i="3"/>
  <c r="K246" i="3" s="1"/>
  <c r="N246" i="3" s="1"/>
  <c r="J245" i="3"/>
  <c r="K245" i="3" s="1"/>
  <c r="N245" i="3" s="1"/>
  <c r="P245" i="3" s="1"/>
  <c r="J244" i="3"/>
  <c r="K244" i="3" s="1"/>
  <c r="N244" i="3" s="1"/>
  <c r="J243" i="3"/>
  <c r="K243" i="3" s="1"/>
  <c r="N243" i="3" s="1"/>
  <c r="J242" i="3"/>
  <c r="K242" i="3" s="1"/>
  <c r="J241" i="3"/>
  <c r="K241" i="3" s="1"/>
  <c r="N241" i="3" s="1"/>
  <c r="J240" i="3"/>
  <c r="K240" i="3" s="1"/>
  <c r="N240" i="3" s="1"/>
  <c r="J239" i="3"/>
  <c r="K239" i="3" s="1"/>
  <c r="K238" i="3"/>
  <c r="N238" i="3" s="1"/>
  <c r="J238" i="3"/>
  <c r="J237" i="3"/>
  <c r="K237" i="3" s="1"/>
  <c r="N237" i="3" s="1"/>
  <c r="J236" i="3"/>
  <c r="K236" i="3" s="1"/>
  <c r="N236" i="3" s="1"/>
  <c r="J235" i="3"/>
  <c r="K235" i="3" s="1"/>
  <c r="N235" i="3" s="1"/>
  <c r="J234" i="3"/>
  <c r="K234" i="3" s="1"/>
  <c r="N234" i="3" s="1"/>
  <c r="J233" i="3"/>
  <c r="K233" i="3" s="1"/>
  <c r="N233" i="3" s="1"/>
  <c r="J232" i="3"/>
  <c r="K232" i="3" s="1"/>
  <c r="N232" i="3" s="1"/>
  <c r="J231" i="3"/>
  <c r="K231" i="3" s="1"/>
  <c r="N231" i="3" s="1"/>
  <c r="J230" i="3"/>
  <c r="K230" i="3" s="1"/>
  <c r="N230" i="3" s="1"/>
  <c r="J229" i="3"/>
  <c r="K229" i="3" s="1"/>
  <c r="N229" i="3" s="1"/>
  <c r="J228" i="3"/>
  <c r="K228" i="3" s="1"/>
  <c r="N228" i="3" s="1"/>
  <c r="J227" i="3"/>
  <c r="K227" i="3" s="1"/>
  <c r="N227" i="3" s="1"/>
  <c r="J226" i="3"/>
  <c r="K226" i="3" s="1"/>
  <c r="J225" i="3"/>
  <c r="K225" i="3" s="1"/>
  <c r="N225" i="3" s="1"/>
  <c r="K224" i="3"/>
  <c r="N224" i="3" s="1"/>
  <c r="P224" i="3" s="1"/>
  <c r="J224" i="3"/>
  <c r="J223" i="3"/>
  <c r="K223" i="3" s="1"/>
  <c r="N223" i="3" s="1"/>
  <c r="J222" i="3"/>
  <c r="K222" i="3" s="1"/>
  <c r="N222" i="3" s="1"/>
  <c r="J221" i="3"/>
  <c r="K221" i="3" s="1"/>
  <c r="N221" i="3" s="1"/>
  <c r="J220" i="3"/>
  <c r="K220" i="3" s="1"/>
  <c r="N220" i="3" s="1"/>
  <c r="K219" i="3"/>
  <c r="N219" i="3" s="1"/>
  <c r="J219" i="3"/>
  <c r="J218" i="3"/>
  <c r="K218" i="3" s="1"/>
  <c r="N218" i="3" s="1"/>
  <c r="J217" i="3"/>
  <c r="K217" i="3" s="1"/>
  <c r="N217" i="3" s="1"/>
  <c r="J216" i="3"/>
  <c r="K216" i="3" s="1"/>
  <c r="N216" i="3" s="1"/>
  <c r="K215" i="3"/>
  <c r="N215" i="3" s="1"/>
  <c r="J215" i="3"/>
  <c r="J214" i="3"/>
  <c r="K214" i="3" s="1"/>
  <c r="J213" i="3"/>
  <c r="K213" i="3" s="1"/>
  <c r="N213" i="3" s="1"/>
  <c r="J212" i="3"/>
  <c r="K212" i="3" s="1"/>
  <c r="N212" i="3" s="1"/>
  <c r="J211" i="3"/>
  <c r="K211" i="3" s="1"/>
  <c r="N211" i="3" s="1"/>
  <c r="J210" i="3"/>
  <c r="K210" i="3" s="1"/>
  <c r="N210" i="3" s="1"/>
  <c r="J209" i="3"/>
  <c r="K209" i="3" s="1"/>
  <c r="N209" i="3" s="1"/>
  <c r="J208" i="3"/>
  <c r="K208" i="3" s="1"/>
  <c r="N208" i="3" s="1"/>
  <c r="J207" i="3"/>
  <c r="K207" i="3" s="1"/>
  <c r="N207" i="3" s="1"/>
  <c r="J206" i="3"/>
  <c r="K206" i="3" s="1"/>
  <c r="N206" i="3" s="1"/>
  <c r="J205" i="3"/>
  <c r="K205" i="3" s="1"/>
  <c r="N205" i="3" s="1"/>
  <c r="K204" i="3"/>
  <c r="N204" i="3" s="1"/>
  <c r="J204" i="3"/>
  <c r="J203" i="3"/>
  <c r="K203" i="3" s="1"/>
  <c r="J202" i="3"/>
  <c r="K202" i="3" s="1"/>
  <c r="N202" i="3" s="1"/>
  <c r="J201" i="3"/>
  <c r="K201" i="3" s="1"/>
  <c r="N201" i="3" s="1"/>
  <c r="J200" i="3"/>
  <c r="K200" i="3" s="1"/>
  <c r="N200" i="3" s="1"/>
  <c r="J199" i="3"/>
  <c r="K199" i="3" s="1"/>
  <c r="N199" i="3" s="1"/>
  <c r="J198" i="3"/>
  <c r="K198" i="3" s="1"/>
  <c r="N198" i="3" s="1"/>
  <c r="J197" i="3"/>
  <c r="K197" i="3" s="1"/>
  <c r="N197" i="3" s="1"/>
  <c r="J196" i="3"/>
  <c r="K196" i="3" s="1"/>
  <c r="N196" i="3" s="1"/>
  <c r="K195" i="3"/>
  <c r="N195" i="3" s="1"/>
  <c r="J195" i="3"/>
  <c r="J194" i="3"/>
  <c r="K194" i="3" s="1"/>
  <c r="J193" i="3"/>
  <c r="K193" i="3" s="1"/>
  <c r="N193" i="3" s="1"/>
  <c r="J192" i="3"/>
  <c r="K192" i="3" s="1"/>
  <c r="N192" i="3" s="1"/>
  <c r="J191" i="3"/>
  <c r="K191" i="3" s="1"/>
  <c r="N191" i="3" s="1"/>
  <c r="J190" i="3"/>
  <c r="K190" i="3" s="1"/>
  <c r="N190" i="3" s="1"/>
  <c r="J189" i="3"/>
  <c r="K189" i="3" s="1"/>
  <c r="N189" i="3" s="1"/>
  <c r="K188" i="3"/>
  <c r="N188" i="3" s="1"/>
  <c r="J188" i="3"/>
  <c r="J187" i="3"/>
  <c r="K187" i="3" s="1"/>
  <c r="N187" i="3" s="1"/>
  <c r="J186" i="3"/>
  <c r="K186" i="3" s="1"/>
  <c r="J185" i="3"/>
  <c r="K185" i="3" s="1"/>
  <c r="N185" i="3" s="1"/>
  <c r="J184" i="3"/>
  <c r="K184" i="3" s="1"/>
  <c r="N184" i="3" s="1"/>
  <c r="P184" i="3" s="1"/>
  <c r="J183" i="3"/>
  <c r="K183" i="3" s="1"/>
  <c r="N183" i="3" s="1"/>
  <c r="J182" i="3"/>
  <c r="K182" i="3" s="1"/>
  <c r="N182" i="3" s="1"/>
  <c r="J181" i="3"/>
  <c r="K181" i="3" s="1"/>
  <c r="N181" i="3" s="1"/>
  <c r="J180" i="3"/>
  <c r="K180" i="3" s="1"/>
  <c r="N180" i="3" s="1"/>
  <c r="J179" i="3"/>
  <c r="K179" i="3" s="1"/>
  <c r="N179" i="3" s="1"/>
  <c r="J178" i="3"/>
  <c r="K178" i="3" s="1"/>
  <c r="N178" i="3" s="1"/>
  <c r="J177" i="3"/>
  <c r="K177" i="3" s="1"/>
  <c r="N177" i="3" s="1"/>
  <c r="J176" i="3"/>
  <c r="K176" i="3" s="1"/>
  <c r="N176" i="3" s="1"/>
  <c r="J175" i="3"/>
  <c r="K175" i="3" s="1"/>
  <c r="N175" i="3" s="1"/>
  <c r="J174" i="3"/>
  <c r="K174" i="3" s="1"/>
  <c r="N174" i="3" s="1"/>
  <c r="J173" i="3"/>
  <c r="K173" i="3" s="1"/>
  <c r="N173" i="3" s="1"/>
  <c r="J172" i="3"/>
  <c r="K172" i="3" s="1"/>
  <c r="N172" i="3" s="1"/>
  <c r="J171" i="3"/>
  <c r="K171" i="3" s="1"/>
  <c r="N171" i="3" s="1"/>
  <c r="J170" i="3"/>
  <c r="K170" i="3" s="1"/>
  <c r="N170" i="3" s="1"/>
  <c r="J169" i="3"/>
  <c r="K169" i="3" s="1"/>
  <c r="N169" i="3" s="1"/>
  <c r="J168" i="3"/>
  <c r="K168" i="3" s="1"/>
  <c r="N168" i="3" s="1"/>
  <c r="J167" i="3"/>
  <c r="K167" i="3" s="1"/>
  <c r="N167" i="3" s="1"/>
  <c r="J166" i="3"/>
  <c r="K166" i="3" s="1"/>
  <c r="N166" i="3" s="1"/>
  <c r="J165" i="3"/>
  <c r="K165" i="3" s="1"/>
  <c r="N165" i="3" s="1"/>
  <c r="J164" i="3"/>
  <c r="K164" i="3" s="1"/>
  <c r="N164" i="3" s="1"/>
  <c r="J163" i="3"/>
  <c r="K163" i="3" s="1"/>
  <c r="N163" i="3" s="1"/>
  <c r="J162" i="3"/>
  <c r="K162" i="3" s="1"/>
  <c r="N162" i="3" s="1"/>
  <c r="J161" i="3"/>
  <c r="K161" i="3" s="1"/>
  <c r="N161" i="3" s="1"/>
  <c r="J160" i="3"/>
  <c r="K160" i="3" s="1"/>
  <c r="N160" i="3" s="1"/>
  <c r="J159" i="3"/>
  <c r="K159" i="3" s="1"/>
  <c r="N159" i="3" s="1"/>
  <c r="J158" i="3"/>
  <c r="K158" i="3" s="1"/>
  <c r="N158" i="3" s="1"/>
  <c r="J157" i="3"/>
  <c r="K157" i="3" s="1"/>
  <c r="N157" i="3" s="1"/>
  <c r="J156" i="3"/>
  <c r="K156" i="3" s="1"/>
  <c r="N156" i="3" s="1"/>
  <c r="J155" i="3"/>
  <c r="K155" i="3" s="1"/>
  <c r="N155" i="3" s="1"/>
  <c r="J154" i="3"/>
  <c r="K154" i="3" s="1"/>
  <c r="J153" i="3"/>
  <c r="K153" i="3" s="1"/>
  <c r="J152" i="3"/>
  <c r="K152" i="3" s="1"/>
  <c r="N152" i="3" s="1"/>
  <c r="J151" i="3"/>
  <c r="K151" i="3" s="1"/>
  <c r="N151" i="3" s="1"/>
  <c r="J150" i="3"/>
  <c r="K150" i="3" s="1"/>
  <c r="N150" i="3" s="1"/>
  <c r="J149" i="3"/>
  <c r="K149" i="3" s="1"/>
  <c r="N149" i="3" s="1"/>
  <c r="J148" i="3"/>
  <c r="K148" i="3" s="1"/>
  <c r="N148" i="3" s="1"/>
  <c r="J147" i="3"/>
  <c r="K147" i="3" s="1"/>
  <c r="N147" i="3" s="1"/>
  <c r="J146" i="3"/>
  <c r="K146" i="3" s="1"/>
  <c r="N146" i="3" s="1"/>
  <c r="K145" i="3"/>
  <c r="N145" i="3" s="1"/>
  <c r="J145" i="3"/>
  <c r="J144" i="3"/>
  <c r="K144" i="3" s="1"/>
  <c r="N144" i="3" s="1"/>
  <c r="K143" i="3"/>
  <c r="N143" i="3" s="1"/>
  <c r="J143" i="3"/>
  <c r="J142" i="3"/>
  <c r="K142" i="3" s="1"/>
  <c r="N142" i="3" s="1"/>
  <c r="J141" i="3"/>
  <c r="K141" i="3" s="1"/>
  <c r="N141" i="3" s="1"/>
  <c r="J140" i="3"/>
  <c r="K140" i="3" s="1"/>
  <c r="N140" i="3" s="1"/>
  <c r="J139" i="3"/>
  <c r="K139" i="3" s="1"/>
  <c r="N139" i="3" s="1"/>
  <c r="J138" i="3"/>
  <c r="K138" i="3" s="1"/>
  <c r="J137" i="3"/>
  <c r="K137" i="3" s="1"/>
  <c r="N137" i="3" s="1"/>
  <c r="J136" i="3"/>
  <c r="K136" i="3" s="1"/>
  <c r="N136" i="3" s="1"/>
  <c r="J135" i="3"/>
  <c r="K135" i="3" s="1"/>
  <c r="N135" i="3" s="1"/>
  <c r="P135" i="3" s="1"/>
  <c r="J134" i="3"/>
  <c r="K134" i="3" s="1"/>
  <c r="N134" i="3" s="1"/>
  <c r="J133" i="3"/>
  <c r="K133" i="3" s="1"/>
  <c r="N133" i="3" s="1"/>
  <c r="J132" i="3"/>
  <c r="K132" i="3" s="1"/>
  <c r="N132" i="3" s="1"/>
  <c r="J131" i="3"/>
  <c r="K131" i="3" s="1"/>
  <c r="N131" i="3" s="1"/>
  <c r="J130" i="3"/>
  <c r="K130" i="3" s="1"/>
  <c r="N130" i="3" s="1"/>
  <c r="P130" i="3" s="1"/>
  <c r="J129" i="3"/>
  <c r="K129" i="3" s="1"/>
  <c r="N129" i="3" s="1"/>
  <c r="J128" i="3"/>
  <c r="K128" i="3" s="1"/>
  <c r="N128" i="3" s="1"/>
  <c r="J127" i="3"/>
  <c r="K127" i="3" s="1"/>
  <c r="N127" i="3" s="1"/>
  <c r="J126" i="3"/>
  <c r="K126" i="3" s="1"/>
  <c r="N126" i="3" s="1"/>
  <c r="J125" i="3"/>
  <c r="K125" i="3" s="1"/>
  <c r="N125" i="3" s="1"/>
  <c r="J124" i="3"/>
  <c r="K124" i="3" s="1"/>
  <c r="N124" i="3" s="1"/>
  <c r="J123" i="3"/>
  <c r="K123" i="3" s="1"/>
  <c r="N123" i="3" s="1"/>
  <c r="J122" i="3"/>
  <c r="K122" i="3" s="1"/>
  <c r="J121" i="3"/>
  <c r="K121" i="3" s="1"/>
  <c r="N121" i="3" s="1"/>
  <c r="J120" i="3"/>
  <c r="K120" i="3" s="1"/>
  <c r="N120" i="3" s="1"/>
  <c r="J119" i="3"/>
  <c r="K119" i="3" s="1"/>
  <c r="N119" i="3" s="1"/>
  <c r="J118" i="3"/>
  <c r="K118" i="3" s="1"/>
  <c r="N118" i="3" s="1"/>
  <c r="P118" i="3" s="1"/>
  <c r="J117" i="3"/>
  <c r="K117" i="3" s="1"/>
  <c r="N117" i="3" s="1"/>
  <c r="J116" i="3"/>
  <c r="K116" i="3" s="1"/>
  <c r="N116" i="3" s="1"/>
  <c r="J115" i="3"/>
  <c r="K115" i="3" s="1"/>
  <c r="N115" i="3" s="1"/>
  <c r="J114" i="3"/>
  <c r="K114" i="3" s="1"/>
  <c r="K113" i="3"/>
  <c r="N113" i="3" s="1"/>
  <c r="J113" i="3"/>
  <c r="J112" i="3"/>
  <c r="K112" i="3" s="1"/>
  <c r="N112" i="3" s="1"/>
  <c r="K111" i="3"/>
  <c r="N111" i="3" s="1"/>
  <c r="J111" i="3"/>
  <c r="J110" i="3"/>
  <c r="K110" i="3" s="1"/>
  <c r="N110" i="3" s="1"/>
  <c r="J109" i="3"/>
  <c r="K109" i="3" s="1"/>
  <c r="N109" i="3" s="1"/>
  <c r="J108" i="3"/>
  <c r="K108" i="3" s="1"/>
  <c r="N108" i="3" s="1"/>
  <c r="J107" i="3"/>
  <c r="K107" i="3" s="1"/>
  <c r="N107" i="3" s="1"/>
  <c r="J106" i="3"/>
  <c r="K106" i="3" s="1"/>
  <c r="J105" i="3"/>
  <c r="K105" i="3" s="1"/>
  <c r="N105" i="3" s="1"/>
  <c r="J104" i="3"/>
  <c r="K104" i="3" s="1"/>
  <c r="N104" i="3" s="1"/>
  <c r="J103" i="3"/>
  <c r="K103" i="3" s="1"/>
  <c r="N103" i="3" s="1"/>
  <c r="J102" i="3"/>
  <c r="K102" i="3" s="1"/>
  <c r="N102" i="3" s="1"/>
  <c r="P102" i="3" s="1"/>
  <c r="J101" i="3"/>
  <c r="K101" i="3" s="1"/>
  <c r="N101" i="3" s="1"/>
  <c r="J100" i="3"/>
  <c r="K100" i="3" s="1"/>
  <c r="N100" i="3" s="1"/>
  <c r="J99" i="3"/>
  <c r="K99" i="3" s="1"/>
  <c r="N99" i="3" s="1"/>
  <c r="J98" i="3"/>
  <c r="K98" i="3" s="1"/>
  <c r="N98" i="3" s="1"/>
  <c r="J97" i="3"/>
  <c r="K97" i="3" s="1"/>
  <c r="N97" i="3" s="1"/>
  <c r="J96" i="3"/>
  <c r="K96" i="3" s="1"/>
  <c r="N96" i="3" s="1"/>
  <c r="J95" i="3"/>
  <c r="K95" i="3" s="1"/>
  <c r="N95" i="3" s="1"/>
  <c r="J94" i="3"/>
  <c r="K94" i="3" s="1"/>
  <c r="N94" i="3" s="1"/>
  <c r="J93" i="3"/>
  <c r="K93" i="3" s="1"/>
  <c r="N93" i="3" s="1"/>
  <c r="J92" i="3"/>
  <c r="K92" i="3" s="1"/>
  <c r="N92" i="3" s="1"/>
  <c r="J91" i="3"/>
  <c r="K91" i="3" s="1"/>
  <c r="N91" i="3" s="1"/>
  <c r="J90" i="3"/>
  <c r="K90" i="3" s="1"/>
  <c r="N90" i="3" s="1"/>
  <c r="J89" i="3"/>
  <c r="K89" i="3" s="1"/>
  <c r="N89" i="3" s="1"/>
  <c r="J88" i="3"/>
  <c r="K88" i="3" s="1"/>
  <c r="N88" i="3" s="1"/>
  <c r="J87" i="3"/>
  <c r="K87" i="3" s="1"/>
  <c r="N87" i="3" s="1"/>
  <c r="J86" i="3"/>
  <c r="K86" i="3" s="1"/>
  <c r="N86" i="3" s="1"/>
  <c r="J85" i="3"/>
  <c r="K85" i="3" s="1"/>
  <c r="N85" i="3" s="1"/>
  <c r="J84" i="3"/>
  <c r="K84" i="3" s="1"/>
  <c r="N84" i="3" s="1"/>
  <c r="J83" i="3"/>
  <c r="K83" i="3" s="1"/>
  <c r="N83" i="3" s="1"/>
  <c r="J82" i="3"/>
  <c r="K82" i="3" s="1"/>
  <c r="N82" i="3" s="1"/>
  <c r="K81" i="3"/>
  <c r="N81" i="3" s="1"/>
  <c r="J81" i="3"/>
  <c r="J80" i="3"/>
  <c r="K80" i="3" s="1"/>
  <c r="N80" i="3" s="1"/>
  <c r="K79" i="3"/>
  <c r="N79" i="3" s="1"/>
  <c r="J79" i="3"/>
  <c r="J78" i="3"/>
  <c r="K78" i="3" s="1"/>
  <c r="J77" i="3"/>
  <c r="K77" i="3" s="1"/>
  <c r="N77" i="3" s="1"/>
  <c r="J76" i="3"/>
  <c r="K76" i="3" s="1"/>
  <c r="N76" i="3" s="1"/>
  <c r="P76" i="3" s="1"/>
  <c r="J75" i="3"/>
  <c r="K75" i="3" s="1"/>
  <c r="N75" i="3" s="1"/>
  <c r="J74" i="3"/>
  <c r="K74" i="3" s="1"/>
  <c r="N74" i="3" s="1"/>
  <c r="J73" i="3"/>
  <c r="K73" i="3" s="1"/>
  <c r="N73" i="3" s="1"/>
  <c r="J72" i="3"/>
  <c r="K72" i="3" s="1"/>
  <c r="J71" i="3"/>
  <c r="K71" i="3" s="1"/>
  <c r="N71" i="3" s="1"/>
  <c r="J70" i="3"/>
  <c r="K70" i="3" s="1"/>
  <c r="N70" i="3" s="1"/>
  <c r="P70" i="3" s="1"/>
  <c r="J69" i="3"/>
  <c r="K69" i="3" s="1"/>
  <c r="N69" i="3" s="1"/>
  <c r="J68" i="3"/>
  <c r="K68" i="3" s="1"/>
  <c r="N68" i="3" s="1"/>
  <c r="J67" i="3"/>
  <c r="K67" i="3" s="1"/>
  <c r="N67" i="3" s="1"/>
  <c r="J66" i="3"/>
  <c r="K66" i="3" s="1"/>
  <c r="N66" i="3" s="1"/>
  <c r="J65" i="3"/>
  <c r="K65" i="3" s="1"/>
  <c r="N65" i="3" s="1"/>
  <c r="J64" i="3"/>
  <c r="K64" i="3" s="1"/>
  <c r="N64" i="3" s="1"/>
  <c r="K63" i="3"/>
  <c r="N63" i="3" s="1"/>
  <c r="J63" i="3"/>
  <c r="J62" i="3"/>
  <c r="K62" i="3" s="1"/>
  <c r="N62" i="3" s="1"/>
  <c r="J61" i="3"/>
  <c r="K61" i="3" s="1"/>
  <c r="N61" i="3" s="1"/>
  <c r="J60" i="3"/>
  <c r="K60" i="3" s="1"/>
  <c r="J59" i="3"/>
  <c r="K59" i="3" s="1"/>
  <c r="N59" i="3" s="1"/>
  <c r="J58" i="3"/>
  <c r="K58" i="3" s="1"/>
  <c r="J57" i="3"/>
  <c r="K57" i="3" s="1"/>
  <c r="N57" i="3" s="1"/>
  <c r="J56" i="3"/>
  <c r="K56" i="3" s="1"/>
  <c r="N56" i="3" s="1"/>
  <c r="P56" i="3" s="1"/>
  <c r="J55" i="3"/>
  <c r="K55" i="3" s="1"/>
  <c r="N55" i="3" s="1"/>
  <c r="J54" i="3"/>
  <c r="K54" i="3" s="1"/>
  <c r="N54" i="3" s="1"/>
  <c r="P54" i="3" s="1"/>
  <c r="J53" i="3"/>
  <c r="K53" i="3" s="1"/>
  <c r="N53" i="3" s="1"/>
  <c r="J52" i="3"/>
  <c r="K52" i="3" s="1"/>
  <c r="N52" i="3" s="1"/>
  <c r="J51" i="3"/>
  <c r="K51" i="3" s="1"/>
  <c r="J50" i="3"/>
  <c r="K50" i="3" s="1"/>
  <c r="N50" i="3" s="1"/>
  <c r="K49" i="3"/>
  <c r="N49" i="3" s="1"/>
  <c r="J49" i="3"/>
  <c r="J48" i="3"/>
  <c r="K48" i="3" s="1"/>
  <c r="N48" i="3" s="1"/>
  <c r="P48" i="3" s="1"/>
  <c r="K47" i="3"/>
  <c r="N47" i="3" s="1"/>
  <c r="J47" i="3"/>
  <c r="J46" i="3"/>
  <c r="K46" i="3" s="1"/>
  <c r="N46" i="3" s="1"/>
  <c r="J45" i="3"/>
  <c r="K45" i="3" s="1"/>
  <c r="N45" i="3" s="1"/>
  <c r="P45" i="3" s="1"/>
  <c r="J44" i="3"/>
  <c r="K44" i="3" s="1"/>
  <c r="N44" i="3" s="1"/>
  <c r="J43" i="3"/>
  <c r="K43" i="3" s="1"/>
  <c r="N43" i="3" s="1"/>
  <c r="J42" i="3"/>
  <c r="K42" i="3" s="1"/>
  <c r="N42" i="3" s="1"/>
  <c r="J41" i="3"/>
  <c r="K41" i="3" s="1"/>
  <c r="N41" i="3" s="1"/>
  <c r="J40" i="3"/>
  <c r="K40" i="3" s="1"/>
  <c r="J39" i="3"/>
  <c r="K39" i="3" s="1"/>
  <c r="N39" i="3" s="1"/>
  <c r="J38" i="3"/>
  <c r="K38" i="3" s="1"/>
  <c r="N38" i="3" s="1"/>
  <c r="P38" i="3" s="1"/>
  <c r="J37" i="3"/>
  <c r="K37" i="3" s="1"/>
  <c r="N37" i="3" s="1"/>
  <c r="J36" i="3"/>
  <c r="K36" i="3" s="1"/>
  <c r="N36" i="3" s="1"/>
  <c r="J35" i="3"/>
  <c r="K35" i="3" s="1"/>
  <c r="N35" i="3" s="1"/>
  <c r="J34" i="3"/>
  <c r="K34" i="3" s="1"/>
  <c r="N34" i="3" s="1"/>
  <c r="J33" i="3"/>
  <c r="K33" i="3" s="1"/>
  <c r="N33" i="3" s="1"/>
  <c r="J32" i="3"/>
  <c r="K32" i="3" s="1"/>
  <c r="N32" i="3" s="1"/>
  <c r="K31" i="3"/>
  <c r="N31" i="3" s="1"/>
  <c r="J31" i="3"/>
  <c r="J30" i="3"/>
  <c r="K30" i="3" s="1"/>
  <c r="N30" i="3" s="1"/>
  <c r="K29" i="3"/>
  <c r="N29" i="3" s="1"/>
  <c r="J29" i="3"/>
  <c r="J28" i="3"/>
  <c r="K28" i="3" s="1"/>
  <c r="N28" i="3" s="1"/>
  <c r="J27" i="3"/>
  <c r="K27" i="3" s="1"/>
  <c r="N27" i="3" s="1"/>
  <c r="J26" i="3"/>
  <c r="K26" i="3" s="1"/>
  <c r="J25" i="3"/>
  <c r="K25" i="3" s="1"/>
  <c r="N25" i="3" s="1"/>
  <c r="J24" i="3"/>
  <c r="K24" i="3" s="1"/>
  <c r="N24" i="3" s="1"/>
  <c r="J23" i="3"/>
  <c r="K23" i="3" s="1"/>
  <c r="N23" i="3" s="1"/>
  <c r="P23" i="3" s="1"/>
  <c r="J22" i="3"/>
  <c r="K22" i="3" s="1"/>
  <c r="N22" i="3" s="1"/>
  <c r="P22" i="3" s="1"/>
  <c r="J21" i="3"/>
  <c r="K21" i="3" s="1"/>
  <c r="N21" i="3" s="1"/>
  <c r="J20" i="3"/>
  <c r="K20" i="3" s="1"/>
  <c r="N20" i="3" s="1"/>
  <c r="J19" i="3"/>
  <c r="K19" i="3" s="1"/>
  <c r="J18" i="3"/>
  <c r="K18" i="3" s="1"/>
  <c r="N18" i="3" s="1"/>
  <c r="K17" i="3"/>
  <c r="N17" i="3" s="1"/>
  <c r="J17" i="3"/>
  <c r="J16" i="3"/>
  <c r="K16" i="3" s="1"/>
  <c r="N16" i="3" s="1"/>
  <c r="P16" i="3" s="1"/>
  <c r="K15" i="3"/>
  <c r="N15" i="3" s="1"/>
  <c r="J15" i="3"/>
  <c r="J14" i="3"/>
  <c r="K14" i="3" s="1"/>
  <c r="N14" i="3" s="1"/>
  <c r="J13" i="3"/>
  <c r="K13" i="3" s="1"/>
  <c r="N13" i="3" s="1"/>
  <c r="P13" i="3" s="1"/>
  <c r="J12" i="3"/>
  <c r="K12" i="3" s="1"/>
  <c r="N12" i="3" s="1"/>
  <c r="J11" i="3"/>
  <c r="K11" i="3" s="1"/>
  <c r="N11" i="3" s="1"/>
  <c r="J10" i="3"/>
  <c r="K10" i="3" s="1"/>
  <c r="N10" i="3" s="1"/>
  <c r="J9" i="3"/>
  <c r="K9" i="3" s="1"/>
  <c r="N9" i="3" s="1"/>
  <c r="J8" i="3"/>
  <c r="K8" i="3" s="1"/>
  <c r="N8" i="3" s="1"/>
  <c r="H507" i="3"/>
  <c r="I507" i="3" s="1"/>
  <c r="O507" i="3" s="1"/>
  <c r="H506" i="3"/>
  <c r="I506" i="3" s="1"/>
  <c r="O506" i="3" s="1"/>
  <c r="H505" i="3"/>
  <c r="I505" i="3" s="1"/>
  <c r="O505" i="3" s="1"/>
  <c r="P505" i="3" s="1"/>
  <c r="H504" i="3"/>
  <c r="I504" i="3" s="1"/>
  <c r="O504" i="3" s="1"/>
  <c r="H503" i="3"/>
  <c r="I503" i="3" s="1"/>
  <c r="O503" i="3" s="1"/>
  <c r="H502" i="3"/>
  <c r="I502" i="3" s="1"/>
  <c r="O502" i="3" s="1"/>
  <c r="H501" i="3"/>
  <c r="I501" i="3" s="1"/>
  <c r="O501" i="3" s="1"/>
  <c r="H500" i="3"/>
  <c r="I500" i="3" s="1"/>
  <c r="O500" i="3" s="1"/>
  <c r="H499" i="3"/>
  <c r="I499" i="3" s="1"/>
  <c r="O499" i="3" s="1"/>
  <c r="H498" i="3"/>
  <c r="I498" i="3" s="1"/>
  <c r="O498" i="3" s="1"/>
  <c r="H497" i="3"/>
  <c r="I497" i="3" s="1"/>
  <c r="O497" i="3" s="1"/>
  <c r="P497" i="3" s="1"/>
  <c r="H496" i="3"/>
  <c r="I496" i="3" s="1"/>
  <c r="O496" i="3" s="1"/>
  <c r="H495" i="3"/>
  <c r="I495" i="3" s="1"/>
  <c r="O495" i="3" s="1"/>
  <c r="H494" i="3"/>
  <c r="I494" i="3" s="1"/>
  <c r="O494" i="3" s="1"/>
  <c r="H493" i="3"/>
  <c r="I493" i="3" s="1"/>
  <c r="O493" i="3" s="1"/>
  <c r="H492" i="3"/>
  <c r="I492" i="3" s="1"/>
  <c r="H491" i="3"/>
  <c r="I491" i="3" s="1"/>
  <c r="O491" i="3" s="1"/>
  <c r="H490" i="3"/>
  <c r="I490" i="3" s="1"/>
  <c r="O490" i="3" s="1"/>
  <c r="H489" i="3"/>
  <c r="I489" i="3" s="1"/>
  <c r="O489" i="3" s="1"/>
  <c r="P489" i="3" s="1"/>
  <c r="H488" i="3"/>
  <c r="I488" i="3" s="1"/>
  <c r="O488" i="3" s="1"/>
  <c r="H487" i="3"/>
  <c r="I487" i="3" s="1"/>
  <c r="O487" i="3" s="1"/>
  <c r="H486" i="3"/>
  <c r="I486" i="3" s="1"/>
  <c r="O486" i="3" s="1"/>
  <c r="H485" i="3"/>
  <c r="I485" i="3" s="1"/>
  <c r="O485" i="3" s="1"/>
  <c r="H484" i="3"/>
  <c r="I484" i="3" s="1"/>
  <c r="O484" i="3" s="1"/>
  <c r="H483" i="3"/>
  <c r="I483" i="3" s="1"/>
  <c r="O483" i="3" s="1"/>
  <c r="H482" i="3"/>
  <c r="I482" i="3" s="1"/>
  <c r="O482" i="3" s="1"/>
  <c r="H481" i="3"/>
  <c r="I481" i="3" s="1"/>
  <c r="O481" i="3" s="1"/>
  <c r="P481" i="3" s="1"/>
  <c r="H480" i="3"/>
  <c r="I480" i="3" s="1"/>
  <c r="O480" i="3" s="1"/>
  <c r="H479" i="3"/>
  <c r="I479" i="3" s="1"/>
  <c r="O479" i="3" s="1"/>
  <c r="H478" i="3"/>
  <c r="I478" i="3" s="1"/>
  <c r="O478" i="3" s="1"/>
  <c r="H477" i="3"/>
  <c r="I477" i="3" s="1"/>
  <c r="O477" i="3" s="1"/>
  <c r="H476" i="3"/>
  <c r="I476" i="3" s="1"/>
  <c r="O476" i="3" s="1"/>
  <c r="H475" i="3"/>
  <c r="I475" i="3" s="1"/>
  <c r="H474" i="3"/>
  <c r="I474" i="3" s="1"/>
  <c r="O474" i="3" s="1"/>
  <c r="H473" i="3"/>
  <c r="I473" i="3" s="1"/>
  <c r="O473" i="3" s="1"/>
  <c r="P473" i="3" s="1"/>
  <c r="H472" i="3"/>
  <c r="I472" i="3" s="1"/>
  <c r="O472" i="3" s="1"/>
  <c r="H471" i="3"/>
  <c r="I471" i="3" s="1"/>
  <c r="O471" i="3" s="1"/>
  <c r="H470" i="3"/>
  <c r="I470" i="3" s="1"/>
  <c r="O470" i="3" s="1"/>
  <c r="H469" i="3"/>
  <c r="I469" i="3" s="1"/>
  <c r="O469" i="3" s="1"/>
  <c r="H468" i="3"/>
  <c r="I468" i="3" s="1"/>
  <c r="O468" i="3" s="1"/>
  <c r="H467" i="3"/>
  <c r="I467" i="3" s="1"/>
  <c r="O467" i="3" s="1"/>
  <c r="H466" i="3"/>
  <c r="I466" i="3" s="1"/>
  <c r="O466" i="3" s="1"/>
  <c r="H465" i="3"/>
  <c r="I465" i="3" s="1"/>
  <c r="O465" i="3" s="1"/>
  <c r="P465" i="3" s="1"/>
  <c r="H464" i="3"/>
  <c r="I464" i="3" s="1"/>
  <c r="O464" i="3" s="1"/>
  <c r="H463" i="3"/>
  <c r="I463" i="3" s="1"/>
  <c r="O463" i="3" s="1"/>
  <c r="H462" i="3"/>
  <c r="I462" i="3" s="1"/>
  <c r="O462" i="3" s="1"/>
  <c r="H461" i="3"/>
  <c r="I461" i="3" s="1"/>
  <c r="O461" i="3" s="1"/>
  <c r="H460" i="3"/>
  <c r="I460" i="3" s="1"/>
  <c r="O460" i="3" s="1"/>
  <c r="H459" i="3"/>
  <c r="I459" i="3" s="1"/>
  <c r="O459" i="3" s="1"/>
  <c r="H458" i="3"/>
  <c r="I458" i="3" s="1"/>
  <c r="O458" i="3" s="1"/>
  <c r="H457" i="3"/>
  <c r="I457" i="3" s="1"/>
  <c r="O457" i="3" s="1"/>
  <c r="P457" i="3" s="1"/>
  <c r="H456" i="3"/>
  <c r="I456" i="3" s="1"/>
  <c r="O456" i="3" s="1"/>
  <c r="H455" i="3"/>
  <c r="I455" i="3" s="1"/>
  <c r="O455" i="3" s="1"/>
  <c r="H454" i="3"/>
  <c r="I454" i="3" s="1"/>
  <c r="O454" i="3" s="1"/>
  <c r="H453" i="3"/>
  <c r="I453" i="3" s="1"/>
  <c r="O453" i="3" s="1"/>
  <c r="H452" i="3"/>
  <c r="I452" i="3" s="1"/>
  <c r="O452" i="3" s="1"/>
  <c r="H451" i="3"/>
  <c r="I451" i="3" s="1"/>
  <c r="O451" i="3" s="1"/>
  <c r="H450" i="3"/>
  <c r="I450" i="3" s="1"/>
  <c r="O450" i="3" s="1"/>
  <c r="H449" i="3"/>
  <c r="I449" i="3" s="1"/>
  <c r="O449" i="3" s="1"/>
  <c r="P449" i="3" s="1"/>
  <c r="H448" i="3"/>
  <c r="I448" i="3" s="1"/>
  <c r="O448" i="3" s="1"/>
  <c r="H447" i="3"/>
  <c r="I447" i="3" s="1"/>
  <c r="O447" i="3" s="1"/>
  <c r="H446" i="3"/>
  <c r="I446" i="3" s="1"/>
  <c r="O446" i="3" s="1"/>
  <c r="H445" i="3"/>
  <c r="I445" i="3" s="1"/>
  <c r="O445" i="3" s="1"/>
  <c r="H444" i="3"/>
  <c r="I444" i="3" s="1"/>
  <c r="O444" i="3" s="1"/>
  <c r="H443" i="3"/>
  <c r="I443" i="3" s="1"/>
  <c r="O443" i="3" s="1"/>
  <c r="H442" i="3"/>
  <c r="I442" i="3" s="1"/>
  <c r="O442" i="3" s="1"/>
  <c r="H441" i="3"/>
  <c r="I441" i="3" s="1"/>
  <c r="O441" i="3" s="1"/>
  <c r="P441" i="3" s="1"/>
  <c r="H440" i="3"/>
  <c r="I440" i="3" s="1"/>
  <c r="O440" i="3" s="1"/>
  <c r="H439" i="3"/>
  <c r="I439" i="3" s="1"/>
  <c r="O439" i="3" s="1"/>
  <c r="H438" i="3"/>
  <c r="I438" i="3" s="1"/>
  <c r="O438" i="3" s="1"/>
  <c r="P438" i="3" s="1"/>
  <c r="H437" i="3"/>
  <c r="I437" i="3" s="1"/>
  <c r="O437" i="3" s="1"/>
  <c r="H436" i="3"/>
  <c r="I436" i="3" s="1"/>
  <c r="O436" i="3" s="1"/>
  <c r="H435" i="3"/>
  <c r="I435" i="3" s="1"/>
  <c r="O435" i="3" s="1"/>
  <c r="H434" i="3"/>
  <c r="I434" i="3" s="1"/>
  <c r="O434" i="3" s="1"/>
  <c r="H433" i="3"/>
  <c r="I433" i="3" s="1"/>
  <c r="O433" i="3" s="1"/>
  <c r="P433" i="3" s="1"/>
  <c r="H432" i="3"/>
  <c r="I432" i="3" s="1"/>
  <c r="H431" i="3"/>
  <c r="I431" i="3" s="1"/>
  <c r="O431" i="3" s="1"/>
  <c r="H430" i="3"/>
  <c r="I430" i="3" s="1"/>
  <c r="O430" i="3" s="1"/>
  <c r="H429" i="3"/>
  <c r="I429" i="3" s="1"/>
  <c r="O429" i="3" s="1"/>
  <c r="H428" i="3"/>
  <c r="I428" i="3" s="1"/>
  <c r="O428" i="3" s="1"/>
  <c r="H427" i="3"/>
  <c r="I427" i="3" s="1"/>
  <c r="O427" i="3" s="1"/>
  <c r="H426" i="3"/>
  <c r="I426" i="3" s="1"/>
  <c r="O426" i="3" s="1"/>
  <c r="H425" i="3"/>
  <c r="I425" i="3" s="1"/>
  <c r="O425" i="3" s="1"/>
  <c r="P425" i="3" s="1"/>
  <c r="H424" i="3"/>
  <c r="I424" i="3" s="1"/>
  <c r="O424" i="3" s="1"/>
  <c r="H423" i="3"/>
  <c r="I423" i="3" s="1"/>
  <c r="O423" i="3" s="1"/>
  <c r="H422" i="3"/>
  <c r="I422" i="3" s="1"/>
  <c r="O422" i="3" s="1"/>
  <c r="H421" i="3"/>
  <c r="I421" i="3" s="1"/>
  <c r="O421" i="3" s="1"/>
  <c r="H420" i="3"/>
  <c r="I420" i="3" s="1"/>
  <c r="O420" i="3" s="1"/>
  <c r="H419" i="3"/>
  <c r="I419" i="3" s="1"/>
  <c r="O419" i="3" s="1"/>
  <c r="H418" i="3"/>
  <c r="I418" i="3" s="1"/>
  <c r="O418" i="3" s="1"/>
  <c r="H417" i="3"/>
  <c r="I417" i="3" s="1"/>
  <c r="O417" i="3" s="1"/>
  <c r="P417" i="3" s="1"/>
  <c r="H416" i="3"/>
  <c r="I416" i="3" s="1"/>
  <c r="O416" i="3" s="1"/>
  <c r="H415" i="3"/>
  <c r="I415" i="3" s="1"/>
  <c r="O415" i="3" s="1"/>
  <c r="H414" i="3"/>
  <c r="I414" i="3" s="1"/>
  <c r="O414" i="3" s="1"/>
  <c r="H413" i="3"/>
  <c r="I413" i="3" s="1"/>
  <c r="O413" i="3" s="1"/>
  <c r="H412" i="3"/>
  <c r="I412" i="3" s="1"/>
  <c r="O412" i="3" s="1"/>
  <c r="H411" i="3"/>
  <c r="I411" i="3" s="1"/>
  <c r="O411" i="3" s="1"/>
  <c r="H410" i="3"/>
  <c r="I410" i="3" s="1"/>
  <c r="O410" i="3" s="1"/>
  <c r="H409" i="3"/>
  <c r="I409" i="3" s="1"/>
  <c r="O409" i="3" s="1"/>
  <c r="P409" i="3" s="1"/>
  <c r="H408" i="3"/>
  <c r="I408" i="3" s="1"/>
  <c r="O408" i="3" s="1"/>
  <c r="H407" i="3"/>
  <c r="I407" i="3" s="1"/>
  <c r="O407" i="3" s="1"/>
  <c r="H406" i="3"/>
  <c r="I406" i="3" s="1"/>
  <c r="O406" i="3" s="1"/>
  <c r="H405" i="3"/>
  <c r="I405" i="3" s="1"/>
  <c r="O405" i="3" s="1"/>
  <c r="H404" i="3"/>
  <c r="I404" i="3" s="1"/>
  <c r="O404" i="3" s="1"/>
  <c r="H403" i="3"/>
  <c r="I403" i="3" s="1"/>
  <c r="O403" i="3" s="1"/>
  <c r="H402" i="3"/>
  <c r="I402" i="3" s="1"/>
  <c r="O402" i="3" s="1"/>
  <c r="H401" i="3"/>
  <c r="I401" i="3" s="1"/>
  <c r="O401" i="3" s="1"/>
  <c r="P401" i="3" s="1"/>
  <c r="H400" i="3"/>
  <c r="I400" i="3" s="1"/>
  <c r="O400" i="3" s="1"/>
  <c r="H399" i="3"/>
  <c r="I399" i="3" s="1"/>
  <c r="O399" i="3" s="1"/>
  <c r="H398" i="3"/>
  <c r="I398" i="3" s="1"/>
  <c r="O398" i="3" s="1"/>
  <c r="H397" i="3"/>
  <c r="I397" i="3" s="1"/>
  <c r="O397" i="3" s="1"/>
  <c r="H396" i="3"/>
  <c r="I396" i="3" s="1"/>
  <c r="O396" i="3" s="1"/>
  <c r="H395" i="3"/>
  <c r="I395" i="3" s="1"/>
  <c r="O395" i="3" s="1"/>
  <c r="P395" i="3" s="1"/>
  <c r="H394" i="3"/>
  <c r="I394" i="3" s="1"/>
  <c r="O394" i="3" s="1"/>
  <c r="H393" i="3"/>
  <c r="I393" i="3" s="1"/>
  <c r="O393" i="3" s="1"/>
  <c r="P393" i="3" s="1"/>
  <c r="H392" i="3"/>
  <c r="I392" i="3" s="1"/>
  <c r="O392" i="3" s="1"/>
  <c r="H391" i="3"/>
  <c r="I391" i="3" s="1"/>
  <c r="O391" i="3" s="1"/>
  <c r="H390" i="3"/>
  <c r="I390" i="3" s="1"/>
  <c r="O390" i="3" s="1"/>
  <c r="H389" i="3"/>
  <c r="I389" i="3" s="1"/>
  <c r="H388" i="3"/>
  <c r="I388" i="3" s="1"/>
  <c r="O388" i="3" s="1"/>
  <c r="H387" i="3"/>
  <c r="I387" i="3" s="1"/>
  <c r="O387" i="3" s="1"/>
  <c r="P387" i="3" s="1"/>
  <c r="H386" i="3"/>
  <c r="I386" i="3" s="1"/>
  <c r="O386" i="3" s="1"/>
  <c r="H385" i="3"/>
  <c r="I385" i="3" s="1"/>
  <c r="O385" i="3" s="1"/>
  <c r="P385" i="3" s="1"/>
  <c r="H384" i="3"/>
  <c r="I384" i="3" s="1"/>
  <c r="O384" i="3" s="1"/>
  <c r="H383" i="3"/>
  <c r="I383" i="3" s="1"/>
  <c r="O383" i="3" s="1"/>
  <c r="H382" i="3"/>
  <c r="I382" i="3" s="1"/>
  <c r="O382" i="3" s="1"/>
  <c r="H381" i="3"/>
  <c r="I381" i="3" s="1"/>
  <c r="O381" i="3" s="1"/>
  <c r="H380" i="3"/>
  <c r="I380" i="3" s="1"/>
  <c r="O380" i="3" s="1"/>
  <c r="H379" i="3"/>
  <c r="I379" i="3" s="1"/>
  <c r="O379" i="3" s="1"/>
  <c r="H378" i="3"/>
  <c r="I378" i="3" s="1"/>
  <c r="O378" i="3" s="1"/>
  <c r="H377" i="3"/>
  <c r="I377" i="3" s="1"/>
  <c r="O377" i="3" s="1"/>
  <c r="P377" i="3" s="1"/>
  <c r="H376" i="3"/>
  <c r="I376" i="3" s="1"/>
  <c r="O376" i="3" s="1"/>
  <c r="H375" i="3"/>
  <c r="I375" i="3" s="1"/>
  <c r="O375" i="3" s="1"/>
  <c r="H374" i="3"/>
  <c r="I374" i="3" s="1"/>
  <c r="O374" i="3" s="1"/>
  <c r="H373" i="3"/>
  <c r="I373" i="3" s="1"/>
  <c r="O373" i="3" s="1"/>
  <c r="H372" i="3"/>
  <c r="I372" i="3" s="1"/>
  <c r="O372" i="3" s="1"/>
  <c r="H371" i="3"/>
  <c r="I371" i="3" s="1"/>
  <c r="O371" i="3" s="1"/>
  <c r="H370" i="3"/>
  <c r="I370" i="3" s="1"/>
  <c r="O370" i="3" s="1"/>
  <c r="H369" i="3"/>
  <c r="I369" i="3" s="1"/>
  <c r="O369" i="3" s="1"/>
  <c r="P369" i="3" s="1"/>
  <c r="H368" i="3"/>
  <c r="I368" i="3" s="1"/>
  <c r="O368" i="3" s="1"/>
  <c r="H367" i="3"/>
  <c r="I367" i="3" s="1"/>
  <c r="O367" i="3" s="1"/>
  <c r="H366" i="3"/>
  <c r="I366" i="3" s="1"/>
  <c r="O366" i="3" s="1"/>
  <c r="H365" i="3"/>
  <c r="I365" i="3" s="1"/>
  <c r="O365" i="3" s="1"/>
  <c r="H364" i="3"/>
  <c r="I364" i="3" s="1"/>
  <c r="O364" i="3" s="1"/>
  <c r="H363" i="3"/>
  <c r="I363" i="3" s="1"/>
  <c r="O363" i="3" s="1"/>
  <c r="H362" i="3"/>
  <c r="I362" i="3" s="1"/>
  <c r="O362" i="3" s="1"/>
  <c r="H361" i="3"/>
  <c r="I361" i="3" s="1"/>
  <c r="O361" i="3" s="1"/>
  <c r="P361" i="3" s="1"/>
  <c r="H360" i="3"/>
  <c r="I360" i="3" s="1"/>
  <c r="O360" i="3" s="1"/>
  <c r="H359" i="3"/>
  <c r="I359" i="3" s="1"/>
  <c r="O359" i="3" s="1"/>
  <c r="H358" i="3"/>
  <c r="I358" i="3" s="1"/>
  <c r="O358" i="3" s="1"/>
  <c r="H357" i="3"/>
  <c r="I357" i="3" s="1"/>
  <c r="H356" i="3"/>
  <c r="I356" i="3" s="1"/>
  <c r="O356" i="3" s="1"/>
  <c r="H355" i="3"/>
  <c r="I355" i="3" s="1"/>
  <c r="O355" i="3" s="1"/>
  <c r="H354" i="3"/>
  <c r="I354" i="3" s="1"/>
  <c r="O354" i="3" s="1"/>
  <c r="H353" i="3"/>
  <c r="I353" i="3" s="1"/>
  <c r="O353" i="3" s="1"/>
  <c r="P353" i="3" s="1"/>
  <c r="H352" i="3"/>
  <c r="I352" i="3" s="1"/>
  <c r="H351" i="3"/>
  <c r="I351" i="3" s="1"/>
  <c r="O351" i="3" s="1"/>
  <c r="H350" i="3"/>
  <c r="I350" i="3" s="1"/>
  <c r="O350" i="3" s="1"/>
  <c r="H349" i="3"/>
  <c r="I349" i="3" s="1"/>
  <c r="O349" i="3" s="1"/>
  <c r="H348" i="3"/>
  <c r="I348" i="3" s="1"/>
  <c r="O348" i="3" s="1"/>
  <c r="H347" i="3"/>
  <c r="I347" i="3" s="1"/>
  <c r="O347" i="3" s="1"/>
  <c r="H346" i="3"/>
  <c r="I346" i="3" s="1"/>
  <c r="O346" i="3" s="1"/>
  <c r="H345" i="3"/>
  <c r="I345" i="3" s="1"/>
  <c r="O345" i="3" s="1"/>
  <c r="P345" i="3" s="1"/>
  <c r="H344" i="3"/>
  <c r="I344" i="3" s="1"/>
  <c r="O344" i="3" s="1"/>
  <c r="H343" i="3"/>
  <c r="I343" i="3" s="1"/>
  <c r="O343" i="3" s="1"/>
  <c r="H342" i="3"/>
  <c r="I342" i="3" s="1"/>
  <c r="O342" i="3" s="1"/>
  <c r="H341" i="3"/>
  <c r="I341" i="3" s="1"/>
  <c r="O341" i="3" s="1"/>
  <c r="H340" i="3"/>
  <c r="I340" i="3" s="1"/>
  <c r="O340" i="3" s="1"/>
  <c r="H339" i="3"/>
  <c r="I339" i="3" s="1"/>
  <c r="O339" i="3" s="1"/>
  <c r="H338" i="3"/>
  <c r="I338" i="3" s="1"/>
  <c r="O338" i="3" s="1"/>
  <c r="H337" i="3"/>
  <c r="I337" i="3" s="1"/>
  <c r="O337" i="3" s="1"/>
  <c r="P337" i="3" s="1"/>
  <c r="H336" i="3"/>
  <c r="I336" i="3" s="1"/>
  <c r="O336" i="3" s="1"/>
  <c r="H335" i="3"/>
  <c r="I335" i="3" s="1"/>
  <c r="O335" i="3" s="1"/>
  <c r="H334" i="3"/>
  <c r="I334" i="3" s="1"/>
  <c r="O334" i="3" s="1"/>
  <c r="H333" i="3"/>
  <c r="I333" i="3" s="1"/>
  <c r="O333" i="3" s="1"/>
  <c r="H332" i="3"/>
  <c r="I332" i="3" s="1"/>
  <c r="O332" i="3" s="1"/>
  <c r="H331" i="3"/>
  <c r="I331" i="3" s="1"/>
  <c r="O331" i="3" s="1"/>
  <c r="H330" i="3"/>
  <c r="I330" i="3" s="1"/>
  <c r="O330" i="3" s="1"/>
  <c r="H329" i="3"/>
  <c r="I329" i="3" s="1"/>
  <c r="O329" i="3" s="1"/>
  <c r="P329" i="3" s="1"/>
  <c r="H328" i="3"/>
  <c r="I328" i="3" s="1"/>
  <c r="O328" i="3" s="1"/>
  <c r="H327" i="3"/>
  <c r="I327" i="3" s="1"/>
  <c r="O327" i="3" s="1"/>
  <c r="H326" i="3"/>
  <c r="I326" i="3" s="1"/>
  <c r="O326" i="3" s="1"/>
  <c r="H325" i="3"/>
  <c r="I325" i="3" s="1"/>
  <c r="O325" i="3" s="1"/>
  <c r="H324" i="3"/>
  <c r="I324" i="3" s="1"/>
  <c r="O324" i="3" s="1"/>
  <c r="H323" i="3"/>
  <c r="I323" i="3" s="1"/>
  <c r="O323" i="3" s="1"/>
  <c r="H322" i="3"/>
  <c r="I322" i="3" s="1"/>
  <c r="O322" i="3" s="1"/>
  <c r="H321" i="3"/>
  <c r="I321" i="3" s="1"/>
  <c r="O321" i="3" s="1"/>
  <c r="P321" i="3" s="1"/>
  <c r="H320" i="3"/>
  <c r="I320" i="3" s="1"/>
  <c r="O320" i="3" s="1"/>
  <c r="H319" i="3"/>
  <c r="I319" i="3" s="1"/>
  <c r="O319" i="3" s="1"/>
  <c r="H318" i="3"/>
  <c r="I318" i="3" s="1"/>
  <c r="O318" i="3" s="1"/>
  <c r="H317" i="3"/>
  <c r="I317" i="3" s="1"/>
  <c r="O317" i="3" s="1"/>
  <c r="H316" i="3"/>
  <c r="I316" i="3" s="1"/>
  <c r="O316" i="3" s="1"/>
  <c r="H315" i="3"/>
  <c r="I315" i="3" s="1"/>
  <c r="O315" i="3" s="1"/>
  <c r="H314" i="3"/>
  <c r="I314" i="3" s="1"/>
  <c r="O314" i="3" s="1"/>
  <c r="H313" i="3"/>
  <c r="I313" i="3" s="1"/>
  <c r="O313" i="3" s="1"/>
  <c r="P313" i="3" s="1"/>
  <c r="H312" i="3"/>
  <c r="I312" i="3" s="1"/>
  <c r="O312" i="3" s="1"/>
  <c r="H311" i="3"/>
  <c r="I311" i="3" s="1"/>
  <c r="O311" i="3" s="1"/>
  <c r="H310" i="3"/>
  <c r="I310" i="3" s="1"/>
  <c r="O310" i="3" s="1"/>
  <c r="H309" i="3"/>
  <c r="I309" i="3" s="1"/>
  <c r="O309" i="3" s="1"/>
  <c r="H308" i="3"/>
  <c r="I308" i="3" s="1"/>
  <c r="O308" i="3" s="1"/>
  <c r="H307" i="3"/>
  <c r="I307" i="3" s="1"/>
  <c r="O307" i="3" s="1"/>
  <c r="H306" i="3"/>
  <c r="I306" i="3" s="1"/>
  <c r="O306" i="3" s="1"/>
  <c r="H305" i="3"/>
  <c r="I305" i="3" s="1"/>
  <c r="O305" i="3" s="1"/>
  <c r="P305" i="3" s="1"/>
  <c r="H304" i="3"/>
  <c r="I304" i="3" s="1"/>
  <c r="O304" i="3" s="1"/>
  <c r="H303" i="3"/>
  <c r="I303" i="3" s="1"/>
  <c r="O303" i="3" s="1"/>
  <c r="H302" i="3"/>
  <c r="I302" i="3" s="1"/>
  <c r="O302" i="3" s="1"/>
  <c r="H301" i="3"/>
  <c r="I301" i="3" s="1"/>
  <c r="O301" i="3" s="1"/>
  <c r="H300" i="3"/>
  <c r="I300" i="3" s="1"/>
  <c r="O300" i="3" s="1"/>
  <c r="H299" i="3"/>
  <c r="I299" i="3" s="1"/>
  <c r="O299" i="3" s="1"/>
  <c r="H298" i="3"/>
  <c r="I298" i="3" s="1"/>
  <c r="O298" i="3" s="1"/>
  <c r="H297" i="3"/>
  <c r="I297" i="3" s="1"/>
  <c r="O297" i="3" s="1"/>
  <c r="P297" i="3" s="1"/>
  <c r="H296" i="3"/>
  <c r="I296" i="3" s="1"/>
  <c r="O296" i="3" s="1"/>
  <c r="H295" i="3"/>
  <c r="I295" i="3" s="1"/>
  <c r="O295" i="3" s="1"/>
  <c r="H294" i="3"/>
  <c r="I294" i="3" s="1"/>
  <c r="O294" i="3" s="1"/>
  <c r="H293" i="3"/>
  <c r="I293" i="3" s="1"/>
  <c r="O293" i="3" s="1"/>
  <c r="H292" i="3"/>
  <c r="I292" i="3" s="1"/>
  <c r="O292" i="3" s="1"/>
  <c r="H291" i="3"/>
  <c r="I291" i="3" s="1"/>
  <c r="O291" i="3" s="1"/>
  <c r="H290" i="3"/>
  <c r="I290" i="3" s="1"/>
  <c r="O290" i="3" s="1"/>
  <c r="H289" i="3"/>
  <c r="I289" i="3" s="1"/>
  <c r="O289" i="3" s="1"/>
  <c r="P289" i="3" s="1"/>
  <c r="H288" i="3"/>
  <c r="I288" i="3" s="1"/>
  <c r="O288" i="3" s="1"/>
  <c r="H287" i="3"/>
  <c r="I287" i="3" s="1"/>
  <c r="O287" i="3" s="1"/>
  <c r="P287" i="3" s="1"/>
  <c r="H286" i="3"/>
  <c r="I286" i="3" s="1"/>
  <c r="O286" i="3" s="1"/>
  <c r="H285" i="3"/>
  <c r="I285" i="3" s="1"/>
  <c r="O285" i="3" s="1"/>
  <c r="H284" i="3"/>
  <c r="I284" i="3" s="1"/>
  <c r="O284" i="3" s="1"/>
  <c r="H283" i="3"/>
  <c r="I283" i="3" s="1"/>
  <c r="O283" i="3" s="1"/>
  <c r="H282" i="3"/>
  <c r="I282" i="3" s="1"/>
  <c r="O282" i="3" s="1"/>
  <c r="H281" i="3"/>
  <c r="I281" i="3" s="1"/>
  <c r="O281" i="3" s="1"/>
  <c r="P281" i="3" s="1"/>
  <c r="H280" i="3"/>
  <c r="I280" i="3" s="1"/>
  <c r="O280" i="3" s="1"/>
  <c r="H279" i="3"/>
  <c r="I279" i="3" s="1"/>
  <c r="O279" i="3" s="1"/>
  <c r="H278" i="3"/>
  <c r="I278" i="3" s="1"/>
  <c r="O278" i="3" s="1"/>
  <c r="H277" i="3"/>
  <c r="I277" i="3" s="1"/>
  <c r="O277" i="3" s="1"/>
  <c r="H276" i="3"/>
  <c r="I276" i="3" s="1"/>
  <c r="O276" i="3" s="1"/>
  <c r="H275" i="3"/>
  <c r="I275" i="3" s="1"/>
  <c r="O275" i="3" s="1"/>
  <c r="H274" i="3"/>
  <c r="I274" i="3" s="1"/>
  <c r="O274" i="3" s="1"/>
  <c r="H273" i="3"/>
  <c r="I273" i="3" s="1"/>
  <c r="O273" i="3" s="1"/>
  <c r="P273" i="3" s="1"/>
  <c r="H272" i="3"/>
  <c r="I272" i="3" s="1"/>
  <c r="O272" i="3" s="1"/>
  <c r="H271" i="3"/>
  <c r="I271" i="3" s="1"/>
  <c r="O271" i="3" s="1"/>
  <c r="H270" i="3"/>
  <c r="I270" i="3" s="1"/>
  <c r="O270" i="3" s="1"/>
  <c r="H269" i="3"/>
  <c r="I269" i="3" s="1"/>
  <c r="O269" i="3" s="1"/>
  <c r="H268" i="3"/>
  <c r="I268" i="3" s="1"/>
  <c r="O268" i="3" s="1"/>
  <c r="H267" i="3"/>
  <c r="I267" i="3" s="1"/>
  <c r="O267" i="3" s="1"/>
  <c r="H266" i="3"/>
  <c r="I266" i="3" s="1"/>
  <c r="O266" i="3" s="1"/>
  <c r="H265" i="3"/>
  <c r="I265" i="3" s="1"/>
  <c r="O265" i="3" s="1"/>
  <c r="P265" i="3" s="1"/>
  <c r="H264" i="3"/>
  <c r="I264" i="3" s="1"/>
  <c r="O264" i="3" s="1"/>
  <c r="H263" i="3"/>
  <c r="I263" i="3" s="1"/>
  <c r="O263" i="3" s="1"/>
  <c r="H262" i="3"/>
  <c r="I262" i="3" s="1"/>
  <c r="O262" i="3" s="1"/>
  <c r="H261" i="3"/>
  <c r="I261" i="3" s="1"/>
  <c r="O261" i="3" s="1"/>
  <c r="H260" i="3"/>
  <c r="I260" i="3" s="1"/>
  <c r="O260" i="3" s="1"/>
  <c r="H259" i="3"/>
  <c r="I259" i="3" s="1"/>
  <c r="O259" i="3" s="1"/>
  <c r="H258" i="3"/>
  <c r="I258" i="3" s="1"/>
  <c r="O258" i="3" s="1"/>
  <c r="H257" i="3"/>
  <c r="I257" i="3" s="1"/>
  <c r="O257" i="3" s="1"/>
  <c r="P257" i="3" s="1"/>
  <c r="H256" i="3"/>
  <c r="I256" i="3" s="1"/>
  <c r="O256" i="3" s="1"/>
  <c r="H255" i="3"/>
  <c r="I255" i="3" s="1"/>
  <c r="O255" i="3" s="1"/>
  <c r="P255" i="3" s="1"/>
  <c r="H254" i="3"/>
  <c r="I254" i="3" s="1"/>
  <c r="O254" i="3" s="1"/>
  <c r="H253" i="3"/>
  <c r="I253" i="3" s="1"/>
  <c r="O253" i="3" s="1"/>
  <c r="H252" i="3"/>
  <c r="I252" i="3" s="1"/>
  <c r="O252" i="3" s="1"/>
  <c r="H251" i="3"/>
  <c r="I251" i="3" s="1"/>
  <c r="O251" i="3" s="1"/>
  <c r="H250" i="3"/>
  <c r="I250" i="3" s="1"/>
  <c r="O250" i="3" s="1"/>
  <c r="H249" i="3"/>
  <c r="I249" i="3" s="1"/>
  <c r="O249" i="3" s="1"/>
  <c r="P249" i="3" s="1"/>
  <c r="H248" i="3"/>
  <c r="I248" i="3" s="1"/>
  <c r="O248" i="3" s="1"/>
  <c r="H247" i="3"/>
  <c r="I247" i="3" s="1"/>
  <c r="O247" i="3" s="1"/>
  <c r="H246" i="3"/>
  <c r="I246" i="3" s="1"/>
  <c r="O246" i="3" s="1"/>
  <c r="H245" i="3"/>
  <c r="I245" i="3" s="1"/>
  <c r="O245" i="3" s="1"/>
  <c r="H244" i="3"/>
  <c r="I244" i="3" s="1"/>
  <c r="O244" i="3" s="1"/>
  <c r="H243" i="3"/>
  <c r="I243" i="3" s="1"/>
  <c r="O243" i="3" s="1"/>
  <c r="H242" i="3"/>
  <c r="I242" i="3" s="1"/>
  <c r="O242" i="3" s="1"/>
  <c r="H241" i="3"/>
  <c r="I241" i="3" s="1"/>
  <c r="O241" i="3" s="1"/>
  <c r="P241" i="3" s="1"/>
  <c r="H240" i="3"/>
  <c r="I240" i="3" s="1"/>
  <c r="O240" i="3" s="1"/>
  <c r="H239" i="3"/>
  <c r="I239" i="3" s="1"/>
  <c r="O239" i="3" s="1"/>
  <c r="H238" i="3"/>
  <c r="I238" i="3" s="1"/>
  <c r="O238" i="3" s="1"/>
  <c r="H237" i="3"/>
  <c r="I237" i="3" s="1"/>
  <c r="O237" i="3" s="1"/>
  <c r="H236" i="3"/>
  <c r="I236" i="3" s="1"/>
  <c r="O236" i="3" s="1"/>
  <c r="H235" i="3"/>
  <c r="I235" i="3" s="1"/>
  <c r="O235" i="3" s="1"/>
  <c r="H234" i="3"/>
  <c r="I234" i="3" s="1"/>
  <c r="O234" i="3" s="1"/>
  <c r="H233" i="3"/>
  <c r="I233" i="3" s="1"/>
  <c r="O233" i="3" s="1"/>
  <c r="P233" i="3" s="1"/>
  <c r="H232" i="3"/>
  <c r="I232" i="3" s="1"/>
  <c r="O232" i="3" s="1"/>
  <c r="H231" i="3"/>
  <c r="I231" i="3" s="1"/>
  <c r="O231" i="3" s="1"/>
  <c r="H230" i="3"/>
  <c r="I230" i="3" s="1"/>
  <c r="O230" i="3" s="1"/>
  <c r="H229" i="3"/>
  <c r="I229" i="3" s="1"/>
  <c r="O229" i="3" s="1"/>
  <c r="H228" i="3"/>
  <c r="I228" i="3" s="1"/>
  <c r="O228" i="3" s="1"/>
  <c r="H227" i="3"/>
  <c r="I227" i="3" s="1"/>
  <c r="O227" i="3" s="1"/>
  <c r="H226" i="3"/>
  <c r="I226" i="3" s="1"/>
  <c r="O226" i="3" s="1"/>
  <c r="H225" i="3"/>
  <c r="I225" i="3" s="1"/>
  <c r="O225" i="3" s="1"/>
  <c r="P225" i="3" s="1"/>
  <c r="H224" i="3"/>
  <c r="I224" i="3" s="1"/>
  <c r="O224" i="3" s="1"/>
  <c r="H223" i="3"/>
  <c r="I223" i="3" s="1"/>
  <c r="O223" i="3" s="1"/>
  <c r="H222" i="3"/>
  <c r="I222" i="3" s="1"/>
  <c r="O222" i="3" s="1"/>
  <c r="H221" i="3"/>
  <c r="I221" i="3" s="1"/>
  <c r="O221" i="3" s="1"/>
  <c r="H220" i="3"/>
  <c r="I220" i="3" s="1"/>
  <c r="O220" i="3" s="1"/>
  <c r="H219" i="3"/>
  <c r="I219" i="3" s="1"/>
  <c r="O219" i="3" s="1"/>
  <c r="H218" i="3"/>
  <c r="I218" i="3" s="1"/>
  <c r="O218" i="3" s="1"/>
  <c r="H217" i="3"/>
  <c r="I217" i="3" s="1"/>
  <c r="O217" i="3" s="1"/>
  <c r="P217" i="3" s="1"/>
  <c r="H216" i="3"/>
  <c r="I216" i="3" s="1"/>
  <c r="O216" i="3" s="1"/>
  <c r="H215" i="3"/>
  <c r="I215" i="3" s="1"/>
  <c r="O215" i="3" s="1"/>
  <c r="H214" i="3"/>
  <c r="I214" i="3" s="1"/>
  <c r="O214" i="3" s="1"/>
  <c r="H213" i="3"/>
  <c r="I213" i="3" s="1"/>
  <c r="O213" i="3" s="1"/>
  <c r="H212" i="3"/>
  <c r="I212" i="3" s="1"/>
  <c r="O212" i="3" s="1"/>
  <c r="H211" i="3"/>
  <c r="I211" i="3" s="1"/>
  <c r="O211" i="3" s="1"/>
  <c r="H210" i="3"/>
  <c r="I210" i="3" s="1"/>
  <c r="O210" i="3" s="1"/>
  <c r="H209" i="3"/>
  <c r="I209" i="3" s="1"/>
  <c r="O209" i="3" s="1"/>
  <c r="P209" i="3" s="1"/>
  <c r="H208" i="3"/>
  <c r="I208" i="3" s="1"/>
  <c r="O208" i="3" s="1"/>
  <c r="H207" i="3"/>
  <c r="I207" i="3" s="1"/>
  <c r="O207" i="3" s="1"/>
  <c r="P207" i="3" s="1"/>
  <c r="H206" i="3"/>
  <c r="I206" i="3" s="1"/>
  <c r="O206" i="3" s="1"/>
  <c r="H205" i="3"/>
  <c r="I205" i="3" s="1"/>
  <c r="O205" i="3" s="1"/>
  <c r="H204" i="3"/>
  <c r="I204" i="3" s="1"/>
  <c r="O204" i="3" s="1"/>
  <c r="H203" i="3"/>
  <c r="I203" i="3" s="1"/>
  <c r="O203" i="3" s="1"/>
  <c r="H202" i="3"/>
  <c r="I202" i="3" s="1"/>
  <c r="O202" i="3" s="1"/>
  <c r="H201" i="3"/>
  <c r="I201" i="3" s="1"/>
  <c r="O201" i="3" s="1"/>
  <c r="P201" i="3" s="1"/>
  <c r="H200" i="3"/>
  <c r="I200" i="3" s="1"/>
  <c r="O200" i="3" s="1"/>
  <c r="H199" i="3"/>
  <c r="I199" i="3" s="1"/>
  <c r="O199" i="3" s="1"/>
  <c r="H198" i="3"/>
  <c r="I198" i="3" s="1"/>
  <c r="O198" i="3" s="1"/>
  <c r="H197" i="3"/>
  <c r="I197" i="3" s="1"/>
  <c r="O197" i="3" s="1"/>
  <c r="H196" i="3"/>
  <c r="I196" i="3" s="1"/>
  <c r="O196" i="3" s="1"/>
  <c r="H195" i="3"/>
  <c r="I195" i="3" s="1"/>
  <c r="O195" i="3" s="1"/>
  <c r="H194" i="3"/>
  <c r="I194" i="3" s="1"/>
  <c r="O194" i="3" s="1"/>
  <c r="H193" i="3"/>
  <c r="I193" i="3" s="1"/>
  <c r="O193" i="3" s="1"/>
  <c r="P193" i="3" s="1"/>
  <c r="H192" i="3"/>
  <c r="I192" i="3" s="1"/>
  <c r="O192" i="3" s="1"/>
  <c r="H191" i="3"/>
  <c r="I191" i="3" s="1"/>
  <c r="O191" i="3" s="1"/>
  <c r="H190" i="3"/>
  <c r="I190" i="3" s="1"/>
  <c r="O190" i="3" s="1"/>
  <c r="H189" i="3"/>
  <c r="I189" i="3" s="1"/>
  <c r="O189" i="3" s="1"/>
  <c r="H188" i="3"/>
  <c r="I188" i="3" s="1"/>
  <c r="O188" i="3" s="1"/>
  <c r="H187" i="3"/>
  <c r="I187" i="3" s="1"/>
  <c r="O187" i="3" s="1"/>
  <c r="H186" i="3"/>
  <c r="I186" i="3" s="1"/>
  <c r="O186" i="3" s="1"/>
  <c r="H185" i="3"/>
  <c r="I185" i="3" s="1"/>
  <c r="O185" i="3" s="1"/>
  <c r="P185" i="3" s="1"/>
  <c r="H184" i="3"/>
  <c r="I184" i="3" s="1"/>
  <c r="O184" i="3" s="1"/>
  <c r="H183" i="3"/>
  <c r="I183" i="3" s="1"/>
  <c r="O183" i="3" s="1"/>
  <c r="H182" i="3"/>
  <c r="I182" i="3" s="1"/>
  <c r="O182" i="3" s="1"/>
  <c r="H181" i="3"/>
  <c r="I181" i="3" s="1"/>
  <c r="O181" i="3" s="1"/>
  <c r="H180" i="3"/>
  <c r="I180" i="3" s="1"/>
  <c r="O180" i="3" s="1"/>
  <c r="H179" i="3"/>
  <c r="I179" i="3" s="1"/>
  <c r="O179" i="3" s="1"/>
  <c r="H178" i="3"/>
  <c r="I178" i="3" s="1"/>
  <c r="O178" i="3" s="1"/>
  <c r="H177" i="3"/>
  <c r="I177" i="3" s="1"/>
  <c r="O177" i="3" s="1"/>
  <c r="P177" i="3" s="1"/>
  <c r="H176" i="3"/>
  <c r="I176" i="3" s="1"/>
  <c r="O176" i="3" s="1"/>
  <c r="H175" i="3"/>
  <c r="I175" i="3" s="1"/>
  <c r="O175" i="3" s="1"/>
  <c r="H174" i="3"/>
  <c r="I174" i="3" s="1"/>
  <c r="O174" i="3" s="1"/>
  <c r="P174" i="3" s="1"/>
  <c r="H173" i="3"/>
  <c r="I173" i="3" s="1"/>
  <c r="O173" i="3" s="1"/>
  <c r="H172" i="3"/>
  <c r="I172" i="3" s="1"/>
  <c r="O172" i="3" s="1"/>
  <c r="H171" i="3"/>
  <c r="I171" i="3" s="1"/>
  <c r="O171" i="3" s="1"/>
  <c r="H170" i="3"/>
  <c r="I170" i="3" s="1"/>
  <c r="O170" i="3" s="1"/>
  <c r="H169" i="3"/>
  <c r="I169" i="3" s="1"/>
  <c r="O169" i="3" s="1"/>
  <c r="P169" i="3" s="1"/>
  <c r="H168" i="3"/>
  <c r="I168" i="3" s="1"/>
  <c r="O168" i="3" s="1"/>
  <c r="H167" i="3"/>
  <c r="I167" i="3" s="1"/>
  <c r="O167" i="3" s="1"/>
  <c r="H166" i="3"/>
  <c r="I166" i="3" s="1"/>
  <c r="O166" i="3" s="1"/>
  <c r="H165" i="3"/>
  <c r="I165" i="3" s="1"/>
  <c r="O165" i="3" s="1"/>
  <c r="H164" i="3"/>
  <c r="I164" i="3" s="1"/>
  <c r="O164" i="3" s="1"/>
  <c r="H163" i="3"/>
  <c r="I163" i="3" s="1"/>
  <c r="O163" i="3" s="1"/>
  <c r="H162" i="3"/>
  <c r="I162" i="3" s="1"/>
  <c r="O162" i="3" s="1"/>
  <c r="H161" i="3"/>
  <c r="I161" i="3" s="1"/>
  <c r="O161" i="3" s="1"/>
  <c r="P161" i="3" s="1"/>
  <c r="H160" i="3"/>
  <c r="I160" i="3" s="1"/>
  <c r="O160" i="3" s="1"/>
  <c r="H159" i="3"/>
  <c r="I159" i="3" s="1"/>
  <c r="O159" i="3" s="1"/>
  <c r="H158" i="3"/>
  <c r="I158" i="3" s="1"/>
  <c r="O158" i="3" s="1"/>
  <c r="H157" i="3"/>
  <c r="I157" i="3" s="1"/>
  <c r="O157" i="3" s="1"/>
  <c r="H156" i="3"/>
  <c r="I156" i="3" s="1"/>
  <c r="O156" i="3" s="1"/>
  <c r="H155" i="3"/>
  <c r="I155" i="3" s="1"/>
  <c r="O155" i="3" s="1"/>
  <c r="H154" i="3"/>
  <c r="I154" i="3" s="1"/>
  <c r="O154" i="3" s="1"/>
  <c r="H153" i="3"/>
  <c r="I153" i="3" s="1"/>
  <c r="O153" i="3" s="1"/>
  <c r="P153" i="3" s="1"/>
  <c r="H152" i="3"/>
  <c r="I152" i="3" s="1"/>
  <c r="O152" i="3" s="1"/>
  <c r="H151" i="3"/>
  <c r="I151" i="3" s="1"/>
  <c r="O151" i="3" s="1"/>
  <c r="H150" i="3"/>
  <c r="I150" i="3" s="1"/>
  <c r="O150" i="3" s="1"/>
  <c r="H149" i="3"/>
  <c r="I149" i="3" s="1"/>
  <c r="O149" i="3" s="1"/>
  <c r="I148" i="3"/>
  <c r="O148" i="3" s="1"/>
  <c r="H148" i="3"/>
  <c r="H147" i="3"/>
  <c r="I147" i="3" s="1"/>
  <c r="O147" i="3" s="1"/>
  <c r="H146" i="3"/>
  <c r="I146" i="3" s="1"/>
  <c r="O146" i="3" s="1"/>
  <c r="H145" i="3"/>
  <c r="I145" i="3" s="1"/>
  <c r="O145" i="3" s="1"/>
  <c r="P145" i="3" s="1"/>
  <c r="H144" i="3"/>
  <c r="I144" i="3" s="1"/>
  <c r="O144" i="3" s="1"/>
  <c r="H143" i="3"/>
  <c r="I143" i="3" s="1"/>
  <c r="O143" i="3" s="1"/>
  <c r="H142" i="3"/>
  <c r="I142" i="3" s="1"/>
  <c r="O142" i="3" s="1"/>
  <c r="P142" i="3" s="1"/>
  <c r="H141" i="3"/>
  <c r="I141" i="3" s="1"/>
  <c r="O141" i="3" s="1"/>
  <c r="H140" i="3"/>
  <c r="I140" i="3" s="1"/>
  <c r="O140" i="3" s="1"/>
  <c r="H139" i="3"/>
  <c r="I139" i="3" s="1"/>
  <c r="O139" i="3" s="1"/>
  <c r="H138" i="3"/>
  <c r="I138" i="3" s="1"/>
  <c r="O138" i="3" s="1"/>
  <c r="H137" i="3"/>
  <c r="I137" i="3" s="1"/>
  <c r="O137" i="3" s="1"/>
  <c r="P137" i="3" s="1"/>
  <c r="H136" i="3"/>
  <c r="I136" i="3" s="1"/>
  <c r="O136" i="3" s="1"/>
  <c r="H135" i="3"/>
  <c r="I135" i="3" s="1"/>
  <c r="O135" i="3" s="1"/>
  <c r="H134" i="3"/>
  <c r="I134" i="3" s="1"/>
  <c r="O134" i="3" s="1"/>
  <c r="H133" i="3"/>
  <c r="I133" i="3" s="1"/>
  <c r="O133" i="3" s="1"/>
  <c r="I132" i="3"/>
  <c r="O132" i="3" s="1"/>
  <c r="H132" i="3"/>
  <c r="H131" i="3"/>
  <c r="I131" i="3" s="1"/>
  <c r="O131" i="3" s="1"/>
  <c r="H130" i="3"/>
  <c r="I130" i="3" s="1"/>
  <c r="O130" i="3" s="1"/>
  <c r="H129" i="3"/>
  <c r="I129" i="3" s="1"/>
  <c r="O129" i="3" s="1"/>
  <c r="P129" i="3" s="1"/>
  <c r="H128" i="3"/>
  <c r="I128" i="3" s="1"/>
  <c r="O128" i="3" s="1"/>
  <c r="H127" i="3"/>
  <c r="I127" i="3" s="1"/>
  <c r="O127" i="3" s="1"/>
  <c r="H126" i="3"/>
  <c r="I126" i="3" s="1"/>
  <c r="O126" i="3" s="1"/>
  <c r="P126" i="3" s="1"/>
  <c r="H125" i="3"/>
  <c r="I125" i="3" s="1"/>
  <c r="O125" i="3" s="1"/>
  <c r="H124" i="3"/>
  <c r="I124" i="3" s="1"/>
  <c r="O124" i="3" s="1"/>
  <c r="H123" i="3"/>
  <c r="I123" i="3" s="1"/>
  <c r="O123" i="3" s="1"/>
  <c r="H122" i="3"/>
  <c r="I122" i="3" s="1"/>
  <c r="O122" i="3" s="1"/>
  <c r="H121" i="3"/>
  <c r="I121" i="3" s="1"/>
  <c r="O121" i="3" s="1"/>
  <c r="P121" i="3" s="1"/>
  <c r="I120" i="3"/>
  <c r="O120" i="3" s="1"/>
  <c r="H120" i="3"/>
  <c r="H119" i="3"/>
  <c r="I119" i="3" s="1"/>
  <c r="O119" i="3" s="1"/>
  <c r="H118" i="3"/>
  <c r="I118" i="3" s="1"/>
  <c r="O118" i="3" s="1"/>
  <c r="H117" i="3"/>
  <c r="I117" i="3" s="1"/>
  <c r="O117" i="3" s="1"/>
  <c r="H116" i="3"/>
  <c r="I116" i="3" s="1"/>
  <c r="O116" i="3" s="1"/>
  <c r="H115" i="3"/>
  <c r="I115" i="3" s="1"/>
  <c r="O115" i="3" s="1"/>
  <c r="P115" i="3" s="1"/>
  <c r="H114" i="3"/>
  <c r="I114" i="3" s="1"/>
  <c r="O114" i="3" s="1"/>
  <c r="H113" i="3"/>
  <c r="I113" i="3" s="1"/>
  <c r="O113" i="3" s="1"/>
  <c r="P113" i="3" s="1"/>
  <c r="I112" i="3"/>
  <c r="O112" i="3" s="1"/>
  <c r="H112" i="3"/>
  <c r="H111" i="3"/>
  <c r="I111" i="3" s="1"/>
  <c r="O111" i="3" s="1"/>
  <c r="H110" i="3"/>
  <c r="I110" i="3" s="1"/>
  <c r="O110" i="3" s="1"/>
  <c r="P110" i="3" s="1"/>
  <c r="H109" i="3"/>
  <c r="I109" i="3" s="1"/>
  <c r="O109" i="3" s="1"/>
  <c r="H108" i="3"/>
  <c r="I108" i="3" s="1"/>
  <c r="O108" i="3" s="1"/>
  <c r="H107" i="3"/>
  <c r="I107" i="3" s="1"/>
  <c r="O107" i="3" s="1"/>
  <c r="H106" i="3"/>
  <c r="I106" i="3" s="1"/>
  <c r="O106" i="3" s="1"/>
  <c r="H105" i="3"/>
  <c r="I105" i="3" s="1"/>
  <c r="O105" i="3" s="1"/>
  <c r="P105" i="3" s="1"/>
  <c r="H104" i="3"/>
  <c r="I104" i="3" s="1"/>
  <c r="O104" i="3" s="1"/>
  <c r="H103" i="3"/>
  <c r="I103" i="3" s="1"/>
  <c r="O103" i="3" s="1"/>
  <c r="H102" i="3"/>
  <c r="I102" i="3" s="1"/>
  <c r="O102" i="3" s="1"/>
  <c r="H101" i="3"/>
  <c r="I101" i="3" s="1"/>
  <c r="O101" i="3" s="1"/>
  <c r="H100" i="3"/>
  <c r="I100" i="3" s="1"/>
  <c r="O100" i="3" s="1"/>
  <c r="H99" i="3"/>
  <c r="I99" i="3" s="1"/>
  <c r="O99" i="3" s="1"/>
  <c r="H98" i="3"/>
  <c r="I98" i="3" s="1"/>
  <c r="O98" i="3" s="1"/>
  <c r="H97" i="3"/>
  <c r="I97" i="3" s="1"/>
  <c r="O97" i="3" s="1"/>
  <c r="P97" i="3" s="1"/>
  <c r="H96" i="3"/>
  <c r="I96" i="3" s="1"/>
  <c r="O96" i="3" s="1"/>
  <c r="H95" i="3"/>
  <c r="I95" i="3" s="1"/>
  <c r="O95" i="3" s="1"/>
  <c r="H94" i="3"/>
  <c r="I94" i="3" s="1"/>
  <c r="O94" i="3" s="1"/>
  <c r="H93" i="3"/>
  <c r="I93" i="3" s="1"/>
  <c r="O93" i="3" s="1"/>
  <c r="I92" i="3"/>
  <c r="O92" i="3" s="1"/>
  <c r="H92" i="3"/>
  <c r="H91" i="3"/>
  <c r="I91" i="3" s="1"/>
  <c r="O91" i="3" s="1"/>
  <c r="H90" i="3"/>
  <c r="I90" i="3" s="1"/>
  <c r="O90" i="3" s="1"/>
  <c r="H89" i="3"/>
  <c r="I89" i="3" s="1"/>
  <c r="O89" i="3" s="1"/>
  <c r="P89" i="3" s="1"/>
  <c r="I88" i="3"/>
  <c r="O88" i="3" s="1"/>
  <c r="H88" i="3"/>
  <c r="H87" i="3"/>
  <c r="I87" i="3" s="1"/>
  <c r="O87" i="3" s="1"/>
  <c r="H86" i="3"/>
  <c r="I86" i="3" s="1"/>
  <c r="O86" i="3" s="1"/>
  <c r="H85" i="3"/>
  <c r="I85" i="3" s="1"/>
  <c r="O85" i="3" s="1"/>
  <c r="H84" i="3"/>
  <c r="I84" i="3" s="1"/>
  <c r="O84" i="3" s="1"/>
  <c r="H83" i="3"/>
  <c r="I83" i="3" s="1"/>
  <c r="O83" i="3" s="1"/>
  <c r="H82" i="3"/>
  <c r="I82" i="3" s="1"/>
  <c r="O82" i="3" s="1"/>
  <c r="H81" i="3"/>
  <c r="I81" i="3" s="1"/>
  <c r="O81" i="3" s="1"/>
  <c r="H80" i="3"/>
  <c r="I80" i="3" s="1"/>
  <c r="O80" i="3" s="1"/>
  <c r="H79" i="3"/>
  <c r="I79" i="3" s="1"/>
  <c r="O79" i="3" s="1"/>
  <c r="H78" i="3"/>
  <c r="I78" i="3" s="1"/>
  <c r="O78" i="3" s="1"/>
  <c r="H77" i="3"/>
  <c r="I77" i="3" s="1"/>
  <c r="O77" i="3" s="1"/>
  <c r="H76" i="3"/>
  <c r="I76" i="3" s="1"/>
  <c r="O76" i="3" s="1"/>
  <c r="H75" i="3"/>
  <c r="I75" i="3" s="1"/>
  <c r="O75" i="3" s="1"/>
  <c r="H74" i="3"/>
  <c r="I74" i="3" s="1"/>
  <c r="O74" i="3" s="1"/>
  <c r="H73" i="3"/>
  <c r="I73" i="3" s="1"/>
  <c r="O73" i="3" s="1"/>
  <c r="P73" i="3" s="1"/>
  <c r="H72" i="3"/>
  <c r="I72" i="3" s="1"/>
  <c r="O72" i="3" s="1"/>
  <c r="H71" i="3"/>
  <c r="I71" i="3" s="1"/>
  <c r="O71" i="3" s="1"/>
  <c r="H70" i="3"/>
  <c r="I70" i="3" s="1"/>
  <c r="O70" i="3" s="1"/>
  <c r="H69" i="3"/>
  <c r="I69" i="3" s="1"/>
  <c r="O69" i="3" s="1"/>
  <c r="H68" i="3"/>
  <c r="I68" i="3" s="1"/>
  <c r="O68" i="3" s="1"/>
  <c r="H67" i="3"/>
  <c r="I67" i="3" s="1"/>
  <c r="O67" i="3" s="1"/>
  <c r="H66" i="3"/>
  <c r="I66" i="3" s="1"/>
  <c r="O66" i="3" s="1"/>
  <c r="H65" i="3"/>
  <c r="I65" i="3" s="1"/>
  <c r="O65" i="3" s="1"/>
  <c r="P65" i="3" s="1"/>
  <c r="H64" i="3"/>
  <c r="I64" i="3" s="1"/>
  <c r="O64" i="3" s="1"/>
  <c r="H63" i="3"/>
  <c r="I63" i="3" s="1"/>
  <c r="O63" i="3" s="1"/>
  <c r="H62" i="3"/>
  <c r="I62" i="3" s="1"/>
  <c r="O62" i="3" s="1"/>
  <c r="H61" i="3"/>
  <c r="I61" i="3" s="1"/>
  <c r="O61" i="3" s="1"/>
  <c r="H60" i="3"/>
  <c r="I60" i="3" s="1"/>
  <c r="O60" i="3" s="1"/>
  <c r="H59" i="3"/>
  <c r="I59" i="3" s="1"/>
  <c r="O59" i="3" s="1"/>
  <c r="H58" i="3"/>
  <c r="I58" i="3" s="1"/>
  <c r="O58" i="3" s="1"/>
  <c r="H57" i="3"/>
  <c r="I57" i="3" s="1"/>
  <c r="O57" i="3" s="1"/>
  <c r="P57" i="3" s="1"/>
  <c r="I56" i="3"/>
  <c r="O56" i="3" s="1"/>
  <c r="H56" i="3"/>
  <c r="H55" i="3"/>
  <c r="I55" i="3" s="1"/>
  <c r="O55" i="3" s="1"/>
  <c r="H54" i="3"/>
  <c r="I54" i="3" s="1"/>
  <c r="O54" i="3" s="1"/>
  <c r="H53" i="3"/>
  <c r="I53" i="3" s="1"/>
  <c r="O53" i="3" s="1"/>
  <c r="H52" i="3"/>
  <c r="I52" i="3" s="1"/>
  <c r="O52" i="3" s="1"/>
  <c r="H51" i="3"/>
  <c r="I51" i="3" s="1"/>
  <c r="O51" i="3" s="1"/>
  <c r="H50" i="3"/>
  <c r="I50" i="3" s="1"/>
  <c r="O50" i="3" s="1"/>
  <c r="H49" i="3"/>
  <c r="I49" i="3" s="1"/>
  <c r="O49" i="3" s="1"/>
  <c r="P49" i="3" s="1"/>
  <c r="I48" i="3"/>
  <c r="O48" i="3" s="1"/>
  <c r="H48" i="3"/>
  <c r="H47" i="3"/>
  <c r="I47" i="3" s="1"/>
  <c r="O47" i="3" s="1"/>
  <c r="H46" i="3"/>
  <c r="I46" i="3" s="1"/>
  <c r="O46" i="3" s="1"/>
  <c r="H45" i="3"/>
  <c r="I45" i="3" s="1"/>
  <c r="O45" i="3" s="1"/>
  <c r="H44" i="3"/>
  <c r="I44" i="3" s="1"/>
  <c r="O44" i="3" s="1"/>
  <c r="H43" i="3"/>
  <c r="I43" i="3" s="1"/>
  <c r="O43" i="3" s="1"/>
  <c r="H42" i="3"/>
  <c r="I42" i="3" s="1"/>
  <c r="O42" i="3" s="1"/>
  <c r="H41" i="3"/>
  <c r="I41" i="3" s="1"/>
  <c r="O41" i="3" s="1"/>
  <c r="P41" i="3" s="1"/>
  <c r="H40" i="3"/>
  <c r="I40" i="3" s="1"/>
  <c r="O40" i="3" s="1"/>
  <c r="H39" i="3"/>
  <c r="I39" i="3" s="1"/>
  <c r="O39" i="3" s="1"/>
  <c r="H38" i="3"/>
  <c r="I38" i="3" s="1"/>
  <c r="O38" i="3" s="1"/>
  <c r="H37" i="3"/>
  <c r="I37" i="3" s="1"/>
  <c r="O37" i="3" s="1"/>
  <c r="I36" i="3"/>
  <c r="O36" i="3" s="1"/>
  <c r="H36" i="3"/>
  <c r="H35" i="3"/>
  <c r="I35" i="3" s="1"/>
  <c r="O35" i="3" s="1"/>
  <c r="H34" i="3"/>
  <c r="I34" i="3" s="1"/>
  <c r="O34" i="3" s="1"/>
  <c r="H33" i="3"/>
  <c r="I33" i="3" s="1"/>
  <c r="O33" i="3" s="1"/>
  <c r="P33" i="3" s="1"/>
  <c r="H32" i="3"/>
  <c r="I32" i="3" s="1"/>
  <c r="O32" i="3" s="1"/>
  <c r="H31" i="3"/>
  <c r="I31" i="3" s="1"/>
  <c r="O31" i="3" s="1"/>
  <c r="H30" i="3"/>
  <c r="I30" i="3" s="1"/>
  <c r="O30" i="3" s="1"/>
  <c r="H29" i="3"/>
  <c r="I29" i="3" s="1"/>
  <c r="O29" i="3" s="1"/>
  <c r="I28" i="3"/>
  <c r="O28" i="3" s="1"/>
  <c r="H28" i="3"/>
  <c r="H27" i="3"/>
  <c r="I27" i="3" s="1"/>
  <c r="O27" i="3" s="1"/>
  <c r="H26" i="3"/>
  <c r="I26" i="3" s="1"/>
  <c r="O26" i="3" s="1"/>
  <c r="H25" i="3"/>
  <c r="I25" i="3" s="1"/>
  <c r="O25" i="3" s="1"/>
  <c r="P25" i="3" s="1"/>
  <c r="H24" i="3"/>
  <c r="I24" i="3" s="1"/>
  <c r="O24" i="3" s="1"/>
  <c r="H23" i="3"/>
  <c r="I23" i="3" s="1"/>
  <c r="O23" i="3" s="1"/>
  <c r="H22" i="3"/>
  <c r="I22" i="3" s="1"/>
  <c r="O22" i="3" s="1"/>
  <c r="H21" i="3"/>
  <c r="I21" i="3" s="1"/>
  <c r="O21" i="3" s="1"/>
  <c r="I20" i="3"/>
  <c r="O20" i="3" s="1"/>
  <c r="H20" i="3"/>
  <c r="H19" i="3"/>
  <c r="I19" i="3" s="1"/>
  <c r="O19" i="3" s="1"/>
  <c r="H18" i="3"/>
  <c r="I18" i="3" s="1"/>
  <c r="O18" i="3" s="1"/>
  <c r="H17" i="3"/>
  <c r="I17" i="3" s="1"/>
  <c r="O17" i="3" s="1"/>
  <c r="P17" i="3" s="1"/>
  <c r="I16" i="3"/>
  <c r="O16" i="3" s="1"/>
  <c r="H16" i="3"/>
  <c r="H15" i="3"/>
  <c r="I15" i="3" s="1"/>
  <c r="O15" i="3" s="1"/>
  <c r="H14" i="3"/>
  <c r="I14" i="3" s="1"/>
  <c r="O14" i="3" s="1"/>
  <c r="H13" i="3"/>
  <c r="I13" i="3" s="1"/>
  <c r="O13" i="3" s="1"/>
  <c r="H12" i="3"/>
  <c r="I12" i="3" s="1"/>
  <c r="O12" i="3" s="1"/>
  <c r="H11" i="3"/>
  <c r="I11" i="3" s="1"/>
  <c r="O11" i="3" s="1"/>
  <c r="H10" i="3"/>
  <c r="I10" i="3" s="1"/>
  <c r="O10" i="3" s="1"/>
  <c r="H9" i="3"/>
  <c r="I9" i="3" s="1"/>
  <c r="O9" i="3" s="1"/>
  <c r="P9" i="3" s="1"/>
  <c r="H8" i="3"/>
  <c r="I8" i="3" s="1"/>
  <c r="O8" i="3" s="1"/>
  <c r="P8" i="3" s="1"/>
  <c r="M507" i="4"/>
  <c r="M506" i="4"/>
  <c r="M505" i="4"/>
  <c r="M504" i="4"/>
  <c r="M503" i="4"/>
  <c r="M502" i="4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L507" i="4"/>
  <c r="L506" i="4"/>
  <c r="L505" i="4"/>
  <c r="L504" i="4"/>
  <c r="L503" i="4"/>
  <c r="L502" i="4"/>
  <c r="L501" i="4"/>
  <c r="L500" i="4"/>
  <c r="L499" i="4"/>
  <c r="L498" i="4"/>
  <c r="L497" i="4"/>
  <c r="L496" i="4"/>
  <c r="L495" i="4"/>
  <c r="L494" i="4"/>
  <c r="L493" i="4"/>
  <c r="L492" i="4"/>
  <c r="L491" i="4"/>
  <c r="L490" i="4"/>
  <c r="L489" i="4"/>
  <c r="L488" i="4"/>
  <c r="L487" i="4"/>
  <c r="L486" i="4"/>
  <c r="L485" i="4"/>
  <c r="L484" i="4"/>
  <c r="L483" i="4"/>
  <c r="L482" i="4"/>
  <c r="L481" i="4"/>
  <c r="L480" i="4"/>
  <c r="L479" i="4"/>
  <c r="L478" i="4"/>
  <c r="L477" i="4"/>
  <c r="L476" i="4"/>
  <c r="L475" i="4"/>
  <c r="L474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J27" i="16" l="1"/>
  <c r="J122" i="16"/>
  <c r="J217" i="16"/>
  <c r="O139" i="16"/>
  <c r="O143" i="16"/>
  <c r="O65" i="16"/>
  <c r="O306" i="16"/>
  <c r="J81" i="16"/>
  <c r="K94" i="16"/>
  <c r="P94" i="16" s="1"/>
  <c r="J98" i="16"/>
  <c r="O99" i="16"/>
  <c r="O103" i="16"/>
  <c r="O40" i="16"/>
  <c r="O241" i="16"/>
  <c r="O138" i="16"/>
  <c r="O142" i="16"/>
  <c r="K191" i="16"/>
  <c r="P191" i="16" s="1"/>
  <c r="O115" i="16"/>
  <c r="O119" i="16"/>
  <c r="J72" i="16"/>
  <c r="J91" i="16"/>
  <c r="O171" i="16"/>
  <c r="O11" i="16"/>
  <c r="O13" i="16"/>
  <c r="O28" i="16"/>
  <c r="O30" i="16"/>
  <c r="O136" i="16"/>
  <c r="O45" i="16"/>
  <c r="O191" i="16"/>
  <c r="O97" i="16"/>
  <c r="O102" i="16"/>
  <c r="O104" i="16"/>
  <c r="O108" i="16"/>
  <c r="O196" i="16"/>
  <c r="O179" i="16"/>
  <c r="O125" i="16"/>
  <c r="O72" i="16"/>
  <c r="O135" i="16"/>
  <c r="K157" i="16"/>
  <c r="P157" i="16" s="1"/>
  <c r="M64" i="16"/>
  <c r="M269" i="16"/>
  <c r="O269" i="16" s="1"/>
  <c r="G349" i="16"/>
  <c r="H151" i="16"/>
  <c r="G215" i="16"/>
  <c r="H31" i="16"/>
  <c r="G250" i="16"/>
  <c r="G256" i="16"/>
  <c r="H308" i="16"/>
  <c r="M229" i="16"/>
  <c r="O229" i="16" s="1"/>
  <c r="O289" i="16"/>
  <c r="G301" i="16"/>
  <c r="O315" i="16"/>
  <c r="I49" i="16"/>
  <c r="P49" i="16" s="1"/>
  <c r="M376" i="16"/>
  <c r="I379" i="16"/>
  <c r="P379" i="16" s="1"/>
  <c r="O37" i="16"/>
  <c r="H249" i="16"/>
  <c r="H255" i="16"/>
  <c r="O271" i="16"/>
  <c r="G309" i="16"/>
  <c r="G310" i="16"/>
  <c r="I311" i="16"/>
  <c r="P311" i="16" s="1"/>
  <c r="G318" i="16"/>
  <c r="O331" i="16"/>
  <c r="G339" i="16"/>
  <c r="G363" i="16"/>
  <c r="G395" i="16"/>
  <c r="O244" i="16"/>
  <c r="I249" i="16"/>
  <c r="P249" i="16" s="1"/>
  <c r="I255" i="16"/>
  <c r="P255" i="16" s="1"/>
  <c r="G272" i="16"/>
  <c r="G199" i="16"/>
  <c r="G284" i="16"/>
  <c r="G140" i="16"/>
  <c r="H300" i="16"/>
  <c r="H309" i="16"/>
  <c r="H310" i="16"/>
  <c r="G320" i="16"/>
  <c r="G117" i="16"/>
  <c r="H339" i="16"/>
  <c r="O357" i="16"/>
  <c r="G365" i="16"/>
  <c r="G387" i="16"/>
  <c r="G390" i="16"/>
  <c r="H395" i="16"/>
  <c r="G400" i="16"/>
  <c r="G403" i="16"/>
  <c r="G408" i="16"/>
  <c r="O217" i="16"/>
  <c r="O87" i="16"/>
  <c r="J138" i="16"/>
  <c r="O149" i="16"/>
  <c r="K154" i="16"/>
  <c r="P154" i="16" s="1"/>
  <c r="O198" i="16"/>
  <c r="H327" i="16"/>
  <c r="H220" i="16"/>
  <c r="H221" i="16"/>
  <c r="H224" i="16"/>
  <c r="H225" i="16"/>
  <c r="M249" i="16"/>
  <c r="O249" i="16" s="1"/>
  <c r="M255" i="16"/>
  <c r="O255" i="16" s="1"/>
  <c r="O256" i="16"/>
  <c r="H272" i="16"/>
  <c r="H199" i="16"/>
  <c r="H140" i="16"/>
  <c r="I309" i="16"/>
  <c r="P309" i="16" s="1"/>
  <c r="I310" i="16"/>
  <c r="P310" i="16" s="1"/>
  <c r="H320" i="16"/>
  <c r="I339" i="16"/>
  <c r="P339" i="16" s="1"/>
  <c r="O347" i="16"/>
  <c r="O49" i="16"/>
  <c r="H365" i="16"/>
  <c r="O379" i="16"/>
  <c r="H387" i="16"/>
  <c r="I395" i="16"/>
  <c r="P395" i="16" s="1"/>
  <c r="H400" i="16"/>
  <c r="O402" i="16"/>
  <c r="H403" i="16"/>
  <c r="M408" i="16"/>
  <c r="O408" i="16" s="1"/>
  <c r="O154" i="16"/>
  <c r="O367" i="16"/>
  <c r="G172" i="16"/>
  <c r="O34" i="16"/>
  <c r="G183" i="16"/>
  <c r="G184" i="16"/>
  <c r="I327" i="16"/>
  <c r="P327" i="16" s="1"/>
  <c r="G204" i="16"/>
  <c r="H294" i="16"/>
  <c r="G246" i="16"/>
  <c r="I220" i="16"/>
  <c r="P220" i="16" s="1"/>
  <c r="H223" i="16"/>
  <c r="I224" i="16"/>
  <c r="P224" i="16" s="1"/>
  <c r="G44" i="16"/>
  <c r="O60" i="16"/>
  <c r="O259" i="16"/>
  <c r="O261" i="16"/>
  <c r="G268" i="16"/>
  <c r="G271" i="16"/>
  <c r="I199" i="16"/>
  <c r="P199" i="16" s="1"/>
  <c r="H290" i="16"/>
  <c r="H186" i="16"/>
  <c r="I140" i="16"/>
  <c r="P140" i="16" s="1"/>
  <c r="O300" i="16"/>
  <c r="G54" i="16"/>
  <c r="G323" i="16"/>
  <c r="G324" i="16"/>
  <c r="O328" i="16"/>
  <c r="G331" i="16"/>
  <c r="I338" i="16"/>
  <c r="P338" i="16" s="1"/>
  <c r="I365" i="16"/>
  <c r="P365" i="16" s="1"/>
  <c r="O370" i="16"/>
  <c r="I387" i="16"/>
  <c r="P387" i="16" s="1"/>
  <c r="I394" i="16"/>
  <c r="P394" i="16" s="1"/>
  <c r="M397" i="16"/>
  <c r="O397" i="16" s="1"/>
  <c r="M400" i="16"/>
  <c r="O158" i="16"/>
  <c r="O160" i="16"/>
  <c r="H172" i="16"/>
  <c r="H283" i="16"/>
  <c r="H183" i="16"/>
  <c r="G269" i="16"/>
  <c r="M192" i="16"/>
  <c r="O192" i="16" s="1"/>
  <c r="H204" i="16"/>
  <c r="G207" i="16"/>
  <c r="O215" i="16"/>
  <c r="M223" i="16"/>
  <c r="O223" i="16" s="1"/>
  <c r="I44" i="16"/>
  <c r="P44" i="16" s="1"/>
  <c r="H244" i="16"/>
  <c r="H271" i="16"/>
  <c r="O282" i="16"/>
  <c r="G289" i="16"/>
  <c r="I290" i="16"/>
  <c r="P290" i="16" s="1"/>
  <c r="G307" i="16"/>
  <c r="O321" i="16"/>
  <c r="H324" i="16"/>
  <c r="H331" i="16"/>
  <c r="O344" i="16"/>
  <c r="G352" i="16"/>
  <c r="G357" i="16"/>
  <c r="I165" i="16"/>
  <c r="P165" i="16" s="1"/>
  <c r="G389" i="16"/>
  <c r="I283" i="16"/>
  <c r="P283" i="16" s="1"/>
  <c r="H269" i="16"/>
  <c r="H207" i="16"/>
  <c r="O324" i="16"/>
  <c r="O85" i="16"/>
  <c r="O368" i="16"/>
  <c r="O290" i="16"/>
  <c r="J196" i="16"/>
  <c r="O296" i="16"/>
  <c r="K113" i="16"/>
  <c r="P113" i="16" s="1"/>
  <c r="O116" i="16"/>
  <c r="J112" i="16"/>
  <c r="J121" i="16"/>
  <c r="J137" i="16"/>
  <c r="O128" i="16"/>
  <c r="O161" i="16"/>
  <c r="O164" i="16"/>
  <c r="I170" i="16"/>
  <c r="P170" i="16" s="1"/>
  <c r="M170" i="16"/>
  <c r="O170" i="16" s="1"/>
  <c r="H188" i="16"/>
  <c r="G188" i="16"/>
  <c r="I304" i="16"/>
  <c r="P304" i="16" s="1"/>
  <c r="H304" i="16"/>
  <c r="G304" i="16"/>
  <c r="M194" i="16"/>
  <c r="O194" i="16" s="1"/>
  <c r="H194" i="16"/>
  <c r="G194" i="16"/>
  <c r="O31" i="16"/>
  <c r="O232" i="16"/>
  <c r="M201" i="16"/>
  <c r="O201" i="16" s="1"/>
  <c r="I201" i="16"/>
  <c r="P201" i="16" s="1"/>
  <c r="H201" i="16"/>
  <c r="G201" i="16"/>
  <c r="O267" i="16"/>
  <c r="O292" i="16"/>
  <c r="O153" i="16"/>
  <c r="O184" i="16"/>
  <c r="M212" i="16"/>
  <c r="O212" i="16" s="1"/>
  <c r="I212" i="16"/>
  <c r="P212" i="16" s="1"/>
  <c r="I285" i="16"/>
  <c r="P285" i="16" s="1"/>
  <c r="H285" i="16"/>
  <c r="K86" i="16"/>
  <c r="P86" i="16" s="1"/>
  <c r="M111" i="16"/>
  <c r="O111" i="16" s="1"/>
  <c r="H111" i="16"/>
  <c r="O64" i="16"/>
  <c r="M235" i="16"/>
  <c r="O235" i="16" s="1"/>
  <c r="I235" i="16"/>
  <c r="P235" i="16" s="1"/>
  <c r="H235" i="16"/>
  <c r="O251" i="16"/>
  <c r="O262" i="16"/>
  <c r="M418" i="16"/>
  <c r="H418" i="16"/>
  <c r="G418" i="16"/>
  <c r="O268" i="16"/>
  <c r="M293" i="16"/>
  <c r="O293" i="16" s="1"/>
  <c r="G293" i="16"/>
  <c r="M305" i="16"/>
  <c r="O305" i="16" s="1"/>
  <c r="I305" i="16"/>
  <c r="P305" i="16" s="1"/>
  <c r="H305" i="16"/>
  <c r="G305" i="16"/>
  <c r="O264" i="16"/>
  <c r="K19" i="16"/>
  <c r="P19" i="16" s="1"/>
  <c r="O20" i="16"/>
  <c r="O287" i="16"/>
  <c r="J74" i="16"/>
  <c r="O79" i="16"/>
  <c r="O182" i="16"/>
  <c r="K93" i="16"/>
  <c r="P93" i="16" s="1"/>
  <c r="J102" i="16"/>
  <c r="K105" i="16"/>
  <c r="P105" i="16" s="1"/>
  <c r="J26" i="16"/>
  <c r="J30" i="16"/>
  <c r="J42" i="16"/>
  <c r="O47" i="16"/>
  <c r="K14" i="16"/>
  <c r="P14" i="16" s="1"/>
  <c r="O350" i="16"/>
  <c r="J39" i="16"/>
  <c r="O84" i="16"/>
  <c r="J90" i="16"/>
  <c r="O93" i="16"/>
  <c r="J101" i="16"/>
  <c r="K101" i="16"/>
  <c r="P101" i="16" s="1"/>
  <c r="O105" i="16"/>
  <c r="K145" i="16"/>
  <c r="P145" i="16" s="1"/>
  <c r="J145" i="16"/>
  <c r="O19" i="16"/>
  <c r="O372" i="16"/>
  <c r="O334" i="16"/>
  <c r="J89" i="16"/>
  <c r="O17" i="16"/>
  <c r="K231" i="16"/>
  <c r="P231" i="16" s="1"/>
  <c r="J156" i="16"/>
  <c r="J32" i="16"/>
  <c r="J414" i="16"/>
  <c r="J51" i="16"/>
  <c r="K61" i="16"/>
  <c r="P61" i="16" s="1"/>
  <c r="J8" i="16"/>
  <c r="K69" i="16"/>
  <c r="P69" i="16" s="1"/>
  <c r="O74" i="16"/>
  <c r="J83" i="16"/>
  <c r="K142" i="16"/>
  <c r="P142" i="16" s="1"/>
  <c r="J142" i="16"/>
  <c r="K21" i="16"/>
  <c r="P21" i="16" s="1"/>
  <c r="J177" i="16"/>
  <c r="J29" i="16"/>
  <c r="K187" i="16"/>
  <c r="P187" i="16" s="1"/>
  <c r="J65" i="16"/>
  <c r="O39" i="16"/>
  <c r="J107" i="16"/>
  <c r="J10" i="16"/>
  <c r="O16" i="16"/>
  <c r="O156" i="16"/>
  <c r="J28" i="16"/>
  <c r="J40" i="16"/>
  <c r="J50" i="16"/>
  <c r="J59" i="16"/>
  <c r="J68" i="16"/>
  <c r="J82" i="16"/>
  <c r="J97" i="16"/>
  <c r="J106" i="16"/>
  <c r="K278" i="16"/>
  <c r="P278" i="16" s="1"/>
  <c r="J52" i="16"/>
  <c r="K52" i="16"/>
  <c r="P52" i="16" s="1"/>
  <c r="K330" i="16"/>
  <c r="P330" i="16" s="1"/>
  <c r="J87" i="16"/>
  <c r="K87" i="16"/>
  <c r="P87" i="16" s="1"/>
  <c r="O147" i="16"/>
  <c r="I242" i="16"/>
  <c r="P242" i="16" s="1"/>
  <c r="H242" i="16"/>
  <c r="G242" i="16"/>
  <c r="I258" i="16"/>
  <c r="P258" i="16" s="1"/>
  <c r="H258" i="16"/>
  <c r="G258" i="16"/>
  <c r="M371" i="16"/>
  <c r="O371" i="16" s="1"/>
  <c r="I371" i="16"/>
  <c r="P371" i="16" s="1"/>
  <c r="H371" i="16"/>
  <c r="M275" i="16"/>
  <c r="O275" i="16" s="1"/>
  <c r="I275" i="16"/>
  <c r="P275" i="16" s="1"/>
  <c r="H275" i="16"/>
  <c r="G275" i="16"/>
  <c r="M24" i="16"/>
  <c r="O24" i="16" s="1"/>
  <c r="I24" i="16"/>
  <c r="P24" i="16" s="1"/>
  <c r="I181" i="16"/>
  <c r="P181" i="16" s="1"/>
  <c r="H181" i="16"/>
  <c r="G181" i="16"/>
  <c r="K20" i="16"/>
  <c r="P20" i="16" s="1"/>
  <c r="Q18" i="16"/>
  <c r="K53" i="16"/>
  <c r="P53" i="16" s="1"/>
  <c r="Q62" i="16"/>
  <c r="O8" i="16"/>
  <c r="Q58" i="16"/>
  <c r="O75" i="16"/>
  <c r="O77" i="16"/>
  <c r="O83" i="16"/>
  <c r="O95" i="16"/>
  <c r="O100" i="16"/>
  <c r="O107" i="16"/>
  <c r="O52" i="16"/>
  <c r="O120" i="16"/>
  <c r="K125" i="16"/>
  <c r="P125" i="16" s="1"/>
  <c r="O253" i="16"/>
  <c r="O131" i="16"/>
  <c r="O130" i="16"/>
  <c r="J162" i="16"/>
  <c r="H180" i="16"/>
  <c r="G180" i="16"/>
  <c r="M252" i="16"/>
  <c r="O252" i="16" s="1"/>
  <c r="I252" i="16"/>
  <c r="P252" i="16" s="1"/>
  <c r="G252" i="16"/>
  <c r="H263" i="16"/>
  <c r="G263" i="16"/>
  <c r="I312" i="16"/>
  <c r="P312" i="16" s="1"/>
  <c r="M312" i="16"/>
  <c r="O312" i="16" s="1"/>
  <c r="G312" i="16"/>
  <c r="G111" i="16"/>
  <c r="I190" i="16"/>
  <c r="P190" i="16" s="1"/>
  <c r="M202" i="16"/>
  <c r="O202" i="16" s="1"/>
  <c r="I202" i="16"/>
  <c r="P202" i="16" s="1"/>
  <c r="G202" i="16"/>
  <c r="M218" i="16"/>
  <c r="O218" i="16" s="1"/>
  <c r="I218" i="16"/>
  <c r="P218" i="16" s="1"/>
  <c r="G218" i="16"/>
  <c r="G235" i="16"/>
  <c r="M260" i="16"/>
  <c r="O260" i="16" s="1"/>
  <c r="I260" i="16"/>
  <c r="P260" i="16" s="1"/>
  <c r="H260" i="16"/>
  <c r="I261" i="16"/>
  <c r="P261" i="16" s="1"/>
  <c r="I418" i="16"/>
  <c r="P418" i="16" s="1"/>
  <c r="M286" i="16"/>
  <c r="O286" i="16" s="1"/>
  <c r="G286" i="16"/>
  <c r="O157" i="16"/>
  <c r="M266" i="16"/>
  <c r="O266" i="16" s="1"/>
  <c r="I266" i="16"/>
  <c r="P266" i="16" s="1"/>
  <c r="H266" i="16"/>
  <c r="M234" i="16"/>
  <c r="O234" i="16" s="1"/>
  <c r="H234" i="16"/>
  <c r="G174" i="16"/>
  <c r="M174" i="16"/>
  <c r="O174" i="16" s="1"/>
  <c r="I174" i="16"/>
  <c r="P174" i="16" s="1"/>
  <c r="H174" i="16"/>
  <c r="M242" i="16"/>
  <c r="O242" i="16" s="1"/>
  <c r="G60" i="16"/>
  <c r="I60" i="16"/>
  <c r="P60" i="16" s="1"/>
  <c r="H60" i="16"/>
  <c r="M258" i="16"/>
  <c r="O258" i="16" s="1"/>
  <c r="O418" i="16"/>
  <c r="G371" i="16"/>
  <c r="G24" i="16"/>
  <c r="M219" i="16"/>
  <c r="O219" i="16" s="1"/>
  <c r="I219" i="16"/>
  <c r="P219" i="16" s="1"/>
  <c r="H219" i="16"/>
  <c r="G295" i="16"/>
  <c r="Q93" i="16"/>
  <c r="K159" i="16"/>
  <c r="P159" i="16" s="1"/>
  <c r="J159" i="16"/>
  <c r="O167" i="16"/>
  <c r="O169" i="16"/>
  <c r="O172" i="16"/>
  <c r="I180" i="16"/>
  <c r="P180" i="16" s="1"/>
  <c r="M126" i="16"/>
  <c r="O126" i="16" s="1"/>
  <c r="I126" i="16"/>
  <c r="P126" i="16" s="1"/>
  <c r="M211" i="16"/>
  <c r="O211" i="16" s="1"/>
  <c r="M236" i="16"/>
  <c r="O236" i="16" s="1"/>
  <c r="I236" i="16"/>
  <c r="P236" i="16" s="1"/>
  <c r="I263" i="16"/>
  <c r="P263" i="16" s="1"/>
  <c r="I265" i="16"/>
  <c r="P265" i="16" s="1"/>
  <c r="H265" i="16"/>
  <c r="M276" i="16"/>
  <c r="O276" i="16" s="1"/>
  <c r="H276" i="16"/>
  <c r="G276" i="16"/>
  <c r="O365" i="16"/>
  <c r="O376" i="16"/>
  <c r="O399" i="16"/>
  <c r="O400" i="16"/>
  <c r="I408" i="16"/>
  <c r="P408" i="16" s="1"/>
  <c r="H416" i="16"/>
  <c r="I416" i="16"/>
  <c r="P416" i="16" s="1"/>
  <c r="O124" i="16"/>
  <c r="O185" i="16"/>
  <c r="O327" i="16"/>
  <c r="O204" i="16"/>
  <c r="I207" i="16"/>
  <c r="P207" i="16" s="1"/>
  <c r="O151" i="16"/>
  <c r="I215" i="16"/>
  <c r="P215" i="16" s="1"/>
  <c r="M44" i="16"/>
  <c r="O44" i="16" s="1"/>
  <c r="I271" i="16"/>
  <c r="P271" i="16" s="1"/>
  <c r="I272" i="16"/>
  <c r="P272" i="16" s="1"/>
  <c r="H315" i="16"/>
  <c r="G316" i="16"/>
  <c r="I320" i="16"/>
  <c r="P320" i="16" s="1"/>
  <c r="I321" i="16"/>
  <c r="P321" i="16" s="1"/>
  <c r="I15" i="16"/>
  <c r="P15" i="16" s="1"/>
  <c r="I331" i="16"/>
  <c r="P331" i="16" s="1"/>
  <c r="H344" i="16"/>
  <c r="G347" i="16"/>
  <c r="I357" i="16"/>
  <c r="P357" i="16" s="1"/>
  <c r="I360" i="16"/>
  <c r="P360" i="16" s="1"/>
  <c r="H363" i="16"/>
  <c r="G373" i="16"/>
  <c r="G381" i="16"/>
  <c r="G382" i="16"/>
  <c r="H389" i="16"/>
  <c r="H390" i="16"/>
  <c r="G397" i="16"/>
  <c r="G398" i="16"/>
  <c r="I402" i="16"/>
  <c r="P402" i="16" s="1"/>
  <c r="I403" i="16"/>
  <c r="P403" i="16" s="1"/>
  <c r="H411" i="16"/>
  <c r="M416" i="16"/>
  <c r="O416" i="16" s="1"/>
  <c r="J158" i="16"/>
  <c r="J161" i="16"/>
  <c r="O168" i="16"/>
  <c r="O283" i="16"/>
  <c r="O221" i="16"/>
  <c r="I315" i="16"/>
  <c r="P315" i="16" s="1"/>
  <c r="H316" i="16"/>
  <c r="G328" i="16"/>
  <c r="G329" i="16"/>
  <c r="G336" i="16"/>
  <c r="G337" i="16"/>
  <c r="I343" i="16"/>
  <c r="P343" i="16" s="1"/>
  <c r="I344" i="16"/>
  <c r="P344" i="16" s="1"/>
  <c r="H347" i="16"/>
  <c r="I363" i="16"/>
  <c r="P363" i="16" s="1"/>
  <c r="O165" i="16"/>
  <c r="H373" i="16"/>
  <c r="H381" i="16"/>
  <c r="H382" i="16"/>
  <c r="O387" i="16"/>
  <c r="I389" i="16"/>
  <c r="P389" i="16" s="1"/>
  <c r="H397" i="16"/>
  <c r="H398" i="16"/>
  <c r="G405" i="16"/>
  <c r="G406" i="16"/>
  <c r="I410" i="16"/>
  <c r="P410" i="16" s="1"/>
  <c r="I411" i="16"/>
  <c r="P411" i="16" s="1"/>
  <c r="O210" i="16"/>
  <c r="O127" i="16"/>
  <c r="O132" i="16"/>
  <c r="K141" i="16"/>
  <c r="P141" i="16" s="1"/>
  <c r="O145" i="16"/>
  <c r="O159" i="16"/>
  <c r="O71" i="16"/>
  <c r="H328" i="16"/>
  <c r="H336" i="16"/>
  <c r="I347" i="16"/>
  <c r="P347" i="16" s="1"/>
  <c r="H354" i="16"/>
  <c r="G355" i="16"/>
  <c r="I373" i="16"/>
  <c r="P373" i="16" s="1"/>
  <c r="I381" i="16"/>
  <c r="P381" i="16" s="1"/>
  <c r="G384" i="16"/>
  <c r="G392" i="16"/>
  <c r="H405" i="16"/>
  <c r="H406" i="16"/>
  <c r="G413" i="16"/>
  <c r="G277" i="16"/>
  <c r="I178" i="16"/>
  <c r="P178" i="16" s="1"/>
  <c r="H173" i="16"/>
  <c r="O288" i="16"/>
  <c r="O193" i="16"/>
  <c r="I328" i="16"/>
  <c r="P328" i="16" s="1"/>
  <c r="I336" i="16"/>
  <c r="P336" i="16" s="1"/>
  <c r="I354" i="16"/>
  <c r="P354" i="16" s="1"/>
  <c r="H355" i="16"/>
  <c r="H384" i="16"/>
  <c r="H392" i="16"/>
  <c r="H413" i="16"/>
  <c r="H277" i="16"/>
  <c r="O311" i="16"/>
  <c r="I355" i="16"/>
  <c r="P355" i="16" s="1"/>
  <c r="I384" i="16"/>
  <c r="P384" i="16" s="1"/>
  <c r="I392" i="16"/>
  <c r="P392" i="16" s="1"/>
  <c r="I413" i="16"/>
  <c r="P413" i="16" s="1"/>
  <c r="O299" i="16"/>
  <c r="O375" i="16"/>
  <c r="O391" i="16"/>
  <c r="H208" i="15"/>
  <c r="H230" i="15"/>
  <c r="G221" i="15"/>
  <c r="H233" i="15"/>
  <c r="I221" i="15"/>
  <c r="P221" i="15" s="1"/>
  <c r="H212" i="15"/>
  <c r="I215" i="15"/>
  <c r="P215" i="15" s="1"/>
  <c r="H229" i="15"/>
  <c r="G246" i="15"/>
  <c r="I269" i="15"/>
  <c r="P269" i="15" s="1"/>
  <c r="I289" i="15"/>
  <c r="P289" i="15" s="1"/>
  <c r="I307" i="15"/>
  <c r="P307" i="15" s="1"/>
  <c r="G332" i="15"/>
  <c r="I350" i="15"/>
  <c r="P350" i="15" s="1"/>
  <c r="H163" i="15"/>
  <c r="I208" i="15"/>
  <c r="P208" i="15" s="1"/>
  <c r="I304" i="15"/>
  <c r="P304" i="15" s="1"/>
  <c r="G236" i="15"/>
  <c r="H158" i="15"/>
  <c r="G208" i="15"/>
  <c r="G230" i="15"/>
  <c r="G253" i="15"/>
  <c r="G261" i="15"/>
  <c r="I317" i="15"/>
  <c r="P317" i="15" s="1"/>
  <c r="G358" i="15"/>
  <c r="H260" i="15"/>
  <c r="I260" i="15"/>
  <c r="P260" i="15" s="1"/>
  <c r="H173" i="15"/>
  <c r="H191" i="15"/>
  <c r="G175" i="15"/>
  <c r="I234" i="15"/>
  <c r="P234" i="15" s="1"/>
  <c r="G275" i="15"/>
  <c r="G290" i="15"/>
  <c r="H201" i="15"/>
  <c r="H218" i="15"/>
  <c r="H275" i="15"/>
  <c r="I224" i="15"/>
  <c r="P224" i="15" s="1"/>
  <c r="G268" i="15"/>
  <c r="I275" i="15"/>
  <c r="P275" i="15" s="1"/>
  <c r="G282" i="15"/>
  <c r="G297" i="15"/>
  <c r="H358" i="15"/>
  <c r="K79" i="16"/>
  <c r="P79" i="16" s="1"/>
  <c r="J79" i="16"/>
  <c r="J66" i="16"/>
  <c r="K171" i="16"/>
  <c r="P171" i="16" s="1"/>
  <c r="K100" i="16"/>
  <c r="P100" i="16" s="1"/>
  <c r="J100" i="16"/>
  <c r="J11" i="16"/>
  <c r="J12" i="16"/>
  <c r="J13" i="16"/>
  <c r="J200" i="16"/>
  <c r="K287" i="16"/>
  <c r="P287" i="16" s="1"/>
  <c r="J136" i="16"/>
  <c r="K33" i="16"/>
  <c r="P33" i="16" s="1"/>
  <c r="J110" i="16"/>
  <c r="K205" i="16"/>
  <c r="P205" i="16" s="1"/>
  <c r="K118" i="16"/>
  <c r="P118" i="16" s="1"/>
  <c r="J76" i="16"/>
  <c r="K77" i="16"/>
  <c r="P77" i="16" s="1"/>
  <c r="K43" i="16"/>
  <c r="P43" i="16" s="1"/>
  <c r="K108" i="16"/>
  <c r="P108" i="16" s="1"/>
  <c r="J108" i="16"/>
  <c r="J264" i="16"/>
  <c r="J150" i="16"/>
  <c r="Q416" i="16"/>
  <c r="Q408" i="16"/>
  <c r="Q400" i="16"/>
  <c r="Q392" i="16"/>
  <c r="Q384" i="16"/>
  <c r="Q413" i="16"/>
  <c r="Q406" i="16"/>
  <c r="Q376" i="16"/>
  <c r="Q355" i="16"/>
  <c r="Q409" i="16"/>
  <c r="Q387" i="16"/>
  <c r="Q411" i="16"/>
  <c r="Q390" i="16"/>
  <c r="Q133" i="16"/>
  <c r="Q165" i="16"/>
  <c r="Q277" i="16"/>
  <c r="Q368" i="16"/>
  <c r="Q417" i="16"/>
  <c r="Q395" i="16"/>
  <c r="Q419" i="16"/>
  <c r="Q398" i="16"/>
  <c r="Q396" i="16"/>
  <c r="Q363" i="16"/>
  <c r="Q401" i="16"/>
  <c r="Q403" i="16"/>
  <c r="Q382" i="16"/>
  <c r="Q379" i="16"/>
  <c r="Q360" i="16"/>
  <c r="Q344" i="16"/>
  <c r="Q361" i="16"/>
  <c r="Q353" i="16"/>
  <c r="Q347" i="16"/>
  <c r="Q328" i="16"/>
  <c r="Q320" i="16"/>
  <c r="Q315" i="16"/>
  <c r="Q140" i="16"/>
  <c r="Q348" i="16"/>
  <c r="Q339" i="16"/>
  <c r="Q336" i="16"/>
  <c r="Q290" i="16"/>
  <c r="Q352" i="16"/>
  <c r="Q305" i="16"/>
  <c r="Q199" i="16"/>
  <c r="Q324" i="16"/>
  <c r="Q258" i="16"/>
  <c r="Q323" i="16"/>
  <c r="Q371" i="16"/>
  <c r="Q321" i="16"/>
  <c r="Q73" i="16"/>
  <c r="Q232" i="16"/>
  <c r="Q215" i="16"/>
  <c r="Q326" i="16"/>
  <c r="Q318" i="16"/>
  <c r="Q310" i="16"/>
  <c r="Q181" i="16"/>
  <c r="Q219" i="16"/>
  <c r="Q388" i="16"/>
  <c r="Q307" i="16"/>
  <c r="Q289" i="16"/>
  <c r="Q275" i="16"/>
  <c r="Q418" i="16"/>
  <c r="Q201" i="16"/>
  <c r="Q169" i="16"/>
  <c r="Q331" i="16"/>
  <c r="Q286" i="16"/>
  <c r="Q284" i="16"/>
  <c r="Q281" i="16"/>
  <c r="Q280" i="16"/>
  <c r="Q274" i="16"/>
  <c r="Q273" i="16"/>
  <c r="Q272" i="16"/>
  <c r="Q262" i="16"/>
  <c r="Q243" i="16"/>
  <c r="Q242" i="16"/>
  <c r="Q335" i="16"/>
  <c r="Q162" i="16"/>
  <c r="Q154" i="16"/>
  <c r="Q146" i="16"/>
  <c r="Q138" i="16"/>
  <c r="Q72" i="16"/>
  <c r="Q122" i="16"/>
  <c r="Q114" i="16"/>
  <c r="Q106" i="16"/>
  <c r="Q98" i="16"/>
  <c r="Q90" i="16"/>
  <c r="Q82" i="16"/>
  <c r="Q74" i="16"/>
  <c r="Q8" i="16"/>
  <c r="Q251" i="16"/>
  <c r="Q250" i="16"/>
  <c r="Q238" i="16"/>
  <c r="Q213" i="16"/>
  <c r="Q37" i="16"/>
  <c r="Q327" i="16"/>
  <c r="Q126" i="16"/>
  <c r="Q180" i="16"/>
  <c r="Q161" i="16"/>
  <c r="Q153" i="16"/>
  <c r="Q145" i="16"/>
  <c r="Q137" i="16"/>
  <c r="Q217" i="16"/>
  <c r="Q121" i="16"/>
  <c r="Q113" i="16"/>
  <c r="Q105" i="16"/>
  <c r="Q97" i="16"/>
  <c r="Q89" i="16"/>
  <c r="Q81" i="16"/>
  <c r="Q39" i="16"/>
  <c r="Q65" i="16"/>
  <c r="Q57" i="16"/>
  <c r="Q63" i="16"/>
  <c r="Q23" i="16"/>
  <c r="Q168" i="16"/>
  <c r="Q160" i="16"/>
  <c r="Q152" i="16"/>
  <c r="Q130" i="16"/>
  <c r="Q87" i="16"/>
  <c r="Q249" i="16"/>
  <c r="Q194" i="16"/>
  <c r="Q204" i="16"/>
  <c r="Q269" i="16"/>
  <c r="Q111" i="16"/>
  <c r="Q172" i="16"/>
  <c r="Q167" i="16"/>
  <c r="Q159" i="16"/>
  <c r="Q128" i="16"/>
  <c r="Q143" i="16"/>
  <c r="Q135" i="16"/>
  <c r="Q127" i="16"/>
  <c r="Q119" i="16"/>
  <c r="Q296" i="16"/>
  <c r="Q103" i="16"/>
  <c r="Q95" i="16"/>
  <c r="Q334" i="16"/>
  <c r="Q245" i="16"/>
  <c r="Q166" i="16"/>
  <c r="Q158" i="16"/>
  <c r="Q91" i="16"/>
  <c r="Q142" i="16"/>
  <c r="Q134" i="16"/>
  <c r="Q317" i="16"/>
  <c r="Q112" i="16"/>
  <c r="Q196" i="16"/>
  <c r="Q102" i="16"/>
  <c r="Q94" i="16"/>
  <c r="Q235" i="16"/>
  <c r="Q233" i="16"/>
  <c r="Q220" i="16"/>
  <c r="Q349" i="16"/>
  <c r="Q183" i="16"/>
  <c r="Q302" i="16"/>
  <c r="Q157" i="16"/>
  <c r="Q149" i="16"/>
  <c r="Q141" i="16"/>
  <c r="Q330" i="16"/>
  <c r="Q125" i="16"/>
  <c r="Q225" i="16"/>
  <c r="Q224" i="16"/>
  <c r="Q222" i="16"/>
  <c r="Q221" i="16"/>
  <c r="Q9" i="16"/>
  <c r="Q164" i="16"/>
  <c r="Q367" i="16"/>
  <c r="Q48" i="16"/>
  <c r="Q36" i="16"/>
  <c r="Q207" i="16"/>
  <c r="Q188" i="16"/>
  <c r="Q175" i="16"/>
  <c r="Q163" i="16"/>
  <c r="Q155" i="16"/>
  <c r="Q147" i="16"/>
  <c r="Q139" i="16"/>
  <c r="Q131" i="16"/>
  <c r="Q123" i="16"/>
  <c r="Q115" i="16"/>
  <c r="Q107" i="16"/>
  <c r="Q99" i="16"/>
  <c r="Q182" i="16"/>
  <c r="Q83" i="16"/>
  <c r="Q75" i="16"/>
  <c r="Q67" i="16"/>
  <c r="Q59" i="16"/>
  <c r="Q51" i="16"/>
  <c r="Q110" i="16"/>
  <c r="Q35" i="16"/>
  <c r="Q27" i="16"/>
  <c r="Q19" i="16"/>
  <c r="Q11" i="16"/>
  <c r="Q66" i="16"/>
  <c r="Q171" i="16"/>
  <c r="Q30" i="16"/>
  <c r="Q205" i="16"/>
  <c r="Q118" i="16"/>
  <c r="Q227" i="16"/>
  <c r="Q47" i="16"/>
  <c r="Q177" i="16"/>
  <c r="K306" i="16"/>
  <c r="P306" i="16" s="1"/>
  <c r="J306" i="16"/>
  <c r="Q76" i="16"/>
  <c r="Q77" i="16"/>
  <c r="Q78" i="16"/>
  <c r="Q43" i="16"/>
  <c r="K296" i="16"/>
  <c r="P296" i="16" s="1"/>
  <c r="J296" i="16"/>
  <c r="Q179" i="16"/>
  <c r="Q116" i="16"/>
  <c r="Q124" i="16"/>
  <c r="K127" i="16"/>
  <c r="P127" i="16" s="1"/>
  <c r="J127" i="16"/>
  <c r="Q10" i="16"/>
  <c r="Q12" i="16"/>
  <c r="Q13" i="16"/>
  <c r="O21" i="16"/>
  <c r="J291" i="16"/>
  <c r="K25" i="16"/>
  <c r="P25" i="16" s="1"/>
  <c r="Q287" i="16"/>
  <c r="Q136" i="16"/>
  <c r="Q33" i="16"/>
  <c r="Q42" i="16"/>
  <c r="J55" i="16"/>
  <c r="K350" i="16"/>
  <c r="P350" i="16" s="1"/>
  <c r="K57" i="16"/>
  <c r="P57" i="16" s="1"/>
  <c r="J70" i="16"/>
  <c r="Q84" i="16"/>
  <c r="Q86" i="16"/>
  <c r="J115" i="16"/>
  <c r="K119" i="16"/>
  <c r="P119" i="16" s="1"/>
  <c r="J119" i="16"/>
  <c r="Q120" i="16"/>
  <c r="K123" i="16"/>
  <c r="P123" i="16" s="1"/>
  <c r="J123" i="16"/>
  <c r="Q46" i="16"/>
  <c r="Q240" i="16"/>
  <c r="K92" i="16"/>
  <c r="P92" i="16" s="1"/>
  <c r="J92" i="16"/>
  <c r="J227" i="16"/>
  <c r="K47" i="16"/>
  <c r="P47" i="16" s="1"/>
  <c r="J78" i="16"/>
  <c r="K334" i="16"/>
  <c r="P334" i="16" s="1"/>
  <c r="J334" i="16"/>
  <c r="J67" i="16"/>
  <c r="J35" i="16"/>
  <c r="J18" i="16"/>
  <c r="J38" i="16"/>
  <c r="K45" i="16"/>
  <c r="P45" i="16" s="1"/>
  <c r="K23" i="16"/>
  <c r="P23" i="16" s="1"/>
  <c r="K116" i="16"/>
  <c r="P116" i="16" s="1"/>
  <c r="J116" i="16"/>
  <c r="J16" i="16"/>
  <c r="K17" i="16"/>
  <c r="P17" i="16" s="1"/>
  <c r="Q156" i="16"/>
  <c r="Q291" i="16"/>
  <c r="Q25" i="16"/>
  <c r="Q14" i="16"/>
  <c r="Q53" i="16"/>
  <c r="Q55" i="16"/>
  <c r="Q350" i="16"/>
  <c r="Q29" i="16"/>
  <c r="K372" i="16"/>
  <c r="P372" i="16" s="1"/>
  <c r="J372" i="16"/>
  <c r="Q68" i="16"/>
  <c r="Q69" i="16"/>
  <c r="Q70" i="16"/>
  <c r="J75" i="16"/>
  <c r="Q80" i="16"/>
  <c r="J84" i="16"/>
  <c r="J182" i="16"/>
  <c r="K95" i="16"/>
  <c r="P95" i="16" s="1"/>
  <c r="J95" i="16"/>
  <c r="Q96" i="16"/>
  <c r="Q100" i="16"/>
  <c r="Q278" i="16"/>
  <c r="Q132" i="16"/>
  <c r="Q26" i="16"/>
  <c r="Q28" i="16"/>
  <c r="Q32" i="16"/>
  <c r="O18" i="16"/>
  <c r="Q50" i="16"/>
  <c r="J62" i="16"/>
  <c r="Q79" i="16"/>
  <c r="J99" i="16"/>
  <c r="K103" i="16"/>
  <c r="P103" i="16" s="1"/>
  <c r="J103" i="16"/>
  <c r="Q104" i="16"/>
  <c r="Q108" i="16"/>
  <c r="Q52" i="16"/>
  <c r="Q253" i="16"/>
  <c r="K131" i="16"/>
  <c r="P131" i="16" s="1"/>
  <c r="J131" i="16"/>
  <c r="Q239" i="16"/>
  <c r="K63" i="16"/>
  <c r="P63" i="16" s="1"/>
  <c r="K241" i="16"/>
  <c r="P241" i="16" s="1"/>
  <c r="K58" i="16"/>
  <c r="P58" i="16" s="1"/>
  <c r="K80" i="16"/>
  <c r="P80" i="16" s="1"/>
  <c r="K210" i="16"/>
  <c r="P210" i="16" s="1"/>
  <c r="K96" i="16"/>
  <c r="P96" i="16" s="1"/>
  <c r="K104" i="16"/>
  <c r="P104" i="16" s="1"/>
  <c r="K179" i="16"/>
  <c r="P179" i="16" s="1"/>
  <c r="K120" i="16"/>
  <c r="P120" i="16" s="1"/>
  <c r="K253" i="16"/>
  <c r="P253" i="16" s="1"/>
  <c r="K130" i="16"/>
  <c r="P130" i="16" s="1"/>
  <c r="K152" i="16"/>
  <c r="P152" i="16" s="1"/>
  <c r="K160" i="16"/>
  <c r="P160" i="16" s="1"/>
  <c r="K168" i="16"/>
  <c r="P168" i="16" s="1"/>
  <c r="J169" i="16"/>
  <c r="Q170" i="16"/>
  <c r="I111" i="16"/>
  <c r="P111" i="16" s="1"/>
  <c r="G283" i="16"/>
  <c r="Q283" i="16"/>
  <c r="H185" i="16"/>
  <c r="G126" i="16"/>
  <c r="Q212" i="16"/>
  <c r="O349" i="16"/>
  <c r="I198" i="16"/>
  <c r="P198" i="16" s="1"/>
  <c r="Q304" i="16"/>
  <c r="I194" i="16"/>
  <c r="P194" i="16" s="1"/>
  <c r="I216" i="16"/>
  <c r="P216" i="16" s="1"/>
  <c r="H216" i="16"/>
  <c r="Q216" i="16"/>
  <c r="O220" i="16"/>
  <c r="H228" i="16"/>
  <c r="Q228" i="16"/>
  <c r="M228" i="16"/>
  <c r="O228" i="16" s="1"/>
  <c r="H238" i="16"/>
  <c r="I238" i="16"/>
  <c r="P238" i="16" s="1"/>
  <c r="G238" i="16"/>
  <c r="M248" i="16"/>
  <c r="O248" i="16" s="1"/>
  <c r="Q248" i="16"/>
  <c r="I248" i="16"/>
  <c r="P248" i="16" s="1"/>
  <c r="H248" i="16"/>
  <c r="G248" i="16"/>
  <c r="Q319" i="16"/>
  <c r="G170" i="16"/>
  <c r="H34" i="16"/>
  <c r="I176" i="16"/>
  <c r="P176" i="16" s="1"/>
  <c r="H176" i="16"/>
  <c r="Q176" i="16"/>
  <c r="I185" i="16"/>
  <c r="P185" i="16" s="1"/>
  <c r="M332" i="16"/>
  <c r="O332" i="16" s="1"/>
  <c r="I332" i="16"/>
  <c r="P332" i="16" s="1"/>
  <c r="Q332" i="16"/>
  <c r="G193" i="16"/>
  <c r="H195" i="16"/>
  <c r="G195" i="16"/>
  <c r="Q195" i="16"/>
  <c r="H206" i="16"/>
  <c r="I208" i="16"/>
  <c r="P208" i="16" s="1"/>
  <c r="H208" i="16"/>
  <c r="Q208" i="16"/>
  <c r="H246" i="16"/>
  <c r="Q246" i="16"/>
  <c r="Q218" i="16"/>
  <c r="J139" i="16"/>
  <c r="J147" i="16"/>
  <c r="J155" i="16"/>
  <c r="J163" i="16"/>
  <c r="H170" i="16"/>
  <c r="Q148" i="16"/>
  <c r="I34" i="16"/>
  <c r="P34" i="16" s="1"/>
  <c r="Q266" i="16"/>
  <c r="G209" i="16"/>
  <c r="I288" i="16"/>
  <c r="P288" i="16" s="1"/>
  <c r="G190" i="16"/>
  <c r="Q190" i="16"/>
  <c r="H193" i="16"/>
  <c r="G212" i="16"/>
  <c r="G71" i="16"/>
  <c r="Q202" i="16"/>
  <c r="I206" i="16"/>
  <c r="P206" i="16" s="1"/>
  <c r="Q151" i="16"/>
  <c r="H214" i="16"/>
  <c r="M9" i="16"/>
  <c r="O9" i="16" s="1"/>
  <c r="H9" i="16"/>
  <c r="G9" i="16"/>
  <c r="M222" i="16"/>
  <c r="O222" i="16" s="1"/>
  <c r="H222" i="16"/>
  <c r="G222" i="16"/>
  <c r="Q226" i="16"/>
  <c r="M226" i="16"/>
  <c r="O226" i="16" s="1"/>
  <c r="H226" i="16"/>
  <c r="G226" i="16"/>
  <c r="M46" i="16"/>
  <c r="O46" i="16" s="1"/>
  <c r="Q359" i="16"/>
  <c r="I359" i="16"/>
  <c r="P359" i="16" s="1"/>
  <c r="H359" i="16"/>
  <c r="G359" i="16"/>
  <c r="Q314" i="16"/>
  <c r="J124" i="16"/>
  <c r="J132" i="16"/>
  <c r="J36" i="16"/>
  <c r="J48" i="16"/>
  <c r="J367" i="16"/>
  <c r="J164" i="16"/>
  <c r="I184" i="16"/>
  <c r="P184" i="16" s="1"/>
  <c r="H184" i="16"/>
  <c r="Q184" i="16"/>
  <c r="H212" i="16"/>
  <c r="M197" i="16"/>
  <c r="O197" i="16" s="1"/>
  <c r="I197" i="16"/>
  <c r="P197" i="16" s="1"/>
  <c r="Q197" i="16"/>
  <c r="H203" i="16"/>
  <c r="G203" i="16"/>
  <c r="Q203" i="16"/>
  <c r="Q234" i="16"/>
  <c r="I234" i="16"/>
  <c r="P234" i="16" s="1"/>
  <c r="G234" i="16"/>
  <c r="G247" i="16"/>
  <c r="H247" i="16"/>
  <c r="Q247" i="16"/>
  <c r="M247" i="16"/>
  <c r="O247" i="16" s="1"/>
  <c r="I247" i="16"/>
  <c r="P247" i="16" s="1"/>
  <c r="Q292" i="16"/>
  <c r="J302" i="16"/>
  <c r="Q185" i="16"/>
  <c r="G198" i="16"/>
  <c r="Q198" i="16"/>
  <c r="Q279" i="16"/>
  <c r="I148" i="16"/>
  <c r="P148" i="16" s="1"/>
  <c r="M173" i="16"/>
  <c r="O173" i="16" s="1"/>
  <c r="I173" i="16"/>
  <c r="P173" i="16" s="1"/>
  <c r="Q173" i="16"/>
  <c r="M176" i="16"/>
  <c r="O176" i="16" s="1"/>
  <c r="G266" i="16"/>
  <c r="H64" i="16"/>
  <c r="G64" i="16"/>
  <c r="Q64" i="16"/>
  <c r="H332" i="16"/>
  <c r="H190" i="16"/>
  <c r="I192" i="16"/>
  <c r="P192" i="16" s="1"/>
  <c r="H192" i="16"/>
  <c r="Q192" i="16"/>
  <c r="M195" i="16"/>
  <c r="O195" i="16" s="1"/>
  <c r="H202" i="16"/>
  <c r="M294" i="16"/>
  <c r="O294" i="16" s="1"/>
  <c r="I294" i="16"/>
  <c r="P294" i="16" s="1"/>
  <c r="Q294" i="16"/>
  <c r="M208" i="16"/>
  <c r="O208" i="16" s="1"/>
  <c r="G151" i="16"/>
  <c r="H211" i="16"/>
  <c r="G211" i="16"/>
  <c r="Q211" i="16"/>
  <c r="I246" i="16"/>
  <c r="P246" i="16" s="1"/>
  <c r="H218" i="16"/>
  <c r="I9" i="16"/>
  <c r="P9" i="16" s="1"/>
  <c r="I222" i="16"/>
  <c r="P222" i="16" s="1"/>
  <c r="I226" i="16"/>
  <c r="P226" i="16" s="1"/>
  <c r="I233" i="16"/>
  <c r="P233" i="16" s="1"/>
  <c r="M233" i="16"/>
  <c r="O233" i="16" s="1"/>
  <c r="H233" i="16"/>
  <c r="G233" i="16"/>
  <c r="M359" i="16"/>
  <c r="O359" i="16" s="1"/>
  <c r="Q298" i="16"/>
  <c r="Q41" i="16"/>
  <c r="J135" i="16"/>
  <c r="J143" i="16"/>
  <c r="G34" i="16"/>
  <c r="Q34" i="16"/>
  <c r="Q193" i="16"/>
  <c r="G206" i="16"/>
  <c r="Q206" i="16"/>
  <c r="M230" i="16"/>
  <c r="O230" i="16" s="1"/>
  <c r="I230" i="16"/>
  <c r="P230" i="16" s="1"/>
  <c r="G230" i="16"/>
  <c r="Q230" i="16"/>
  <c r="M240" i="16"/>
  <c r="O240" i="16" s="1"/>
  <c r="G240" i="16"/>
  <c r="H240" i="16"/>
  <c r="H254" i="16"/>
  <c r="I254" i="16"/>
  <c r="P254" i="16" s="1"/>
  <c r="M254" i="16"/>
  <c r="O254" i="16" s="1"/>
  <c r="Q254" i="16"/>
  <c r="Q303" i="16"/>
  <c r="M209" i="16"/>
  <c r="O209" i="16" s="1"/>
  <c r="I209" i="16"/>
  <c r="P209" i="16" s="1"/>
  <c r="Q209" i="16"/>
  <c r="G185" i="16"/>
  <c r="H288" i="16"/>
  <c r="G288" i="16"/>
  <c r="Q288" i="16"/>
  <c r="H198" i="16"/>
  <c r="I71" i="16"/>
  <c r="P71" i="16" s="1"/>
  <c r="H71" i="16"/>
  <c r="Q71" i="16"/>
  <c r="O213" i="16"/>
  <c r="I214" i="16"/>
  <c r="P214" i="16" s="1"/>
  <c r="G214" i="16"/>
  <c r="Q214" i="16"/>
  <c r="I46" i="16"/>
  <c r="P46" i="16" s="1"/>
  <c r="H46" i="16"/>
  <c r="G46" i="16"/>
  <c r="H239" i="16"/>
  <c r="I239" i="16"/>
  <c r="P239" i="16" s="1"/>
  <c r="G239" i="16"/>
  <c r="I251" i="16"/>
  <c r="P251" i="16" s="1"/>
  <c r="G251" i="16"/>
  <c r="H251" i="16"/>
  <c r="Q252" i="16"/>
  <c r="I129" i="16"/>
  <c r="P129" i="16" s="1"/>
  <c r="M129" i="16"/>
  <c r="O129" i="16" s="1"/>
  <c r="Q129" i="16"/>
  <c r="M297" i="16"/>
  <c r="O297" i="16" s="1"/>
  <c r="Q297" i="16"/>
  <c r="G297" i="16"/>
  <c r="H297" i="16"/>
  <c r="Q333" i="16"/>
  <c r="I333" i="16"/>
  <c r="P333" i="16" s="1"/>
  <c r="H333" i="16"/>
  <c r="H351" i="16"/>
  <c r="G351" i="16"/>
  <c r="Q351" i="16"/>
  <c r="M351" i="16"/>
  <c r="O351" i="16" s="1"/>
  <c r="I351" i="16"/>
  <c r="P351" i="16" s="1"/>
  <c r="I213" i="16"/>
  <c r="P213" i="16" s="1"/>
  <c r="I221" i="16"/>
  <c r="P221" i="16" s="1"/>
  <c r="Q223" i="16"/>
  <c r="M225" i="16"/>
  <c r="O225" i="16" s="1"/>
  <c r="Q261" i="16"/>
  <c r="G267" i="16"/>
  <c r="H270" i="16"/>
  <c r="G270" i="16"/>
  <c r="Q270" i="16"/>
  <c r="G88" i="16"/>
  <c r="Q88" i="16"/>
  <c r="M313" i="16"/>
  <c r="O313" i="16" s="1"/>
  <c r="G313" i="16"/>
  <c r="H313" i="16"/>
  <c r="M342" i="16"/>
  <c r="O342" i="16" s="1"/>
  <c r="Q342" i="16"/>
  <c r="G342" i="16"/>
  <c r="H342" i="16"/>
  <c r="Q44" i="16"/>
  <c r="Q31" i="16"/>
  <c r="I243" i="16"/>
  <c r="P243" i="16" s="1"/>
  <c r="H243" i="16"/>
  <c r="M243" i="16"/>
  <c r="O243" i="16" s="1"/>
  <c r="Q244" i="16"/>
  <c r="G244" i="16"/>
  <c r="H259" i="16"/>
  <c r="H262" i="16"/>
  <c r="G262" i="16"/>
  <c r="I262" i="16"/>
  <c r="P262" i="16" s="1"/>
  <c r="Q263" i="16"/>
  <c r="H267" i="16"/>
  <c r="Q271" i="16"/>
  <c r="M273" i="16"/>
  <c r="O273" i="16" s="1"/>
  <c r="H273" i="16"/>
  <c r="G274" i="16"/>
  <c r="I274" i="16"/>
  <c r="P274" i="16" s="1"/>
  <c r="M274" i="16"/>
  <c r="O274" i="16" s="1"/>
  <c r="M281" i="16"/>
  <c r="O281" i="16" s="1"/>
  <c r="G281" i="16"/>
  <c r="H281" i="16"/>
  <c r="G282" i="16"/>
  <c r="Q282" i="16"/>
  <c r="Q285" i="16"/>
  <c r="G285" i="16"/>
  <c r="M285" i="16"/>
  <c r="O285" i="16" s="1"/>
  <c r="H286" i="16"/>
  <c r="I286" i="16"/>
  <c r="P286" i="16" s="1"/>
  <c r="H109" i="16"/>
  <c r="G109" i="16"/>
  <c r="Q109" i="16"/>
  <c r="I314" i="16"/>
  <c r="P314" i="16" s="1"/>
  <c r="H54" i="16"/>
  <c r="Q117" i="16"/>
  <c r="Q255" i="16"/>
  <c r="G261" i="16"/>
  <c r="G265" i="16"/>
  <c r="M265" i="16"/>
  <c r="O265" i="16" s="1"/>
  <c r="Q265" i="16"/>
  <c r="G129" i="16"/>
  <c r="I276" i="16"/>
  <c r="P276" i="16" s="1"/>
  <c r="Q276" i="16"/>
  <c r="Q308" i="16"/>
  <c r="M308" i="16"/>
  <c r="O308" i="16" s="1"/>
  <c r="I280" i="16"/>
  <c r="P280" i="16" s="1"/>
  <c r="G280" i="16"/>
  <c r="H280" i="16"/>
  <c r="I284" i="16"/>
  <c r="P284" i="16" s="1"/>
  <c r="M284" i="16"/>
  <c r="O284" i="16" s="1"/>
  <c r="I297" i="16"/>
  <c r="P297" i="16" s="1"/>
  <c r="O140" i="16"/>
  <c r="Q299" i="16"/>
  <c r="I299" i="16"/>
  <c r="P299" i="16" s="1"/>
  <c r="H299" i="16"/>
  <c r="I41" i="16"/>
  <c r="P41" i="16" s="1"/>
  <c r="M41" i="16"/>
  <c r="O41" i="16" s="1"/>
  <c r="G41" i="16"/>
  <c r="G333" i="16"/>
  <c r="H335" i="16"/>
  <c r="G335" i="16"/>
  <c r="M335" i="16"/>
  <c r="O335" i="16" s="1"/>
  <c r="I223" i="16"/>
  <c r="P223" i="16" s="1"/>
  <c r="Q236" i="16"/>
  <c r="H236" i="16"/>
  <c r="H56" i="16"/>
  <c r="M56" i="16"/>
  <c r="O56" i="16" s="1"/>
  <c r="Q56" i="16"/>
  <c r="H252" i="16"/>
  <c r="Q60" i="16"/>
  <c r="H261" i="16"/>
  <c r="H129" i="16"/>
  <c r="I270" i="16"/>
  <c r="P270" i="16" s="1"/>
  <c r="H279" i="16"/>
  <c r="I279" i="16"/>
  <c r="P279" i="16" s="1"/>
  <c r="M279" i="16"/>
  <c r="O279" i="16" s="1"/>
  <c r="Q293" i="16"/>
  <c r="I293" i="16"/>
  <c r="P293" i="16" s="1"/>
  <c r="H293" i="16"/>
  <c r="H303" i="16"/>
  <c r="I303" i="16"/>
  <c r="P303" i="16" s="1"/>
  <c r="G303" i="16"/>
  <c r="H88" i="16"/>
  <c r="I313" i="16"/>
  <c r="P313" i="16" s="1"/>
  <c r="H319" i="16"/>
  <c r="M319" i="16"/>
  <c r="O319" i="16" s="1"/>
  <c r="G319" i="16"/>
  <c r="M333" i="16"/>
  <c r="O333" i="16" s="1"/>
  <c r="Q341" i="16"/>
  <c r="G341" i="16"/>
  <c r="H341" i="16"/>
  <c r="I341" i="16"/>
  <c r="P341" i="16" s="1"/>
  <c r="I342" i="16"/>
  <c r="P342" i="16" s="1"/>
  <c r="I292" i="16"/>
  <c r="P292" i="16" s="1"/>
  <c r="H292" i="16"/>
  <c r="G292" i="16"/>
  <c r="Q301" i="16"/>
  <c r="M301" i="16"/>
  <c r="O301" i="16" s="1"/>
  <c r="I88" i="16"/>
  <c r="P88" i="16" s="1"/>
  <c r="M345" i="16"/>
  <c r="O345" i="16" s="1"/>
  <c r="I345" i="16"/>
  <c r="P345" i="16" s="1"/>
  <c r="Q345" i="16"/>
  <c r="H345" i="16"/>
  <c r="G345" i="16"/>
  <c r="I267" i="16"/>
  <c r="P267" i="16" s="1"/>
  <c r="Q267" i="16"/>
  <c r="G298" i="16"/>
  <c r="M298" i="16"/>
  <c r="O298" i="16" s="1"/>
  <c r="H298" i="16"/>
  <c r="M88" i="16"/>
  <c r="O88" i="16" s="1"/>
  <c r="Q313" i="16"/>
  <c r="Q54" i="16"/>
  <c r="M54" i="16"/>
  <c r="O54" i="16" s="1"/>
  <c r="M257" i="16"/>
  <c r="O257" i="16" s="1"/>
  <c r="H257" i="16"/>
  <c r="I257" i="16"/>
  <c r="P257" i="16" s="1"/>
  <c r="Q257" i="16"/>
  <c r="I335" i="16"/>
  <c r="P335" i="16" s="1"/>
  <c r="I259" i="16"/>
  <c r="P259" i="16" s="1"/>
  <c r="G259" i="16"/>
  <c r="Q259" i="16"/>
  <c r="G314" i="16"/>
  <c r="M314" i="16"/>
  <c r="O314" i="16" s="1"/>
  <c r="H314" i="16"/>
  <c r="Q325" i="16"/>
  <c r="M325" i="16"/>
  <c r="O325" i="16" s="1"/>
  <c r="I325" i="16"/>
  <c r="P325" i="16" s="1"/>
  <c r="H325" i="16"/>
  <c r="I340" i="16"/>
  <c r="P340" i="16" s="1"/>
  <c r="H340" i="16"/>
  <c r="M340" i="16"/>
  <c r="O340" i="16" s="1"/>
  <c r="G340" i="16"/>
  <c r="Q340" i="16"/>
  <c r="M341" i="16"/>
  <c r="O341" i="16" s="1"/>
  <c r="Q174" i="16"/>
  <c r="O250" i="16"/>
  <c r="Q256" i="16"/>
  <c r="Q268" i="16"/>
  <c r="Q24" i="16"/>
  <c r="H24" i="16"/>
  <c r="M186" i="16"/>
  <c r="O186" i="16" s="1"/>
  <c r="I300" i="16"/>
  <c r="P300" i="16" s="1"/>
  <c r="G300" i="16"/>
  <c r="Q300" i="16"/>
  <c r="M181" i="16"/>
  <c r="O181" i="16" s="1"/>
  <c r="I316" i="16"/>
  <c r="P316" i="16" s="1"/>
  <c r="Q316" i="16"/>
  <c r="M318" i="16"/>
  <c r="O318" i="16" s="1"/>
  <c r="M329" i="16"/>
  <c r="O329" i="16" s="1"/>
  <c r="I329" i="16"/>
  <c r="P329" i="16" s="1"/>
  <c r="Q329" i="16"/>
  <c r="O336" i="16"/>
  <c r="G346" i="16"/>
  <c r="Q346" i="16"/>
  <c r="M346" i="16"/>
  <c r="O346" i="16" s="1"/>
  <c r="I346" i="16"/>
  <c r="P346" i="16" s="1"/>
  <c r="H295" i="16"/>
  <c r="M295" i="16"/>
  <c r="O295" i="16" s="1"/>
  <c r="Q295" i="16"/>
  <c r="H311" i="16"/>
  <c r="G311" i="16"/>
  <c r="Q311" i="16"/>
  <c r="G322" i="16"/>
  <c r="I322" i="16"/>
  <c r="P322" i="16" s="1"/>
  <c r="Q322" i="16"/>
  <c r="G326" i="16"/>
  <c r="I117" i="16"/>
  <c r="P117" i="16" s="1"/>
  <c r="H117" i="16"/>
  <c r="Q366" i="16"/>
  <c r="Q186" i="16"/>
  <c r="Q312" i="16"/>
  <c r="G338" i="16"/>
  <c r="Q338" i="16"/>
  <c r="H338" i="16"/>
  <c r="Q357" i="16"/>
  <c r="M358" i="16"/>
  <c r="O358" i="16" s="1"/>
  <c r="I358" i="16"/>
  <c r="P358" i="16" s="1"/>
  <c r="H358" i="16"/>
  <c r="Q358" i="16"/>
  <c r="G358" i="16"/>
  <c r="Q260" i="16"/>
  <c r="Q229" i="16"/>
  <c r="I186" i="16"/>
  <c r="P186" i="16" s="1"/>
  <c r="H312" i="16"/>
  <c r="H318" i="16"/>
  <c r="M326" i="16"/>
  <c r="O326" i="16" s="1"/>
  <c r="H326" i="16"/>
  <c r="G388" i="16"/>
  <c r="M388" i="16"/>
  <c r="O388" i="16" s="1"/>
  <c r="H388" i="16"/>
  <c r="I356" i="16"/>
  <c r="P356" i="16" s="1"/>
  <c r="H356" i="16"/>
  <c r="G356" i="16"/>
  <c r="Q356" i="16"/>
  <c r="I364" i="16"/>
  <c r="P364" i="16" s="1"/>
  <c r="H364" i="16"/>
  <c r="G364" i="16"/>
  <c r="M364" i="16"/>
  <c r="O364" i="16" s="1"/>
  <c r="Q364" i="16"/>
  <c r="G189" i="16"/>
  <c r="Q369" i="16"/>
  <c r="Q393" i="16"/>
  <c r="O73" i="16"/>
  <c r="Q309" i="16"/>
  <c r="G15" i="16"/>
  <c r="Q15" i="16"/>
  <c r="Q237" i="16"/>
  <c r="M356" i="16"/>
  <c r="O356" i="16" s="1"/>
  <c r="Q380" i="16"/>
  <c r="Q412" i="16"/>
  <c r="I348" i="16"/>
  <c r="P348" i="16" s="1"/>
  <c r="H348" i="16"/>
  <c r="G348" i="16"/>
  <c r="Q49" i="16"/>
  <c r="M189" i="16"/>
  <c r="O189" i="16" s="1"/>
  <c r="I189" i="16"/>
  <c r="P189" i="16" s="1"/>
  <c r="Q189" i="16"/>
  <c r="H22" i="16"/>
  <c r="G22" i="16"/>
  <c r="Q22" i="16"/>
  <c r="M22" i="16"/>
  <c r="O22" i="16" s="1"/>
  <c r="I22" i="16"/>
  <c r="P22" i="16" s="1"/>
  <c r="Q365" i="16"/>
  <c r="M366" i="16"/>
  <c r="O366" i="16" s="1"/>
  <c r="I366" i="16"/>
  <c r="P366" i="16" s="1"/>
  <c r="H366" i="16"/>
  <c r="G366" i="16"/>
  <c r="Q420" i="16"/>
  <c r="G369" i="16"/>
  <c r="H370" i="16"/>
  <c r="M377" i="16"/>
  <c r="O377" i="16" s="1"/>
  <c r="I377" i="16"/>
  <c r="P377" i="16" s="1"/>
  <c r="H377" i="16"/>
  <c r="G378" i="16"/>
  <c r="Q378" i="16"/>
  <c r="M385" i="16"/>
  <c r="O385" i="16" s="1"/>
  <c r="I385" i="16"/>
  <c r="P385" i="16" s="1"/>
  <c r="H385" i="16"/>
  <c r="H386" i="16"/>
  <c r="G386" i="16"/>
  <c r="Q386" i="16"/>
  <c r="Q405" i="16"/>
  <c r="I407" i="16"/>
  <c r="P407" i="16" s="1"/>
  <c r="H407" i="16"/>
  <c r="G407" i="16"/>
  <c r="Q407" i="16"/>
  <c r="I370" i="16"/>
  <c r="P370" i="16" s="1"/>
  <c r="M237" i="16"/>
  <c r="O237" i="16" s="1"/>
  <c r="G374" i="16"/>
  <c r="I380" i="16"/>
  <c r="P380" i="16" s="1"/>
  <c r="H380" i="16"/>
  <c r="G380" i="16"/>
  <c r="Q381" i="16"/>
  <c r="I383" i="16"/>
  <c r="P383" i="16" s="1"/>
  <c r="H383" i="16"/>
  <c r="G383" i="16"/>
  <c r="Q383" i="16"/>
  <c r="M404" i="16"/>
  <c r="O404" i="16" s="1"/>
  <c r="I404" i="16"/>
  <c r="P404" i="16" s="1"/>
  <c r="H404" i="16"/>
  <c r="G404" i="16"/>
  <c r="M361" i="16"/>
  <c r="O361" i="16" s="1"/>
  <c r="I361" i="16"/>
  <c r="P361" i="16" s="1"/>
  <c r="H361" i="16"/>
  <c r="G362" i="16"/>
  <c r="Q362" i="16"/>
  <c r="M401" i="16"/>
  <c r="O401" i="16" s="1"/>
  <c r="I401" i="16"/>
  <c r="P401" i="16" s="1"/>
  <c r="H401" i="16"/>
  <c r="H402" i="16"/>
  <c r="G402" i="16"/>
  <c r="Q402" i="16"/>
  <c r="Q421" i="16"/>
  <c r="Q422" i="16"/>
  <c r="Q397" i="16"/>
  <c r="I399" i="16"/>
  <c r="P399" i="16" s="1"/>
  <c r="H399" i="16"/>
  <c r="G399" i="16"/>
  <c r="Q399" i="16"/>
  <c r="M420" i="16"/>
  <c r="O420" i="16" s="1"/>
  <c r="I420" i="16"/>
  <c r="P420" i="16" s="1"/>
  <c r="H420" i="16"/>
  <c r="G420" i="16"/>
  <c r="H85" i="16"/>
  <c r="G85" i="16"/>
  <c r="Q85" i="16"/>
  <c r="O373" i="16"/>
  <c r="I378" i="16"/>
  <c r="P378" i="16" s="1"/>
  <c r="M380" i="16"/>
  <c r="O380" i="16" s="1"/>
  <c r="M383" i="16"/>
  <c r="O383" i="16" s="1"/>
  <c r="M386" i="16"/>
  <c r="O386" i="16" s="1"/>
  <c r="O389" i="16"/>
  <c r="M396" i="16"/>
  <c r="O396" i="16" s="1"/>
  <c r="I396" i="16"/>
  <c r="P396" i="16" s="1"/>
  <c r="H396" i="16"/>
  <c r="G396" i="16"/>
  <c r="M417" i="16"/>
  <c r="O417" i="16" s="1"/>
  <c r="I417" i="16"/>
  <c r="P417" i="16" s="1"/>
  <c r="H417" i="16"/>
  <c r="H178" i="16"/>
  <c r="G178" i="16"/>
  <c r="Q178" i="16"/>
  <c r="G361" i="16"/>
  <c r="H362" i="16"/>
  <c r="M369" i="16"/>
  <c r="O369" i="16" s="1"/>
  <c r="I369" i="16"/>
  <c r="P369" i="16" s="1"/>
  <c r="H369" i="16"/>
  <c r="G370" i="16"/>
  <c r="Q370" i="16"/>
  <c r="M378" i="16"/>
  <c r="O378" i="16" s="1"/>
  <c r="M393" i="16"/>
  <c r="O393" i="16" s="1"/>
  <c r="I393" i="16"/>
  <c r="P393" i="16" s="1"/>
  <c r="H393" i="16"/>
  <c r="H394" i="16"/>
  <c r="G394" i="16"/>
  <c r="Q394" i="16"/>
  <c r="I415" i="16"/>
  <c r="P415" i="16" s="1"/>
  <c r="H415" i="16"/>
  <c r="G415" i="16"/>
  <c r="Q415" i="16"/>
  <c r="I237" i="16"/>
  <c r="P237" i="16" s="1"/>
  <c r="H237" i="16"/>
  <c r="G237" i="16"/>
  <c r="Q373" i="16"/>
  <c r="M374" i="16"/>
  <c r="O374" i="16" s="1"/>
  <c r="I374" i="16"/>
  <c r="P374" i="16" s="1"/>
  <c r="Q374" i="16"/>
  <c r="Q389" i="16"/>
  <c r="I391" i="16"/>
  <c r="P391" i="16" s="1"/>
  <c r="H391" i="16"/>
  <c r="G391" i="16"/>
  <c r="Q391" i="16"/>
  <c r="M412" i="16"/>
  <c r="O412" i="16" s="1"/>
  <c r="I412" i="16"/>
  <c r="P412" i="16" s="1"/>
  <c r="H412" i="16"/>
  <c r="G412" i="16"/>
  <c r="M337" i="16"/>
  <c r="O337" i="16" s="1"/>
  <c r="I337" i="16"/>
  <c r="P337" i="16" s="1"/>
  <c r="Q337" i="16"/>
  <c r="H343" i="16"/>
  <c r="G343" i="16"/>
  <c r="Q343" i="16"/>
  <c r="M353" i="16"/>
  <c r="O353" i="16" s="1"/>
  <c r="I353" i="16"/>
  <c r="P353" i="16" s="1"/>
  <c r="H353" i="16"/>
  <c r="G354" i="16"/>
  <c r="Q354" i="16"/>
  <c r="M362" i="16"/>
  <c r="O362" i="16" s="1"/>
  <c r="I85" i="16"/>
  <c r="P85" i="16" s="1"/>
  <c r="H375" i="16"/>
  <c r="G375" i="16"/>
  <c r="Q375" i="16"/>
  <c r="Q377" i="16"/>
  <c r="O381" i="16"/>
  <c r="Q385" i="16"/>
  <c r="M133" i="16"/>
  <c r="O133" i="16" s="1"/>
  <c r="I133" i="16"/>
  <c r="P133" i="16" s="1"/>
  <c r="H133" i="16"/>
  <c r="G133" i="16"/>
  <c r="Q404" i="16"/>
  <c r="M409" i="16"/>
  <c r="O409" i="16" s="1"/>
  <c r="I409" i="16"/>
  <c r="P409" i="16" s="1"/>
  <c r="H409" i="16"/>
  <c r="H410" i="16"/>
  <c r="G410" i="16"/>
  <c r="Q410" i="16"/>
  <c r="I382" i="16"/>
  <c r="P382" i="16" s="1"/>
  <c r="I390" i="16"/>
  <c r="P390" i="16" s="1"/>
  <c r="I398" i="16"/>
  <c r="P398" i="16" s="1"/>
  <c r="I406" i="16"/>
  <c r="P406" i="16" s="1"/>
  <c r="I277" i="16"/>
  <c r="P277" i="16" s="1"/>
  <c r="I422" i="16"/>
  <c r="P422" i="16" s="1"/>
  <c r="M422" i="16"/>
  <c r="O422" i="16" s="1"/>
  <c r="H234" i="15"/>
  <c r="G227" i="15"/>
  <c r="H151" i="15"/>
  <c r="G224" i="15"/>
  <c r="G213" i="15"/>
  <c r="I312" i="15"/>
  <c r="P312" i="15" s="1"/>
  <c r="I319" i="15"/>
  <c r="P319" i="15" s="1"/>
  <c r="G327" i="15"/>
  <c r="G173" i="15"/>
  <c r="H204" i="15"/>
  <c r="H215" i="15"/>
  <c r="I230" i="15"/>
  <c r="P230" i="15" s="1"/>
  <c r="I201" i="15"/>
  <c r="P201" i="15" s="1"/>
  <c r="Q342" i="15"/>
  <c r="G185" i="15"/>
  <c r="G166" i="15"/>
  <c r="I185" i="15"/>
  <c r="P185" i="15" s="1"/>
  <c r="I151" i="15"/>
  <c r="P151" i="15" s="1"/>
  <c r="G160" i="15"/>
  <c r="G170" i="15"/>
  <c r="H160" i="15"/>
  <c r="H170" i="15"/>
  <c r="I194" i="15"/>
  <c r="P194" i="15" s="1"/>
  <c r="G201" i="15"/>
  <c r="G212" i="15"/>
  <c r="G219" i="15"/>
  <c r="G309" i="15"/>
  <c r="M326" i="15"/>
  <c r="O326" i="15" s="1"/>
  <c r="H153" i="15"/>
  <c r="I153" i="15"/>
  <c r="P153" i="15" s="1"/>
  <c r="G159" i="15"/>
  <c r="G145" i="15"/>
  <c r="H159" i="15"/>
  <c r="G176" i="15"/>
  <c r="G206" i="15"/>
  <c r="K40" i="15"/>
  <c r="P40" i="15" s="1"/>
  <c r="H145" i="15"/>
  <c r="H176" i="15"/>
  <c r="K75" i="15"/>
  <c r="P75" i="15" s="1"/>
  <c r="I145" i="15"/>
  <c r="P145" i="15" s="1"/>
  <c r="I176" i="15"/>
  <c r="P176" i="15" s="1"/>
  <c r="H183" i="15"/>
  <c r="H197" i="15"/>
  <c r="I219" i="15"/>
  <c r="P219" i="15" s="1"/>
  <c r="G299" i="15"/>
  <c r="K137" i="15"/>
  <c r="P137" i="15" s="1"/>
  <c r="I183" i="15"/>
  <c r="P183" i="15" s="1"/>
  <c r="I197" i="15"/>
  <c r="P197" i="15" s="1"/>
  <c r="G234" i="15"/>
  <c r="H284" i="15"/>
  <c r="M357" i="15"/>
  <c r="O357" i="15" s="1"/>
  <c r="M296" i="15"/>
  <c r="O296" i="15" s="1"/>
  <c r="O190" i="15"/>
  <c r="O26" i="15"/>
  <c r="J13" i="15"/>
  <c r="G203" i="15"/>
  <c r="G198" i="15"/>
  <c r="G146" i="15"/>
  <c r="I184" i="15"/>
  <c r="P184" i="15" s="1"/>
  <c r="H198" i="15"/>
  <c r="H227" i="15"/>
  <c r="J74" i="15"/>
  <c r="K72" i="15"/>
  <c r="P72" i="15" s="1"/>
  <c r="G144" i="15"/>
  <c r="I174" i="15"/>
  <c r="P174" i="15" s="1"/>
  <c r="I205" i="15"/>
  <c r="P205" i="15" s="1"/>
  <c r="G238" i="15"/>
  <c r="I279" i="15"/>
  <c r="P279" i="15" s="1"/>
  <c r="K31" i="15"/>
  <c r="P31" i="15" s="1"/>
  <c r="H224" i="15"/>
  <c r="G183" i="15"/>
  <c r="J95" i="15"/>
  <c r="J47" i="15"/>
  <c r="J103" i="15"/>
  <c r="I158" i="15"/>
  <c r="P158" i="15" s="1"/>
  <c r="G184" i="15"/>
  <c r="J48" i="15"/>
  <c r="J265" i="15"/>
  <c r="H152" i="15"/>
  <c r="G171" i="15"/>
  <c r="G302" i="15"/>
  <c r="O11" i="15"/>
  <c r="K66" i="15"/>
  <c r="P66" i="15" s="1"/>
  <c r="I146" i="15"/>
  <c r="P146" i="15" s="1"/>
  <c r="H177" i="15"/>
  <c r="G181" i="15"/>
  <c r="G316" i="15"/>
  <c r="G347" i="15"/>
  <c r="O14" i="15"/>
  <c r="O18" i="15"/>
  <c r="O24" i="15"/>
  <c r="O16" i="15"/>
  <c r="O96" i="15"/>
  <c r="O42" i="15"/>
  <c r="O47" i="15"/>
  <c r="O54" i="15"/>
  <c r="I198" i="15"/>
  <c r="P198" i="15" s="1"/>
  <c r="I204" i="15"/>
  <c r="P204" i="15" s="1"/>
  <c r="I227" i="15"/>
  <c r="P227" i="15" s="1"/>
  <c r="H268" i="15"/>
  <c r="I290" i="15"/>
  <c r="P290" i="15" s="1"/>
  <c r="G337" i="15"/>
  <c r="J67" i="15"/>
  <c r="I177" i="15"/>
  <c r="P177" i="15" s="1"/>
  <c r="H205" i="15"/>
  <c r="H219" i="15"/>
  <c r="I233" i="15"/>
  <c r="P233" i="15" s="1"/>
  <c r="I268" i="15"/>
  <c r="P268" i="15" s="1"/>
  <c r="H297" i="15"/>
  <c r="G312" i="15"/>
  <c r="I316" i="15"/>
  <c r="P316" i="15" s="1"/>
  <c r="H321" i="15"/>
  <c r="G328" i="15"/>
  <c r="H334" i="15"/>
  <c r="I347" i="15"/>
  <c r="P347" i="15" s="1"/>
  <c r="I358" i="15"/>
  <c r="P358" i="15" s="1"/>
  <c r="K28" i="15"/>
  <c r="P28" i="15" s="1"/>
  <c r="J28" i="15"/>
  <c r="K50" i="15"/>
  <c r="P50" i="15" s="1"/>
  <c r="J50" i="15"/>
  <c r="K78" i="15"/>
  <c r="P78" i="15" s="1"/>
  <c r="J78" i="15"/>
  <c r="J94" i="15"/>
  <c r="K94" i="15"/>
  <c r="P94" i="15" s="1"/>
  <c r="J114" i="15"/>
  <c r="K114" i="15"/>
  <c r="P114" i="15" s="1"/>
  <c r="K17" i="15"/>
  <c r="P17" i="15" s="1"/>
  <c r="K30" i="15"/>
  <c r="P30" i="15" s="1"/>
  <c r="J30" i="15"/>
  <c r="J18" i="15"/>
  <c r="K27" i="15"/>
  <c r="P27" i="15" s="1"/>
  <c r="J27" i="15"/>
  <c r="K122" i="15"/>
  <c r="P122" i="15" s="1"/>
  <c r="J122" i="15"/>
  <c r="M204" i="15"/>
  <c r="O204" i="15" s="1"/>
  <c r="M344" i="15"/>
  <c r="O344" i="15" s="1"/>
  <c r="J26" i="15"/>
  <c r="G262" i="15"/>
  <c r="K83" i="15"/>
  <c r="P83" i="15" s="1"/>
  <c r="J116" i="15"/>
  <c r="G200" i="15"/>
  <c r="H228" i="15"/>
  <c r="G235" i="15"/>
  <c r="G251" i="15"/>
  <c r="G287" i="15"/>
  <c r="G292" i="15"/>
  <c r="G314" i="15"/>
  <c r="K55" i="15"/>
  <c r="P55" i="15" s="1"/>
  <c r="H146" i="15"/>
  <c r="G152" i="15"/>
  <c r="G158" i="15"/>
  <c r="I171" i="15"/>
  <c r="P171" i="15" s="1"/>
  <c r="G177" i="15"/>
  <c r="H184" i="15"/>
  <c r="I191" i="15"/>
  <c r="P191" i="15" s="1"/>
  <c r="G197" i="15"/>
  <c r="G205" i="15"/>
  <c r="I213" i="15"/>
  <c r="P213" i="15" s="1"/>
  <c r="H259" i="15"/>
  <c r="H282" i="15"/>
  <c r="I287" i="15"/>
  <c r="P287" i="15" s="1"/>
  <c r="H292" i="15"/>
  <c r="I297" i="15"/>
  <c r="P297" i="15" s="1"/>
  <c r="G306" i="15"/>
  <c r="H314" i="15"/>
  <c r="H319" i="15"/>
  <c r="I324" i="15"/>
  <c r="P324" i="15" s="1"/>
  <c r="G329" i="15"/>
  <c r="G334" i="15"/>
  <c r="G342" i="15"/>
  <c r="H351" i="15"/>
  <c r="O84" i="15"/>
  <c r="O247" i="15"/>
  <c r="O97" i="15"/>
  <c r="M349" i="15"/>
  <c r="O349" i="15" s="1"/>
  <c r="M352" i="15"/>
  <c r="O352" i="15" s="1"/>
  <c r="M314" i="15"/>
  <c r="O314" i="15" s="1"/>
  <c r="O220" i="15"/>
  <c r="M267" i="15"/>
  <c r="O267" i="15" s="1"/>
  <c r="M329" i="15"/>
  <c r="O329" i="15" s="1"/>
  <c r="O243" i="15"/>
  <c r="O123" i="15"/>
  <c r="O168" i="15"/>
  <c r="O13" i="15"/>
  <c r="O154" i="15"/>
  <c r="O53" i="15"/>
  <c r="O89" i="15"/>
  <c r="O82" i="15"/>
  <c r="M289" i="15"/>
  <c r="O289" i="15" s="1"/>
  <c r="O164" i="15"/>
  <c r="M160" i="15"/>
  <c r="O160" i="15" s="1"/>
  <c r="M173" i="15"/>
  <c r="O173" i="15" s="1"/>
  <c r="M156" i="15"/>
  <c r="O156" i="15" s="1"/>
  <c r="M163" i="15"/>
  <c r="O163" i="15" s="1"/>
  <c r="I169" i="15"/>
  <c r="P169" i="15" s="1"/>
  <c r="M175" i="15"/>
  <c r="O175" i="15" s="1"/>
  <c r="M182" i="15"/>
  <c r="O182" i="15" s="1"/>
  <c r="M189" i="15"/>
  <c r="O189" i="15" s="1"/>
  <c r="I196" i="15"/>
  <c r="P196" i="15" s="1"/>
  <c r="G196" i="15"/>
  <c r="M211" i="15"/>
  <c r="O211" i="15" s="1"/>
  <c r="M218" i="15"/>
  <c r="O218" i="15" s="1"/>
  <c r="I225" i="15"/>
  <c r="P225" i="15" s="1"/>
  <c r="M239" i="15"/>
  <c r="O239" i="15" s="1"/>
  <c r="I258" i="15"/>
  <c r="P258" i="15" s="1"/>
  <c r="H274" i="15"/>
  <c r="I288" i="15"/>
  <c r="P288" i="15" s="1"/>
  <c r="H303" i="15"/>
  <c r="G310" i="15"/>
  <c r="M153" i="15"/>
  <c r="O153" i="15" s="1"/>
  <c r="M159" i="15"/>
  <c r="O159" i="15" s="1"/>
  <c r="M185" i="15"/>
  <c r="O185" i="15" s="1"/>
  <c r="M192" i="15"/>
  <c r="O192" i="15" s="1"/>
  <c r="G192" i="15"/>
  <c r="I206" i="15"/>
  <c r="P206" i="15" s="1"/>
  <c r="M221" i="15"/>
  <c r="O221" i="15" s="1"/>
  <c r="G228" i="15"/>
  <c r="I235" i="15"/>
  <c r="P235" i="15" s="1"/>
  <c r="M241" i="15"/>
  <c r="O241" i="15" s="1"/>
  <c r="G241" i="15"/>
  <c r="M248" i="15"/>
  <c r="O248" i="15" s="1"/>
  <c r="I248" i="15"/>
  <c r="P248" i="15" s="1"/>
  <c r="G254" i="15"/>
  <c r="I261" i="15"/>
  <c r="P261" i="15" s="1"/>
  <c r="M269" i="15"/>
  <c r="O269" i="15" s="1"/>
  <c r="G269" i="15"/>
  <c r="M276" i="15"/>
  <c r="O276" i="15" s="1"/>
  <c r="H276" i="15"/>
  <c r="G283" i="15"/>
  <c r="I291" i="15"/>
  <c r="P291" i="15" s="1"/>
  <c r="M298" i="15"/>
  <c r="O298" i="15" s="1"/>
  <c r="H298" i="15"/>
  <c r="M305" i="15"/>
  <c r="O305" i="15" s="1"/>
  <c r="G313" i="15"/>
  <c r="I320" i="15"/>
  <c r="P320" i="15" s="1"/>
  <c r="M328" i="15"/>
  <c r="O328" i="15" s="1"/>
  <c r="H328" i="15"/>
  <c r="M335" i="15"/>
  <c r="O335" i="15" s="1"/>
  <c r="G343" i="15"/>
  <c r="M143" i="15"/>
  <c r="O143" i="15" s="1"/>
  <c r="G155" i="15"/>
  <c r="M167" i="15"/>
  <c r="O167" i="15" s="1"/>
  <c r="M188" i="15"/>
  <c r="O188" i="15" s="1"/>
  <c r="M195" i="15"/>
  <c r="O195" i="15" s="1"/>
  <c r="M216" i="15"/>
  <c r="O216" i="15" s="1"/>
  <c r="M223" i="15"/>
  <c r="O223" i="15" s="1"/>
  <c r="H237" i="15"/>
  <c r="M250" i="15"/>
  <c r="O250" i="15" s="1"/>
  <c r="H286" i="15"/>
  <c r="G294" i="15"/>
  <c r="G301" i="15"/>
  <c r="K9" i="15"/>
  <c r="P9" i="15" s="1"/>
  <c r="K34" i="15"/>
  <c r="P34" i="15" s="1"/>
  <c r="K57" i="15"/>
  <c r="P57" i="15" s="1"/>
  <c r="K87" i="15"/>
  <c r="P87" i="15" s="1"/>
  <c r="J10" i="15"/>
  <c r="J90" i="15"/>
  <c r="J58" i="15"/>
  <c r="J88" i="15"/>
  <c r="M141" i="15"/>
  <c r="O141" i="15" s="1"/>
  <c r="J19" i="15"/>
  <c r="J42" i="15"/>
  <c r="J35" i="15"/>
  <c r="J41" i="15"/>
  <c r="K56" i="15"/>
  <c r="P56" i="15" s="1"/>
  <c r="K311" i="15"/>
  <c r="P311" i="15" s="1"/>
  <c r="J11" i="15"/>
  <c r="J190" i="15"/>
  <c r="J356" i="15"/>
  <c r="J168" i="15"/>
  <c r="J43" i="15"/>
  <c r="J8" i="15"/>
  <c r="J59" i="15"/>
  <c r="J68" i="15"/>
  <c r="J79" i="15"/>
  <c r="J89" i="15"/>
  <c r="J91" i="15"/>
  <c r="J107" i="15"/>
  <c r="J129" i="15"/>
  <c r="J109" i="15"/>
  <c r="K121" i="15"/>
  <c r="P121" i="15" s="1"/>
  <c r="J130" i="15"/>
  <c r="G141" i="15"/>
  <c r="J164" i="15"/>
  <c r="J243" i="15"/>
  <c r="J29" i="15"/>
  <c r="J187" i="15"/>
  <c r="J25" i="15"/>
  <c r="J52" i="15"/>
  <c r="J61" i="15"/>
  <c r="J172" i="15"/>
  <c r="J80" i="15"/>
  <c r="J161" i="15"/>
  <c r="J98" i="15"/>
  <c r="J38" i="15"/>
  <c r="H141" i="15"/>
  <c r="K24" i="15"/>
  <c r="P24" i="15" s="1"/>
  <c r="K154" i="15"/>
  <c r="P154" i="15" s="1"/>
  <c r="K73" i="15"/>
  <c r="P73" i="15" s="1"/>
  <c r="K102" i="15"/>
  <c r="P102" i="15" s="1"/>
  <c r="J135" i="15"/>
  <c r="I141" i="15"/>
  <c r="P141" i="15" s="1"/>
  <c r="I286" i="15"/>
  <c r="P286" i="15" s="1"/>
  <c r="I301" i="15"/>
  <c r="P301" i="15" s="1"/>
  <c r="I165" i="15"/>
  <c r="P165" i="15" s="1"/>
  <c r="I179" i="15"/>
  <c r="P179" i="15" s="1"/>
  <c r="I193" i="15"/>
  <c r="P193" i="15" s="1"/>
  <c r="M193" i="15"/>
  <c r="O193" i="15" s="1"/>
  <c r="I200" i="15"/>
  <c r="P200" i="15" s="1"/>
  <c r="I207" i="15"/>
  <c r="P207" i="15" s="1"/>
  <c r="M207" i="15"/>
  <c r="O207" i="15" s="1"/>
  <c r="M214" i="15"/>
  <c r="O214" i="15" s="1"/>
  <c r="I229" i="15"/>
  <c r="P229" i="15" s="1"/>
  <c r="I236" i="15"/>
  <c r="P236" i="15" s="1"/>
  <c r="M249" i="15"/>
  <c r="O249" i="15" s="1"/>
  <c r="I262" i="15"/>
  <c r="P262" i="15" s="1"/>
  <c r="M262" i="15"/>
  <c r="O262" i="15" s="1"/>
  <c r="I270" i="15"/>
  <c r="P270" i="15" s="1"/>
  <c r="M270" i="15"/>
  <c r="O270" i="15" s="1"/>
  <c r="H144" i="15"/>
  <c r="H162" i="15"/>
  <c r="H174" i="15"/>
  <c r="H181" i="15"/>
  <c r="H203" i="15"/>
  <c r="H217" i="15"/>
  <c r="H238" i="15"/>
  <c r="H245" i="15"/>
  <c r="H251" i="15"/>
  <c r="H257" i="15"/>
  <c r="H273" i="15"/>
  <c r="H279" i="15"/>
  <c r="M151" i="15"/>
  <c r="O151" i="15" s="1"/>
  <c r="M170" i="15"/>
  <c r="O170" i="15" s="1"/>
  <c r="M191" i="15"/>
  <c r="O191" i="15" s="1"/>
  <c r="M213" i="15"/>
  <c r="O213" i="15" s="1"/>
  <c r="M282" i="15"/>
  <c r="O282" i="15" s="1"/>
  <c r="M321" i="15"/>
  <c r="O321" i="15" s="1"/>
  <c r="M342" i="15"/>
  <c r="O342" i="15" s="1"/>
  <c r="M362" i="15"/>
  <c r="O362" i="15" s="1"/>
  <c r="O10" i="15"/>
  <c r="O28" i="15"/>
  <c r="M152" i="15"/>
  <c r="O152" i="15" s="1"/>
  <c r="M171" i="15"/>
  <c r="O171" i="15" s="1"/>
  <c r="M284" i="15"/>
  <c r="O284" i="15" s="1"/>
  <c r="M304" i="15"/>
  <c r="O304" i="15" s="1"/>
  <c r="M306" i="15"/>
  <c r="O306" i="15" s="1"/>
  <c r="O51" i="15"/>
  <c r="O17" i="15"/>
  <c r="O23" i="15"/>
  <c r="O59" i="15"/>
  <c r="O67" i="15"/>
  <c r="M290" i="15"/>
  <c r="O290" i="15" s="1"/>
  <c r="M350" i="15"/>
  <c r="O350" i="15" s="1"/>
  <c r="O60" i="15"/>
  <c r="O35" i="15"/>
  <c r="O73" i="15"/>
  <c r="M292" i="15"/>
  <c r="O292" i="15" s="1"/>
  <c r="O31" i="15"/>
  <c r="O187" i="15"/>
  <c r="O43" i="15"/>
  <c r="O48" i="15"/>
  <c r="O55" i="15"/>
  <c r="O61" i="15"/>
  <c r="O74" i="15"/>
  <c r="O81" i="15"/>
  <c r="G260" i="15"/>
  <c r="G319" i="15"/>
  <c r="I359" i="15"/>
  <c r="P359" i="15" s="1"/>
  <c r="O29" i="15"/>
  <c r="M233" i="15"/>
  <c r="O233" i="15" s="1"/>
  <c r="M259" i="15"/>
  <c r="O259" i="15" s="1"/>
  <c r="M318" i="15"/>
  <c r="O318" i="15" s="1"/>
  <c r="M336" i="15"/>
  <c r="O336" i="15" s="1"/>
  <c r="O232" i="15"/>
  <c r="M212" i="15"/>
  <c r="O212" i="15" s="1"/>
  <c r="M299" i="15"/>
  <c r="O299" i="15" s="1"/>
  <c r="O27" i="15"/>
  <c r="O9" i="15"/>
  <c r="O103" i="15"/>
  <c r="K117" i="15"/>
  <c r="P117" i="15" s="1"/>
  <c r="K124" i="15"/>
  <c r="P124" i="15" s="1"/>
  <c r="J134" i="15"/>
  <c r="I143" i="15"/>
  <c r="P143" i="15" s="1"/>
  <c r="G163" i="15"/>
  <c r="G167" i="15"/>
  <c r="I182" i="15"/>
  <c r="P182" i="15" s="1"/>
  <c r="I188" i="15"/>
  <c r="P188" i="15" s="1"/>
  <c r="G218" i="15"/>
  <c r="G223" i="15"/>
  <c r="M229" i="15"/>
  <c r="O229" i="15" s="1"/>
  <c r="J110" i="15"/>
  <c r="J106" i="15"/>
  <c r="J125" i="15"/>
  <c r="J138" i="15"/>
  <c r="G149" i="15"/>
  <c r="M149" i="15"/>
  <c r="O149" i="15" s="1"/>
  <c r="I155" i="15"/>
  <c r="P155" i="15" s="1"/>
  <c r="M155" i="15"/>
  <c r="O155" i="15" s="1"/>
  <c r="I180" i="15"/>
  <c r="P180" i="15" s="1"/>
  <c r="M180" i="15"/>
  <c r="O180" i="15" s="1"/>
  <c r="G202" i="15"/>
  <c r="M202" i="15"/>
  <c r="O202" i="15" s="1"/>
  <c r="I209" i="15"/>
  <c r="P209" i="15" s="1"/>
  <c r="M209" i="15"/>
  <c r="O209" i="15" s="1"/>
  <c r="G231" i="15"/>
  <c r="M231" i="15"/>
  <c r="O231" i="15" s="1"/>
  <c r="I237" i="15"/>
  <c r="P237" i="15" s="1"/>
  <c r="M237" i="15"/>
  <c r="O237" i="15" s="1"/>
  <c r="M244" i="15"/>
  <c r="O244" i="15" s="1"/>
  <c r="H244" i="15"/>
  <c r="I264" i="15"/>
  <c r="P264" i="15" s="1"/>
  <c r="M264" i="15"/>
  <c r="O264" i="15" s="1"/>
  <c r="M272" i="15"/>
  <c r="O272" i="15" s="1"/>
  <c r="H272" i="15"/>
  <c r="G286" i="15"/>
  <c r="M286" i="15"/>
  <c r="O286" i="15" s="1"/>
  <c r="I294" i="15"/>
  <c r="P294" i="15" s="1"/>
  <c r="M294" i="15"/>
  <c r="O294" i="15" s="1"/>
  <c r="M301" i="15"/>
  <c r="O301" i="15" s="1"/>
  <c r="H301" i="15"/>
  <c r="M308" i="15"/>
  <c r="O308" i="15" s="1"/>
  <c r="H308" i="15"/>
  <c r="I323" i="15"/>
  <c r="P323" i="15" s="1"/>
  <c r="M323" i="15"/>
  <c r="O323" i="15" s="1"/>
  <c r="M338" i="15"/>
  <c r="O338" i="15" s="1"/>
  <c r="H338" i="15"/>
  <c r="G346" i="15"/>
  <c r="M346" i="15"/>
  <c r="O346" i="15" s="1"/>
  <c r="I354" i="15"/>
  <c r="P354" i="15" s="1"/>
  <c r="H354" i="15"/>
  <c r="M354" i="15"/>
  <c r="O354" i="15" s="1"/>
  <c r="M361" i="15"/>
  <c r="O361" i="15" s="1"/>
  <c r="I361" i="15"/>
  <c r="P361" i="15" s="1"/>
  <c r="G361" i="15"/>
  <c r="K255" i="15"/>
  <c r="P255" i="15" s="1"/>
  <c r="K84" i="15"/>
  <c r="P84" i="15" s="1"/>
  <c r="J126" i="15"/>
  <c r="I167" i="15"/>
  <c r="P167" i="15" s="1"/>
  <c r="G180" i="15"/>
  <c r="G195" i="15"/>
  <c r="H209" i="15"/>
  <c r="I223" i="15"/>
  <c r="P223" i="15" s="1"/>
  <c r="G244" i="15"/>
  <c r="G308" i="15"/>
  <c r="J51" i="15"/>
  <c r="J64" i="15"/>
  <c r="J92" i="15"/>
  <c r="K100" i="15"/>
  <c r="P100" i="15" s="1"/>
  <c r="J104" i="15"/>
  <c r="J69" i="15"/>
  <c r="J119" i="15"/>
  <c r="J131" i="15"/>
  <c r="J139" i="15"/>
  <c r="H149" i="15"/>
  <c r="I175" i="15"/>
  <c r="P175" i="15" s="1"/>
  <c r="H180" i="15"/>
  <c r="H189" i="15"/>
  <c r="H195" i="15"/>
  <c r="G239" i="15"/>
  <c r="I244" i="15"/>
  <c r="P244" i="15" s="1"/>
  <c r="G303" i="15"/>
  <c r="I308" i="15"/>
  <c r="P308" i="15" s="1"/>
  <c r="I186" i="15"/>
  <c r="P186" i="15" s="1"/>
  <c r="H186" i="15"/>
  <c r="I214" i="15"/>
  <c r="P214" i="15" s="1"/>
  <c r="H214" i="15"/>
  <c r="I242" i="15"/>
  <c r="P242" i="15" s="1"/>
  <c r="H242" i="15"/>
  <c r="I249" i="15"/>
  <c r="P249" i="15" s="1"/>
  <c r="G249" i="15"/>
  <c r="M179" i="15"/>
  <c r="O179" i="15" s="1"/>
  <c r="M236" i="15"/>
  <c r="O236" i="15" s="1"/>
  <c r="J220" i="15"/>
  <c r="J37" i="15"/>
  <c r="J247" i="15"/>
  <c r="K63" i="15"/>
  <c r="P63" i="15" s="1"/>
  <c r="J71" i="15"/>
  <c r="K148" i="15"/>
  <c r="P148" i="15" s="1"/>
  <c r="J15" i="15"/>
  <c r="K22" i="15"/>
  <c r="P22" i="15" s="1"/>
  <c r="J240" i="15"/>
  <c r="J33" i="15"/>
  <c r="J49" i="15"/>
  <c r="K157" i="15"/>
  <c r="P157" i="15" s="1"/>
  <c r="J315" i="15"/>
  <c r="J45" i="15"/>
  <c r="J76" i="15"/>
  <c r="J85" i="15"/>
  <c r="J12" i="15"/>
  <c r="J118" i="15"/>
  <c r="J23" i="15"/>
  <c r="J123" i="15"/>
  <c r="J96" i="15"/>
  <c r="J39" i="15"/>
  <c r="J46" i="15"/>
  <c r="J53" i="15"/>
  <c r="J60" i="15"/>
  <c r="J65" i="15"/>
  <c r="J150" i="15"/>
  <c r="J81" i="15"/>
  <c r="J232" i="15"/>
  <c r="J93" i="15"/>
  <c r="J101" i="15"/>
  <c r="J108" i="15"/>
  <c r="J115" i="15"/>
  <c r="J120" i="15"/>
  <c r="J127" i="15"/>
  <c r="J136" i="15"/>
  <c r="I149" i="15"/>
  <c r="P149" i="15" s="1"/>
  <c r="G156" i="15"/>
  <c r="G165" i="15"/>
  <c r="I189" i="15"/>
  <c r="P189" i="15" s="1"/>
  <c r="I195" i="15"/>
  <c r="P195" i="15" s="1"/>
  <c r="G207" i="15"/>
  <c r="G216" i="15"/>
  <c r="H231" i="15"/>
  <c r="H239" i="15"/>
  <c r="G250" i="15"/>
  <c r="H288" i="15"/>
  <c r="G323" i="15"/>
  <c r="H361" i="15"/>
  <c r="M200" i="15"/>
  <c r="O200" i="15" s="1"/>
  <c r="J280" i="15"/>
  <c r="J77" i="15"/>
  <c r="J86" i="15"/>
  <c r="J97" i="15"/>
  <c r="J210" i="15"/>
  <c r="J112" i="15"/>
  <c r="J105" i="15"/>
  <c r="J132" i="15"/>
  <c r="J140" i="15"/>
  <c r="H156" i="15"/>
  <c r="H165" i="15"/>
  <c r="G169" i="15"/>
  <c r="G179" i="15"/>
  <c r="H207" i="15"/>
  <c r="G211" i="15"/>
  <c r="H216" i="15"/>
  <c r="G225" i="15"/>
  <c r="I231" i="15"/>
  <c r="P231" i="15" s="1"/>
  <c r="I239" i="15"/>
  <c r="P239" i="15" s="1"/>
  <c r="H250" i="15"/>
  <c r="H323" i="15"/>
  <c r="M165" i="15"/>
  <c r="O165" i="15" s="1"/>
  <c r="J62" i="15"/>
  <c r="J14" i="15"/>
  <c r="J21" i="15"/>
  <c r="J36" i="15"/>
  <c r="J147" i="15"/>
  <c r="J44" i="15"/>
  <c r="J70" i="15"/>
  <c r="J99" i="15"/>
  <c r="J142" i="15"/>
  <c r="J128" i="15"/>
  <c r="J111" i="15"/>
  <c r="J20" i="15"/>
  <c r="J295" i="15"/>
  <c r="J199" i="15"/>
  <c r="J32" i="15"/>
  <c r="J16" i="15"/>
  <c r="J54" i="15"/>
  <c r="J82" i="15"/>
  <c r="J277" i="15"/>
  <c r="J113" i="15"/>
  <c r="J252" i="15"/>
  <c r="G143" i="15"/>
  <c r="I156" i="15"/>
  <c r="P156" i="15" s="1"/>
  <c r="H179" i="15"/>
  <c r="G182" i="15"/>
  <c r="G188" i="15"/>
  <c r="G193" i="15"/>
  <c r="H202" i="15"/>
  <c r="H211" i="15"/>
  <c r="I216" i="15"/>
  <c r="P216" i="15" s="1"/>
  <c r="G242" i="15"/>
  <c r="I250" i="15"/>
  <c r="P250" i="15" s="1"/>
  <c r="G264" i="15"/>
  <c r="G272" i="15"/>
  <c r="G338" i="15"/>
  <c r="G354" i="15"/>
  <c r="H166" i="15"/>
  <c r="M166" i="15"/>
  <c r="O166" i="15" s="1"/>
  <c r="H194" i="15"/>
  <c r="M194" i="15"/>
  <c r="O194" i="15" s="1"/>
  <c r="H222" i="15"/>
  <c r="M222" i="15"/>
  <c r="O222" i="15" s="1"/>
  <c r="M256" i="15"/>
  <c r="O256" i="15" s="1"/>
  <c r="G256" i="15"/>
  <c r="M263" i="15"/>
  <c r="O263" i="15" s="1"/>
  <c r="I263" i="15"/>
  <c r="P263" i="15" s="1"/>
  <c r="G263" i="15"/>
  <c r="M271" i="15"/>
  <c r="O271" i="15" s="1"/>
  <c r="I271" i="15"/>
  <c r="P271" i="15" s="1"/>
  <c r="H278" i="15"/>
  <c r="M278" i="15"/>
  <c r="O278" i="15" s="1"/>
  <c r="M285" i="15"/>
  <c r="O285" i="15" s="1"/>
  <c r="G285" i="15"/>
  <c r="M293" i="15"/>
  <c r="O293" i="15" s="1"/>
  <c r="I293" i="15"/>
  <c r="P293" i="15" s="1"/>
  <c r="G293" i="15"/>
  <c r="M300" i="15"/>
  <c r="O300" i="15" s="1"/>
  <c r="I300" i="15"/>
  <c r="P300" i="15" s="1"/>
  <c r="H307" i="15"/>
  <c r="M307" i="15"/>
  <c r="O307" i="15" s="1"/>
  <c r="M322" i="15"/>
  <c r="O322" i="15" s="1"/>
  <c r="I322" i="15"/>
  <c r="P322" i="15" s="1"/>
  <c r="G322" i="15"/>
  <c r="M330" i="15"/>
  <c r="O330" i="15" s="1"/>
  <c r="I330" i="15"/>
  <c r="P330" i="15" s="1"/>
  <c r="H337" i="15"/>
  <c r="M337" i="15"/>
  <c r="O337" i="15" s="1"/>
  <c r="M345" i="15"/>
  <c r="O345" i="15" s="1"/>
  <c r="G345" i="15"/>
  <c r="M353" i="15"/>
  <c r="O353" i="15" s="1"/>
  <c r="I353" i="15"/>
  <c r="P353" i="15" s="1"/>
  <c r="G353" i="15"/>
  <c r="G360" i="15"/>
  <c r="M360" i="15"/>
  <c r="O360" i="15" s="1"/>
  <c r="M186" i="15"/>
  <c r="O186" i="15" s="1"/>
  <c r="M242" i="15"/>
  <c r="O242" i="15" s="1"/>
  <c r="J178" i="15"/>
  <c r="J133" i="15"/>
  <c r="H143" i="15"/>
  <c r="H188" i="15"/>
  <c r="I202" i="15"/>
  <c r="P202" i="15" s="1"/>
  <c r="G237" i="15"/>
  <c r="H264" i="15"/>
  <c r="I272" i="15"/>
  <c r="P272" i="15" s="1"/>
  <c r="I338" i="15"/>
  <c r="P338" i="15" s="1"/>
  <c r="H346" i="15"/>
  <c r="M169" i="15"/>
  <c r="O169" i="15" s="1"/>
  <c r="H169" i="15"/>
  <c r="M196" i="15"/>
  <c r="O196" i="15" s="1"/>
  <c r="H196" i="15"/>
  <c r="M225" i="15"/>
  <c r="O225" i="15" s="1"/>
  <c r="H225" i="15"/>
  <c r="M258" i="15"/>
  <c r="O258" i="15" s="1"/>
  <c r="G258" i="15"/>
  <c r="M266" i="15"/>
  <c r="O266" i="15" s="1"/>
  <c r="I266" i="15"/>
  <c r="P266" i="15" s="1"/>
  <c r="G266" i="15"/>
  <c r="M274" i="15"/>
  <c r="O274" i="15" s="1"/>
  <c r="I274" i="15"/>
  <c r="P274" i="15" s="1"/>
  <c r="M288" i="15"/>
  <c r="O288" i="15" s="1"/>
  <c r="G288" i="15"/>
  <c r="M303" i="15"/>
  <c r="O303" i="15" s="1"/>
  <c r="I303" i="15"/>
  <c r="P303" i="15" s="1"/>
  <c r="M310" i="15"/>
  <c r="O310" i="15" s="1"/>
  <c r="H310" i="15"/>
  <c r="M317" i="15"/>
  <c r="O317" i="15" s="1"/>
  <c r="G317" i="15"/>
  <c r="M325" i="15"/>
  <c r="O325" i="15" s="1"/>
  <c r="I325" i="15"/>
  <c r="P325" i="15" s="1"/>
  <c r="G325" i="15"/>
  <c r="M332" i="15"/>
  <c r="O332" i="15" s="1"/>
  <c r="I332" i="15"/>
  <c r="P332" i="15" s="1"/>
  <c r="M340" i="15"/>
  <c r="O340" i="15" s="1"/>
  <c r="H340" i="15"/>
  <c r="M348" i="15"/>
  <c r="O348" i="15" s="1"/>
  <c r="I348" i="15"/>
  <c r="P348" i="15" s="1"/>
  <c r="G348" i="15"/>
  <c r="M363" i="15"/>
  <c r="O363" i="15" s="1"/>
  <c r="I363" i="15"/>
  <c r="P363" i="15" s="1"/>
  <c r="H363" i="15"/>
  <c r="O142" i="15"/>
  <c r="O20" i="15"/>
  <c r="O58" i="15"/>
  <c r="O62" i="15"/>
  <c r="G284" i="15"/>
  <c r="M206" i="15"/>
  <c r="O206" i="15" s="1"/>
  <c r="M228" i="15"/>
  <c r="O228" i="15" s="1"/>
  <c r="M235" i="15"/>
  <c r="O235" i="15" s="1"/>
  <c r="M254" i="15"/>
  <c r="O254" i="15" s="1"/>
  <c r="M261" i="15"/>
  <c r="O261" i="15" s="1"/>
  <c r="M283" i="15"/>
  <c r="O283" i="15" s="1"/>
  <c r="M291" i="15"/>
  <c r="O291" i="15" s="1"/>
  <c r="M313" i="15"/>
  <c r="O313" i="15" s="1"/>
  <c r="M320" i="15"/>
  <c r="O320" i="15" s="1"/>
  <c r="M343" i="15"/>
  <c r="O343" i="15" s="1"/>
  <c r="M351" i="15"/>
  <c r="O351" i="15" s="1"/>
  <c r="M359" i="15"/>
  <c r="O359" i="15" s="1"/>
  <c r="O49" i="15"/>
  <c r="O66" i="15"/>
  <c r="O71" i="15"/>
  <c r="O79" i="15"/>
  <c r="O100" i="15"/>
  <c r="O34" i="15"/>
  <c r="O44" i="15"/>
  <c r="O280" i="15"/>
  <c r="O101" i="15"/>
  <c r="G339" i="15"/>
  <c r="O15" i="15"/>
  <c r="O36" i="15"/>
  <c r="O39" i="15"/>
  <c r="O50" i="15"/>
  <c r="O150" i="15"/>
  <c r="O76" i="15"/>
  <c r="O80" i="15"/>
  <c r="O92" i="15"/>
  <c r="O19" i="15"/>
  <c r="O90" i="15"/>
  <c r="O37" i="15"/>
  <c r="O157" i="15"/>
  <c r="O32" i="15"/>
  <c r="M144" i="15"/>
  <c r="O144" i="15" s="1"/>
  <c r="M162" i="15"/>
  <c r="O162" i="15" s="1"/>
  <c r="M174" i="15"/>
  <c r="O174" i="15" s="1"/>
  <c r="M181" i="15"/>
  <c r="O181" i="15" s="1"/>
  <c r="M203" i="15"/>
  <c r="O203" i="15" s="1"/>
  <c r="M217" i="15"/>
  <c r="O217" i="15" s="1"/>
  <c r="M238" i="15"/>
  <c r="O238" i="15" s="1"/>
  <c r="M245" i="15"/>
  <c r="O245" i="15" s="1"/>
  <c r="M251" i="15"/>
  <c r="O251" i="15" s="1"/>
  <c r="M257" i="15"/>
  <c r="O257" i="15" s="1"/>
  <c r="M273" i="15"/>
  <c r="O273" i="15" s="1"/>
  <c r="M279" i="15"/>
  <c r="O279" i="15" s="1"/>
  <c r="M287" i="15"/>
  <c r="O287" i="15" s="1"/>
  <c r="M302" i="15"/>
  <c r="O302" i="15" s="1"/>
  <c r="M309" i="15"/>
  <c r="O309" i="15" s="1"/>
  <c r="M316" i="15"/>
  <c r="O316" i="15" s="1"/>
  <c r="M324" i="15"/>
  <c r="O324" i="15" s="1"/>
  <c r="M331" i="15"/>
  <c r="O331" i="15" s="1"/>
  <c r="M339" i="15"/>
  <c r="O339" i="15" s="1"/>
  <c r="M347" i="15"/>
  <c r="O347" i="15" s="1"/>
  <c r="M355" i="15"/>
  <c r="O355" i="15" s="1"/>
  <c r="O40" i="15"/>
  <c r="O295" i="15"/>
  <c r="O8" i="15"/>
  <c r="O64" i="15"/>
  <c r="I162" i="15"/>
  <c r="P162" i="15" s="1"/>
  <c r="I217" i="15"/>
  <c r="P217" i="15" s="1"/>
  <c r="I245" i="15"/>
  <c r="P245" i="15" s="1"/>
  <c r="H270" i="15"/>
  <c r="I273" i="15"/>
  <c r="P273" i="15" s="1"/>
  <c r="H299" i="15"/>
  <c r="I302" i="15"/>
  <c r="P302" i="15" s="1"/>
  <c r="H329" i="15"/>
  <c r="I331" i="15"/>
  <c r="P331" i="15" s="1"/>
  <c r="O21" i="15"/>
  <c r="O46" i="15"/>
  <c r="O315" i="15"/>
  <c r="O57" i="15"/>
  <c r="O86" i="15"/>
  <c r="O111" i="15"/>
  <c r="O52" i="15"/>
  <c r="O255" i="15"/>
  <c r="O65" i="15"/>
  <c r="O70" i="15"/>
  <c r="O78" i="15"/>
  <c r="O115" i="15"/>
  <c r="O106" i="15"/>
  <c r="O126" i="15"/>
  <c r="O113" i="15"/>
  <c r="O132" i="15"/>
  <c r="O136" i="15"/>
  <c r="O87" i="15"/>
  <c r="O119" i="15"/>
  <c r="O178" i="15"/>
  <c r="O114" i="15"/>
  <c r="O133" i="15"/>
  <c r="O88" i="15"/>
  <c r="O41" i="15"/>
  <c r="O277" i="15"/>
  <c r="O120" i="15"/>
  <c r="O124" i="15"/>
  <c r="O139" i="15"/>
  <c r="O93" i="15"/>
  <c r="O56" i="15"/>
  <c r="O134" i="15"/>
  <c r="O121" i="15"/>
  <c r="O125" i="15"/>
  <c r="O140" i="15"/>
  <c r="O94" i="15"/>
  <c r="O99" i="15"/>
  <c r="O107" i="15"/>
  <c r="O112" i="15"/>
  <c r="O135" i="15"/>
  <c r="I362" i="15"/>
  <c r="P362" i="15" s="1"/>
  <c r="G362" i="15"/>
  <c r="P20" i="3"/>
  <c r="P34" i="3"/>
  <c r="P42" i="3"/>
  <c r="P63" i="3"/>
  <c r="P71" i="3"/>
  <c r="P85" i="3"/>
  <c r="P93" i="3"/>
  <c r="P101" i="3"/>
  <c r="P109" i="3"/>
  <c r="P131" i="3"/>
  <c r="P199" i="3"/>
  <c r="P206" i="3"/>
  <c r="P220" i="3"/>
  <c r="P227" i="3"/>
  <c r="P250" i="3"/>
  <c r="P286" i="3"/>
  <c r="P293" i="3"/>
  <c r="P301" i="3"/>
  <c r="P309" i="3"/>
  <c r="P324" i="3"/>
  <c r="P371" i="3"/>
  <c r="P379" i="3"/>
  <c r="P386" i="3"/>
  <c r="P407" i="3"/>
  <c r="P414" i="3"/>
  <c r="P451" i="3"/>
  <c r="P474" i="3"/>
  <c r="P490" i="3"/>
  <c r="P503" i="3"/>
  <c r="P51" i="3"/>
  <c r="P72" i="3"/>
  <c r="P239" i="3"/>
  <c r="P325" i="3"/>
  <c r="P368" i="3"/>
  <c r="P403" i="3"/>
  <c r="P35" i="3"/>
  <c r="P43" i="3"/>
  <c r="P64" i="3"/>
  <c r="P79" i="3"/>
  <c r="P86" i="3"/>
  <c r="P94" i="3"/>
  <c r="P140" i="3"/>
  <c r="P146" i="3"/>
  <c r="P162" i="3"/>
  <c r="P170" i="3"/>
  <c r="P178" i="3"/>
  <c r="P221" i="3"/>
  <c r="P243" i="3"/>
  <c r="P279" i="3"/>
  <c r="P302" i="3"/>
  <c r="P310" i="3"/>
  <c r="P317" i="3"/>
  <c r="P332" i="3"/>
  <c r="P359" i="3"/>
  <c r="P366" i="3"/>
  <c r="P394" i="3"/>
  <c r="P408" i="3"/>
  <c r="P203" i="3"/>
  <c r="P81" i="3"/>
  <c r="P15" i="3"/>
  <c r="P29" i="3"/>
  <c r="P36" i="3"/>
  <c r="P44" i="3"/>
  <c r="P50" i="3"/>
  <c r="P80" i="3"/>
  <c r="P87" i="3"/>
  <c r="P95" i="3"/>
  <c r="P103" i="3"/>
  <c r="P117" i="3"/>
  <c r="P125" i="3"/>
  <c r="P133" i="3"/>
  <c r="P141" i="3"/>
  <c r="P171" i="3"/>
  <c r="P187" i="3"/>
  <c r="P208" i="3"/>
  <c r="P215" i="3"/>
  <c r="P222" i="3"/>
  <c r="P229" i="3"/>
  <c r="P252" i="3"/>
  <c r="P259" i="3"/>
  <c r="P266" i="3"/>
  <c r="P280" i="3"/>
  <c r="P295" i="3"/>
  <c r="P318" i="3"/>
  <c r="P326" i="3"/>
  <c r="P402" i="3"/>
  <c r="P423" i="3"/>
  <c r="P430" i="3"/>
  <c r="P446" i="3"/>
  <c r="P453" i="3"/>
  <c r="N498" i="3"/>
  <c r="P498" i="3" s="1"/>
  <c r="P78" i="3"/>
  <c r="P30" i="3"/>
  <c r="P37" i="3"/>
  <c r="P59" i="3"/>
  <c r="P66" i="3"/>
  <c r="P74" i="3"/>
  <c r="P88" i="3"/>
  <c r="P96" i="3"/>
  <c r="P104" i="3"/>
  <c r="P111" i="3"/>
  <c r="P134" i="3"/>
  <c r="P156" i="3"/>
  <c r="P164" i="3"/>
  <c r="P172" i="3"/>
  <c r="P180" i="3"/>
  <c r="P202" i="3"/>
  <c r="P216" i="3"/>
  <c r="P223" i="3"/>
  <c r="P253" i="3"/>
  <c r="P267" i="3"/>
  <c r="P319" i="3"/>
  <c r="P334" i="3"/>
  <c r="P341" i="3"/>
  <c r="P382" i="3"/>
  <c r="P431" i="3"/>
  <c r="P439" i="3"/>
  <c r="P447" i="3"/>
  <c r="P454" i="3"/>
  <c r="P60" i="3"/>
  <c r="P214" i="3"/>
  <c r="P342" i="3"/>
  <c r="P10" i="3"/>
  <c r="P24" i="3"/>
  <c r="P46" i="3"/>
  <c r="P52" i="3"/>
  <c r="P112" i="3"/>
  <c r="P119" i="3"/>
  <c r="P127" i="3"/>
  <c r="P149" i="3"/>
  <c r="P157" i="3"/>
  <c r="P165" i="3"/>
  <c r="P173" i="3"/>
  <c r="P188" i="3"/>
  <c r="P195" i="3"/>
  <c r="P210" i="3"/>
  <c r="P231" i="3"/>
  <c r="P238" i="3"/>
  <c r="P268" i="3"/>
  <c r="P275" i="3"/>
  <c r="P282" i="3"/>
  <c r="P290" i="3"/>
  <c r="P328" i="3"/>
  <c r="P348" i="3"/>
  <c r="P355" i="3"/>
  <c r="P362" i="3"/>
  <c r="P375" i="3"/>
  <c r="P418" i="3"/>
  <c r="P455" i="3"/>
  <c r="P462" i="3"/>
  <c r="P470" i="3"/>
  <c r="P500" i="3"/>
  <c r="P19" i="3"/>
  <c r="P40" i="3"/>
  <c r="P11" i="3"/>
  <c r="P31" i="3"/>
  <c r="P39" i="3"/>
  <c r="P53" i="3"/>
  <c r="P61" i="3"/>
  <c r="P68" i="3"/>
  <c r="P82" i="3"/>
  <c r="P90" i="3"/>
  <c r="P98" i="3"/>
  <c r="P120" i="3"/>
  <c r="P136" i="3"/>
  <c r="P143" i="3"/>
  <c r="P150" i="3"/>
  <c r="P166" i="3"/>
  <c r="P182" i="3"/>
  <c r="P189" i="3"/>
  <c r="P196" i="3"/>
  <c r="P211" i="3"/>
  <c r="P218" i="3"/>
  <c r="P232" i="3"/>
  <c r="P247" i="3"/>
  <c r="P254" i="3"/>
  <c r="P269" i="3"/>
  <c r="P283" i="3"/>
  <c r="P306" i="3"/>
  <c r="P349" i="3"/>
  <c r="P356" i="3"/>
  <c r="P383" i="3"/>
  <c r="P390" i="3"/>
  <c r="P398" i="3"/>
  <c r="P426" i="3"/>
  <c r="P463" i="3"/>
  <c r="P12" i="3"/>
  <c r="P18" i="3"/>
  <c r="P32" i="3"/>
  <c r="P47" i="3"/>
  <c r="P62" i="3"/>
  <c r="P69" i="3"/>
  <c r="P77" i="3"/>
  <c r="P144" i="3"/>
  <c r="P151" i="3"/>
  <c r="P159" i="3"/>
  <c r="P167" i="3"/>
  <c r="P175" i="3"/>
  <c r="P183" i="3"/>
  <c r="P204" i="3"/>
  <c r="P212" i="3"/>
  <c r="P248" i="3"/>
  <c r="P284" i="3"/>
  <c r="P291" i="3"/>
  <c r="P307" i="3"/>
  <c r="P314" i="3"/>
  <c r="P322" i="3"/>
  <c r="P343" i="3"/>
  <c r="P350" i="3"/>
  <c r="P370" i="3"/>
  <c r="P442" i="3"/>
  <c r="P494" i="3"/>
  <c r="P271" i="3"/>
  <c r="P400" i="3"/>
  <c r="P27" i="3"/>
  <c r="P55" i="3"/>
  <c r="P84" i="3"/>
  <c r="P108" i="3"/>
  <c r="P152" i="3"/>
  <c r="P160" i="3"/>
  <c r="P191" i="3"/>
  <c r="P198" i="3"/>
  <c r="P213" i="3"/>
  <c r="P219" i="3"/>
  <c r="P234" i="3"/>
  <c r="P263" i="3"/>
  <c r="P270" i="3"/>
  <c r="P285" i="3"/>
  <c r="P292" i="3"/>
  <c r="P308" i="3"/>
  <c r="P323" i="3"/>
  <c r="P330" i="3"/>
  <c r="P358" i="3"/>
  <c r="P392" i="3"/>
  <c r="P399" i="3"/>
  <c r="P458" i="3"/>
  <c r="P495" i="3"/>
  <c r="P320" i="3"/>
  <c r="P443" i="3"/>
  <c r="P192" i="3"/>
  <c r="P205" i="3"/>
  <c r="P235" i="3"/>
  <c r="N242" i="3"/>
  <c r="P242" i="3" s="1"/>
  <c r="P261" i="3"/>
  <c r="N274" i="3"/>
  <c r="P274" i="3" s="1"/>
  <c r="P311" i="3"/>
  <c r="P331" i="3"/>
  <c r="P344" i="3"/>
  <c r="P363" i="3"/>
  <c r="P380" i="3"/>
  <c r="P391" i="3"/>
  <c r="P415" i="3"/>
  <c r="P432" i="3"/>
  <c r="P444" i="3"/>
  <c r="N450" i="3"/>
  <c r="P450" i="3" s="1"/>
  <c r="P456" i="3"/>
  <c r="P476" i="3"/>
  <c r="P487" i="3"/>
  <c r="P411" i="3"/>
  <c r="P491" i="3"/>
  <c r="N26" i="3"/>
  <c r="P26" i="3" s="1"/>
  <c r="N58" i="3"/>
  <c r="P58" i="3" s="1"/>
  <c r="P83" i="3"/>
  <c r="P128" i="3"/>
  <c r="P147" i="3"/>
  <c r="N154" i="3"/>
  <c r="P154" i="3" s="1"/>
  <c r="P179" i="3"/>
  <c r="N186" i="3"/>
  <c r="P186" i="3" s="1"/>
  <c r="P228" i="3"/>
  <c r="P236" i="3"/>
  <c r="P256" i="3"/>
  <c r="P262" i="3"/>
  <c r="N338" i="3"/>
  <c r="P338" i="3" s="1"/>
  <c r="P351" i="3"/>
  <c r="P357" i="3"/>
  <c r="P364" i="3"/>
  <c r="P381" i="3"/>
  <c r="P397" i="3"/>
  <c r="P404" i="3"/>
  <c r="P445" i="3"/>
  <c r="N499" i="3"/>
  <c r="P499" i="3" s="1"/>
  <c r="P479" i="3"/>
  <c r="P14" i="3"/>
  <c r="P91" i="3"/>
  <c r="P116" i="3"/>
  <c r="P123" i="3"/>
  <c r="P148" i="3"/>
  <c r="P155" i="3"/>
  <c r="P200" i="3"/>
  <c r="P237" i="3"/>
  <c r="P299" i="3"/>
  <c r="P339" i="3"/>
  <c r="P365" i="3"/>
  <c r="P405" i="3"/>
  <c r="N434" i="3"/>
  <c r="P434" i="3" s="1"/>
  <c r="P469" i="3"/>
  <c r="N475" i="3"/>
  <c r="P475" i="3" s="1"/>
  <c r="P493" i="3"/>
  <c r="P502" i="3"/>
  <c r="P21" i="3"/>
  <c r="P28" i="3"/>
  <c r="P92" i="3"/>
  <c r="P124" i="3"/>
  <c r="P168" i="3"/>
  <c r="P181" i="3"/>
  <c r="P230" i="3"/>
  <c r="P244" i="3"/>
  <c r="P251" i="3"/>
  <c r="N258" i="3"/>
  <c r="P258" i="3" s="1"/>
  <c r="P264" i="3"/>
  <c r="P276" i="3"/>
  <c r="P288" i="3"/>
  <c r="P294" i="3"/>
  <c r="P300" i="3"/>
  <c r="P327" i="3"/>
  <c r="P333" i="3"/>
  <c r="P340" i="3"/>
  <c r="N410" i="3"/>
  <c r="P410" i="3" s="1"/>
  <c r="N435" i="3"/>
  <c r="P435" i="3" s="1"/>
  <c r="P452" i="3"/>
  <c r="N488" i="3"/>
  <c r="P488" i="3" s="1"/>
  <c r="N506" i="3"/>
  <c r="P506" i="3" s="1"/>
  <c r="P67" i="3"/>
  <c r="P99" i="3"/>
  <c r="P163" i="3"/>
  <c r="P176" i="3"/>
  <c r="P246" i="3"/>
  <c r="P278" i="3"/>
  <c r="P315" i="3"/>
  <c r="P335" i="3"/>
  <c r="N354" i="3"/>
  <c r="P354" i="3" s="1"/>
  <c r="P360" i="3"/>
  <c r="P367" i="3"/>
  <c r="P372" i="3"/>
  <c r="P389" i="3"/>
  <c r="P412" i="3"/>
  <c r="P424" i="3"/>
  <c r="P478" i="3"/>
  <c r="P484" i="3"/>
  <c r="P75" i="3"/>
  <c r="P100" i="3"/>
  <c r="P107" i="3"/>
  <c r="P132" i="3"/>
  <c r="P139" i="3"/>
  <c r="P158" i="3"/>
  <c r="P190" i="3"/>
  <c r="P197" i="3"/>
  <c r="N226" i="3"/>
  <c r="P226" i="3" s="1"/>
  <c r="P240" i="3"/>
  <c r="P272" i="3"/>
  <c r="P303" i="3"/>
  <c r="P316" i="3"/>
  <c r="P373" i="3"/>
  <c r="P413" i="3"/>
  <c r="N466" i="3"/>
  <c r="P466" i="3" s="1"/>
  <c r="N472" i="3"/>
  <c r="P472" i="3" s="1"/>
  <c r="N496" i="3"/>
  <c r="P496" i="3" s="1"/>
  <c r="N420" i="3"/>
  <c r="P420" i="3" s="1"/>
  <c r="N461" i="3"/>
  <c r="P461" i="3" s="1"/>
  <c r="Q285" i="15" l="1"/>
  <c r="Q274" i="15"/>
  <c r="Q312" i="15"/>
  <c r="Q318" i="15"/>
  <c r="Q269" i="15"/>
  <c r="Q253" i="15"/>
  <c r="Q177" i="15"/>
  <c r="Q296" i="15"/>
  <c r="Q262" i="15"/>
  <c r="Q95" i="15"/>
  <c r="Q237" i="15"/>
  <c r="Q161" i="15"/>
  <c r="Q284" i="15"/>
  <c r="Q84" i="15"/>
  <c r="Q243" i="15"/>
  <c r="Q111" i="15"/>
  <c r="Q210" i="15"/>
  <c r="Q230" i="15"/>
  <c r="Q158" i="15"/>
  <c r="Q145" i="15"/>
  <c r="Q277" i="15"/>
  <c r="Q8" i="15"/>
  <c r="Q294" i="15"/>
  <c r="Q196" i="15"/>
  <c r="Q144" i="15"/>
  <c r="Q78" i="15"/>
  <c r="Q303" i="15"/>
  <c r="Q156" i="15"/>
  <c r="Q166" i="15"/>
  <c r="Q331" i="15"/>
  <c r="Q200" i="15"/>
  <c r="Q324" i="15"/>
  <c r="Q17" i="15"/>
  <c r="Q328" i="15"/>
  <c r="Q319" i="15"/>
  <c r="Q255" i="15"/>
  <c r="Q127" i="15"/>
  <c r="Q268" i="15"/>
  <c r="Q289" i="15"/>
  <c r="Q247" i="15"/>
  <c r="Q142" i="15"/>
  <c r="Q79" i="15"/>
  <c r="Q341" i="15"/>
  <c r="Q286" i="15"/>
  <c r="Q159" i="15"/>
  <c r="Q352" i="15"/>
  <c r="Q183" i="15"/>
  <c r="Q97" i="15"/>
  <c r="Q21" i="15"/>
  <c r="Q87" i="15"/>
  <c r="Q24" i="15"/>
  <c r="Q149" i="15"/>
  <c r="Q320" i="15"/>
  <c r="Q194" i="15"/>
  <c r="Q344" i="15"/>
  <c r="Q259" i="15"/>
  <c r="Q279" i="15"/>
  <c r="Q179" i="15"/>
  <c r="Q170" i="15"/>
  <c r="Q240" i="15"/>
  <c r="Q104" i="15"/>
  <c r="Q63" i="15"/>
  <c r="Q28" i="15"/>
  <c r="Q133" i="15"/>
  <c r="Q100" i="15"/>
  <c r="Q150" i="15"/>
  <c r="Q123" i="15"/>
  <c r="Q42" i="15"/>
  <c r="Q187" i="15"/>
  <c r="Q202" i="15"/>
  <c r="Q143" i="15"/>
  <c r="Q221" i="15"/>
  <c r="Q153" i="15"/>
  <c r="Q239" i="15"/>
  <c r="Q360" i="15"/>
  <c r="Q348" i="15"/>
  <c r="Q336" i="15"/>
  <c r="Q350" i="15"/>
  <c r="Q234" i="15"/>
  <c r="Q212" i="15"/>
  <c r="Q238" i="15"/>
  <c r="Q162" i="15"/>
  <c r="Q249" i="15"/>
  <c r="Q207" i="15"/>
  <c r="Q224" i="15"/>
  <c r="Q36" i="15"/>
  <c r="Q110" i="15"/>
  <c r="Q77" i="15"/>
  <c r="Q20" i="15"/>
  <c r="Q140" i="15"/>
  <c r="Q134" i="15"/>
  <c r="Q80" i="15"/>
  <c r="Q67" i="15"/>
  <c r="Q47" i="15"/>
  <c r="Q48" i="15"/>
  <c r="Q354" i="15"/>
  <c r="Q250" i="15"/>
  <c r="Q195" i="15"/>
  <c r="Q276" i="15"/>
  <c r="Q169" i="15"/>
  <c r="Q353" i="15"/>
  <c r="Q304" i="15"/>
  <c r="Q106" i="15"/>
  <c r="Q92" i="15"/>
  <c r="Q57" i="15"/>
  <c r="Q23" i="15"/>
  <c r="Q102" i="15"/>
  <c r="Q115" i="15"/>
  <c r="Q72" i="15"/>
  <c r="Q258" i="15"/>
  <c r="Q218" i="15"/>
  <c r="Q278" i="15"/>
  <c r="Q309" i="15"/>
  <c r="Q217" i="15"/>
  <c r="Q226" i="15"/>
  <c r="Q147" i="15"/>
  <c r="Q112" i="15"/>
  <c r="Q46" i="15"/>
  <c r="Q18" i="15"/>
  <c r="Q12" i="15"/>
  <c r="Q129" i="15"/>
  <c r="Q291" i="15"/>
  <c r="Q192" i="15"/>
  <c r="Q256" i="15"/>
  <c r="Q281" i="15"/>
  <c r="Q128" i="15"/>
  <c r="Q25" i="15"/>
  <c r="Q125" i="15"/>
  <c r="Q66" i="15"/>
  <c r="Q27" i="15"/>
  <c r="Q190" i="15"/>
  <c r="Q333" i="15"/>
  <c r="Q332" i="15"/>
  <c r="Q362" i="15"/>
  <c r="Q346" i="15"/>
  <c r="Q321" i="15"/>
  <c r="Q351" i="15"/>
  <c r="Q334" i="15"/>
  <c r="Q273" i="15"/>
  <c r="Q151" i="15"/>
  <c r="Q37" i="15"/>
  <c r="Q138" i="15"/>
  <c r="Q148" i="15"/>
  <c r="Q32" i="15"/>
  <c r="Q356" i="15"/>
  <c r="Q141" i="15"/>
  <c r="Q101" i="15"/>
  <c r="Q81" i="15"/>
  <c r="Q60" i="15"/>
  <c r="Q75" i="15"/>
  <c r="Q323" i="15"/>
  <c r="Q173" i="15"/>
  <c r="Q282" i="15"/>
  <c r="Q325" i="15"/>
  <c r="Q347" i="15"/>
  <c r="Q292" i="15"/>
  <c r="Q327" i="15"/>
  <c r="Q205" i="15"/>
  <c r="Q357" i="15"/>
  <c r="Q242" i="15"/>
  <c r="Q295" i="15"/>
  <c r="Q14" i="15"/>
  <c r="Q98" i="15"/>
  <c r="Q64" i="15"/>
  <c r="Q39" i="15"/>
  <c r="Q10" i="15"/>
  <c r="Q107" i="15"/>
  <c r="Q89" i="15"/>
  <c r="Q41" i="15"/>
  <c r="Q83" i="15"/>
  <c r="Q244" i="15"/>
  <c r="Q298" i="15"/>
  <c r="Q241" i="15"/>
  <c r="Q293" i="15"/>
  <c r="Q168" i="15"/>
  <c r="Q311" i="15"/>
  <c r="Q35" i="15"/>
  <c r="Q26" i="15"/>
  <c r="Q91" i="15"/>
  <c r="Q338" i="15"/>
  <c r="Q180" i="15"/>
  <c r="Q163" i="15"/>
  <c r="Q345" i="15"/>
  <c r="Q160" i="15"/>
  <c r="Q213" i="15"/>
  <c r="Q316" i="15"/>
  <c r="Q329" i="15"/>
  <c r="Q290" i="15"/>
  <c r="Q184" i="15"/>
  <c r="Q251" i="15"/>
  <c r="Q214" i="15"/>
  <c r="Q186" i="15"/>
  <c r="Q246" i="15"/>
  <c r="Q315" i="15"/>
  <c r="Q105" i="15"/>
  <c r="Q45" i="15"/>
  <c r="Q124" i="15"/>
  <c r="Q70" i="15"/>
  <c r="Q9" i="15"/>
  <c r="Q93" i="15"/>
  <c r="Q29" i="15"/>
  <c r="Q114" i="15"/>
  <c r="Q154" i="15"/>
  <c r="Q136" i="15"/>
  <c r="Q74" i="15"/>
  <c r="Q31" i="15"/>
  <c r="Q265" i="15"/>
  <c r="Q167" i="15"/>
  <c r="Q343" i="15"/>
  <c r="Q313" i="15"/>
  <c r="Q254" i="15"/>
  <c r="Q235" i="15"/>
  <c r="Q211" i="15"/>
  <c r="Q189" i="15"/>
  <c r="Q337" i="15"/>
  <c r="Q222" i="15"/>
  <c r="Q363" i="15"/>
  <c r="Q302" i="15"/>
  <c r="Q215" i="15"/>
  <c r="Q299" i="15"/>
  <c r="Q359" i="15"/>
  <c r="Q358" i="15"/>
  <c r="Q260" i="15"/>
  <c r="Q349" i="15"/>
  <c r="Q204" i="15"/>
  <c r="Q245" i="15"/>
  <c r="Q181" i="15"/>
  <c r="Q236" i="15"/>
  <c r="Q219" i="15"/>
  <c r="Q76" i="15"/>
  <c r="Q51" i="15"/>
  <c r="Q172" i="15"/>
  <c r="Q15" i="15"/>
  <c r="Q86" i="15"/>
  <c r="Q34" i="15"/>
  <c r="Q56" i="15"/>
  <c r="Q58" i="15"/>
  <c r="Q135" i="15"/>
  <c r="Q73" i="15"/>
  <c r="Q19" i="15"/>
  <c r="Q103" i="15"/>
  <c r="Q43" i="15"/>
  <c r="Q130" i="15"/>
  <c r="Q308" i="15"/>
  <c r="Q209" i="15"/>
  <c r="Q248" i="15"/>
  <c r="Q228" i="15"/>
  <c r="Q310" i="15"/>
  <c r="Q182" i="15"/>
  <c r="Q307" i="15"/>
  <c r="Q317" i="15"/>
  <c r="Q355" i="15"/>
  <c r="Q287" i="15"/>
  <c r="Q208" i="15"/>
  <c r="Q306" i="15"/>
  <c r="Q275" i="15"/>
  <c r="Q198" i="15"/>
  <c r="Q267" i="15"/>
  <c r="Q229" i="15"/>
  <c r="Q197" i="15"/>
  <c r="Q280" i="15"/>
  <c r="Q131" i="15"/>
  <c r="Q199" i="15"/>
  <c r="Q69" i="15"/>
  <c r="Q49" i="15"/>
  <c r="Q119" i="15"/>
  <c r="Q157" i="15"/>
  <c r="Q113" i="15"/>
  <c r="Q52" i="15"/>
  <c r="Q121" i="15"/>
  <c r="Q13" i="15"/>
  <c r="Q38" i="15"/>
  <c r="Q54" i="15"/>
  <c r="Q122" i="15"/>
  <c r="Q68" i="15"/>
  <c r="Q137" i="15"/>
  <c r="Q216" i="15"/>
  <c r="Q206" i="15"/>
  <c r="Q185" i="15"/>
  <c r="Q266" i="15"/>
  <c r="Q300" i="15"/>
  <c r="Q152" i="15"/>
  <c r="Q132" i="15"/>
  <c r="Q44" i="15"/>
  <c r="Q99" i="15"/>
  <c r="Q118" i="15"/>
  <c r="Q65" i="15"/>
  <c r="Q120" i="15"/>
  <c r="Q90" i="15"/>
  <c r="Q88" i="15"/>
  <c r="Q53" i="15"/>
  <c r="Q108" i="15"/>
  <c r="Q16" i="15"/>
  <c r="Q82" i="15"/>
  <c r="Q252" i="15"/>
  <c r="Q55" i="15"/>
  <c r="Q109" i="15"/>
  <c r="Q301" i="15"/>
  <c r="Q272" i="15"/>
  <c r="Q231" i="15"/>
  <c r="Q335" i="15"/>
  <c r="Q283" i="15"/>
  <c r="Q261" i="15"/>
  <c r="Q288" i="15"/>
  <c r="Q225" i="15"/>
  <c r="Q175" i="15"/>
  <c r="Q330" i="15"/>
  <c r="Q271" i="15"/>
  <c r="Q191" i="15"/>
  <c r="Q339" i="15"/>
  <c r="Q201" i="15"/>
  <c r="Q314" i="15"/>
  <c r="Q297" i="15"/>
  <c r="Q227" i="15"/>
  <c r="Q146" i="15"/>
  <c r="Q326" i="15"/>
  <c r="Q233" i="15"/>
  <c r="Q257" i="15"/>
  <c r="Q203" i="15"/>
  <c r="Q174" i="15"/>
  <c r="Q270" i="15"/>
  <c r="Q193" i="15"/>
  <c r="Q165" i="15"/>
  <c r="Q176" i="15"/>
  <c r="Q220" i="15"/>
  <c r="Q62" i="15"/>
  <c r="Q117" i="15"/>
  <c r="Q33" i="15"/>
  <c r="Q85" i="15"/>
  <c r="Q139" i="15"/>
  <c r="Q50" i="15"/>
  <c r="Q178" i="15"/>
  <c r="Q22" i="15"/>
  <c r="Q71" i="15"/>
  <c r="Q126" i="15"/>
  <c r="Q40" i="15"/>
  <c r="Q94" i="15"/>
  <c r="Q11" i="15"/>
  <c r="Q59" i="15"/>
  <c r="Q30" i="15"/>
  <c r="Q96" i="15"/>
  <c r="Q232" i="15"/>
  <c r="Q164" i="15"/>
  <c r="Q61" i="15"/>
  <c r="Q116" i="15"/>
  <c r="Q361" i="15"/>
  <c r="Q264" i="15"/>
  <c r="Q223" i="15"/>
  <c r="Q188" i="15"/>
  <c r="Q155" i="15"/>
  <c r="Q305" i="15"/>
  <c r="Q340" i="15"/>
  <c r="Q322" i="15"/>
  <c r="Q263" i="15"/>
  <c r="Q171" i="15"/>
</calcChain>
</file>

<file path=xl/sharedStrings.xml><?xml version="1.0" encoding="utf-8"?>
<sst xmlns="http://schemas.openxmlformats.org/spreadsheetml/2006/main" count="9918" uniqueCount="2534">
  <si>
    <t>grass_month</t>
  </si>
  <si>
    <t>shop_name_shp</t>
  </si>
  <si>
    <t>shop_id_shopee</t>
  </si>
  <si>
    <t>cluster_shopee</t>
  </si>
  <si>
    <t>top_shopee</t>
  </si>
  <si>
    <t>shop_name_tts</t>
  </si>
  <si>
    <t>shop_id_tts</t>
  </si>
  <si>
    <t>category_tts</t>
  </si>
  <si>
    <t>top_tts</t>
  </si>
  <si>
    <t>atividade</t>
  </si>
  <si>
    <t>shop_link_tts</t>
  </si>
  <si>
    <t>BASE MENSAL DA PERFORMANCE DOS MATCHES TTS</t>
  </si>
  <si>
    <t>net_ado_tts</t>
  </si>
  <si>
    <t>net_adnmv_tts</t>
  </si>
  <si>
    <t>REGISTRO HISTÓRICO DE SAME-SELLERS COM TTS</t>
  </si>
  <si>
    <t>shop_id</t>
  </si>
  <si>
    <t>shop_name</t>
  </si>
  <si>
    <t>is_chinese_seller</t>
  </si>
  <si>
    <t>is_managed_seller</t>
  </si>
  <si>
    <t>adnmv_usd</t>
  </si>
  <si>
    <t>rank_ado</t>
  </si>
  <si>
    <t>net_ado</t>
  </si>
  <si>
    <t>match</t>
  </si>
  <si>
    <t>TOP-500 SELLERS FASTMOSS</t>
  </si>
  <si>
    <t>category</t>
  </si>
  <si>
    <t>sales</t>
  </si>
  <si>
    <t>revenue</t>
  </si>
  <si>
    <t>revenue_scale</t>
  </si>
  <si>
    <t>total_revenue</t>
  </si>
  <si>
    <t>dollar_rate</t>
  </si>
  <si>
    <t>days_month</t>
  </si>
  <si>
    <t>asp_usd</t>
  </si>
  <si>
    <t>net_adnmv_usd</t>
  </si>
  <si>
    <t>cluster</t>
  </si>
  <si>
    <t>activity</t>
  </si>
  <si>
    <t>Mes atual</t>
  </si>
  <si>
    <t>shop_id_shp</t>
  </si>
  <si>
    <r>
      <t xml:space="preserve">From TTS to Shopee </t>
    </r>
    <r>
      <rPr>
        <b/>
        <sz val="10"/>
        <color rgb="FFEE4D2D"/>
        <rFont val="Aptos Narrow"/>
        <family val="2"/>
        <scheme val="minor"/>
      </rPr>
      <t>(Input do Kaique)</t>
    </r>
  </si>
  <si>
    <r>
      <t xml:space="preserve">From Shopee to TTS </t>
    </r>
    <r>
      <rPr>
        <b/>
        <sz val="10"/>
        <color rgb="FFEE4D2D"/>
        <rFont val="Aptos Narrow"/>
        <family val="2"/>
        <scheme val="minor"/>
      </rPr>
      <t>(Input do Kaique)</t>
    </r>
  </si>
  <si>
    <t>adnmv_usd_shp</t>
  </si>
  <si>
    <t>net_ado_shp</t>
  </si>
  <si>
    <t>adnmv_usd_tts</t>
  </si>
  <si>
    <t>ação</t>
  </si>
  <si>
    <t>vendas (não é ado)</t>
  </si>
  <si>
    <t>receita (não é adnmv_usd)</t>
  </si>
  <si>
    <t>Amz x Shopee Comparisons</t>
  </si>
  <si>
    <t>Análise Same Sellers Tik Tok</t>
  </si>
  <si>
    <t>xxx</t>
  </si>
  <si>
    <t>LUJIA</t>
  </si>
  <si>
    <t>Arara Store.</t>
  </si>
  <si>
    <t>tataoshop</t>
  </si>
  <si>
    <t>Golden House Util</t>
  </si>
  <si>
    <t>Marsil Atacadista</t>
  </si>
  <si>
    <t>Stella vista moda</t>
  </si>
  <si>
    <t>YIYI MODA</t>
  </si>
  <si>
    <t>CASA MANIA</t>
  </si>
  <si>
    <t>MAO.STORE LTDA</t>
  </si>
  <si>
    <t>Petpremier</t>
  </si>
  <si>
    <t>Maxi.Lar</t>
  </si>
  <si>
    <t>Nutrilibrium</t>
  </si>
  <si>
    <t>YUMI CELL BR</t>
  </si>
  <si>
    <t>TKZ MODAS</t>
  </si>
  <si>
    <t>HolyFoods</t>
  </si>
  <si>
    <t>YUNY Bijuterias</t>
  </si>
  <si>
    <t>Fofo loja</t>
  </si>
  <si>
    <t>Fofo Shope</t>
  </si>
  <si>
    <t>HerberT TK</t>
  </si>
  <si>
    <t>DTEAM VENDA</t>
  </si>
  <si>
    <t>VictoriaEnxovais</t>
  </si>
  <si>
    <t>Tang Lar &amp; Estilo</t>
  </si>
  <si>
    <t>Mais Tem</t>
  </si>
  <si>
    <t>Droga Clara</t>
  </si>
  <si>
    <t>Opacote</t>
  </si>
  <si>
    <t>Mundo Master</t>
  </si>
  <si>
    <t>matougui.br</t>
  </si>
  <si>
    <t>IUCELL</t>
  </si>
  <si>
    <t>Happy.festas</t>
  </si>
  <si>
    <t>RAEGA MODA FEMININA</t>
  </si>
  <si>
    <t>Supermercado do Chico OFC</t>
  </si>
  <si>
    <t>D France Joias</t>
  </si>
  <si>
    <t>Soper You</t>
  </si>
  <si>
    <t>MODAS DANNA</t>
  </si>
  <si>
    <t>LEO BUY SHOP</t>
  </si>
  <si>
    <t>Sennature</t>
  </si>
  <si>
    <t>Nadin Modas</t>
  </si>
  <si>
    <t>Bigens</t>
  </si>
  <si>
    <t>Jordi Bolsas</t>
  </si>
  <si>
    <t>moenbr</t>
  </si>
  <si>
    <t>luxeelectra</t>
  </si>
  <si>
    <t>ACME BRASIL</t>
  </si>
  <si>
    <t>Qin26</t>
  </si>
  <si>
    <t>YAYA COMERCIO</t>
  </si>
  <si>
    <t>Top Mania Online</t>
  </si>
  <si>
    <t>Hongrui BR</t>
  </si>
  <si>
    <t>fabricadalingerie</t>
  </si>
  <si>
    <t>VALIOSA FASHION MODAS</t>
  </si>
  <si>
    <t>Amend Cosméticos</t>
  </si>
  <si>
    <t>jz-modashop</t>
  </si>
  <si>
    <t>jzzmodashop</t>
  </si>
  <si>
    <t>Ekasa BR</t>
  </si>
  <si>
    <t>YZ Comércio</t>
  </si>
  <si>
    <t>LEAO COMERCIO</t>
  </si>
  <si>
    <t>VIPBOLSAS</t>
  </si>
  <si>
    <t>Aparecido Store</t>
  </si>
  <si>
    <t>STAR FORCE</t>
  </si>
  <si>
    <t>Casa do Condi</t>
  </si>
  <si>
    <t>Angel Home BR</t>
  </si>
  <si>
    <t>DsOdonto</t>
  </si>
  <si>
    <t>FAST MAIS</t>
  </si>
  <si>
    <t>CML Acessorios</t>
  </si>
  <si>
    <t>Lin Art Decor Variedades</t>
  </si>
  <si>
    <t>77 Store.br</t>
  </si>
  <si>
    <t>Estou Crescendo</t>
  </si>
  <si>
    <t>JATOBRAZ BRASIL</t>
  </si>
  <si>
    <t>Utilibeleza</t>
  </si>
  <si>
    <t>Express.Loja</t>
  </si>
  <si>
    <t>MODAS YAIR</t>
  </si>
  <si>
    <t>ARUNA MODAS</t>
  </si>
  <si>
    <t>bettdow.br</t>
  </si>
  <si>
    <t>relógios lucky</t>
  </si>
  <si>
    <t>LUCKY PLUS STORE</t>
  </si>
  <si>
    <t>Filimar Confecções</t>
  </si>
  <si>
    <t>ECOSEN HOME</t>
  </si>
  <si>
    <t>Xing Ling Modas</t>
  </si>
  <si>
    <t>QUE BOM</t>
  </si>
  <si>
    <t>DLI comprar</t>
  </si>
  <si>
    <t>POP YO</t>
  </si>
  <si>
    <t>Lolita_shop</t>
  </si>
  <si>
    <t>Óculos Shop</t>
  </si>
  <si>
    <t>D'LUST COSMÉTICOS</t>
  </si>
  <si>
    <t>H'maston</t>
  </si>
  <si>
    <t>Bom LedS</t>
  </si>
  <si>
    <t>HELLO LOOK HERE COMERCIO</t>
  </si>
  <si>
    <t>Onico Shop.br</t>
  </si>
  <si>
    <t>leaosexpress</t>
  </si>
  <si>
    <t>NovaShop BR</t>
  </si>
  <si>
    <t>Monica Fashion Brasil</t>
  </si>
  <si>
    <t>MAIS LEGAL</t>
  </si>
  <si>
    <t>DC ELETRICA</t>
  </si>
  <si>
    <t>CARPEI</t>
  </si>
  <si>
    <t>Loja Coala</t>
  </si>
  <si>
    <t>Karseell Original</t>
  </si>
  <si>
    <t>CTR Calçados</t>
  </si>
  <si>
    <t>EMILIMODA</t>
  </si>
  <si>
    <t>RTL SHOPS</t>
  </si>
  <si>
    <t>Maxfem</t>
  </si>
  <si>
    <t>ChellyLar</t>
  </si>
  <si>
    <t>Hagra Agricola Comércio</t>
  </si>
  <si>
    <t>DYDE COMPANY</t>
  </si>
  <si>
    <t>ROMANTIC CROWN</t>
  </si>
  <si>
    <t>YAN SHOP.</t>
  </si>
  <si>
    <t>ALUBEN A</t>
  </si>
  <si>
    <t>LANCHI-LI</t>
  </si>
  <si>
    <t>BellaMix.</t>
  </si>
  <si>
    <t>Belifou shop</t>
  </si>
  <si>
    <t>Belifou</t>
  </si>
  <si>
    <t>J COLOUR</t>
  </si>
  <si>
    <t>OF Beauty Cosméticos</t>
  </si>
  <si>
    <t>Mazur Cosméticos</t>
  </si>
  <si>
    <t>KICOOL COMERCIAL</t>
  </si>
  <si>
    <t>XC GAMES</t>
  </si>
  <si>
    <t>LEGEND PARFUM PERFUMES</t>
  </si>
  <si>
    <t>Mundo Novo Jeans</t>
  </si>
  <si>
    <t>S.W,SABER</t>
  </si>
  <si>
    <t>TopToki</t>
  </si>
  <si>
    <t>RBN CLASSIC</t>
  </si>
  <si>
    <t>Dark Lab</t>
  </si>
  <si>
    <t>Móveis Bonatto</t>
  </si>
  <si>
    <t>Nova geracao</t>
  </si>
  <si>
    <t>SOOOI</t>
  </si>
  <si>
    <t>Noveve</t>
  </si>
  <si>
    <t>GG GROUP TECH</t>
  </si>
  <si>
    <t>Brilho Máximo - Cera Alien</t>
  </si>
  <si>
    <t>Top Lifehouse</t>
  </si>
  <si>
    <t>jjclean</t>
  </si>
  <si>
    <t>Lingerie_Express</t>
  </si>
  <si>
    <t>Mey Shine</t>
  </si>
  <si>
    <t>Chique Econômico</t>
  </si>
  <si>
    <t>MYLLEFEET</t>
  </si>
  <si>
    <t>Cosméticos São Paulo</t>
  </si>
  <si>
    <t>xpower6666</t>
  </si>
  <si>
    <t>TOP VIDA BRASIL</t>
  </si>
  <si>
    <t>fullpower imports</t>
  </si>
  <si>
    <t>Attracione Men</t>
  </si>
  <si>
    <t>Attracione</t>
  </si>
  <si>
    <t>lojadaday</t>
  </si>
  <si>
    <t>TG ZDQ</t>
  </si>
  <si>
    <t>Friburgo Lingerie</t>
  </si>
  <si>
    <t>POPZIN ELETRONICOS</t>
  </si>
  <si>
    <t>Casa Full Utilidades Ltda</t>
  </si>
  <si>
    <t>Charm Intimus</t>
  </si>
  <si>
    <t>Basike_Loja</t>
  </si>
  <si>
    <t>KING MODAS</t>
  </si>
  <si>
    <t>Primacial</t>
  </si>
  <si>
    <t>Oliveira Lima Variedades</t>
  </si>
  <si>
    <t>GUI ANA SHOP</t>
  </si>
  <si>
    <t>Toem casa</t>
  </si>
  <si>
    <t>Creamy Skincare</t>
  </si>
  <si>
    <t>Reflexo Íntimo</t>
  </si>
  <si>
    <t>Zem Acessórios</t>
  </si>
  <si>
    <t>SUPERMERCADO RJ</t>
  </si>
  <si>
    <t>Ricos Brasil</t>
  </si>
  <si>
    <t>AraraSport</t>
  </si>
  <si>
    <t>PICOMERCE</t>
  </si>
  <si>
    <t>Puppy Diario</t>
  </si>
  <si>
    <t>SETINY</t>
  </si>
  <si>
    <t>WYL Top Comércio</t>
  </si>
  <si>
    <t>GENISISNUTRITION</t>
  </si>
  <si>
    <t>Joybella-BR</t>
  </si>
  <si>
    <t>Gocase Brasil</t>
  </si>
  <si>
    <t>ZHEN VARIEDADES</t>
  </si>
  <si>
    <t>LINISO SHOP</t>
  </si>
  <si>
    <t>MEGGAFLEX</t>
  </si>
  <si>
    <t>YOURLIFEEEE</t>
  </si>
  <si>
    <t>novo comecio</t>
  </si>
  <si>
    <t>XingTu Br</t>
  </si>
  <si>
    <t>UseLIVZ</t>
  </si>
  <si>
    <t>MODAS MAYLINS PLUS</t>
  </si>
  <si>
    <t>Queen's Shop BR</t>
  </si>
  <si>
    <t>HIONUTRI</t>
  </si>
  <si>
    <t>AURA MODAS</t>
  </si>
  <si>
    <t>Glam Chic01</t>
  </si>
  <si>
    <t>Loja de relógios Xufeng</t>
  </si>
  <si>
    <t>SambaShop.br</t>
  </si>
  <si>
    <t>Huahuo BR10</t>
  </si>
  <si>
    <t>Huahuo</t>
  </si>
  <si>
    <t>Lenda oriental</t>
  </si>
  <si>
    <t>THMZ Decor</t>
  </si>
  <si>
    <t>Izabela Fashion</t>
  </si>
  <si>
    <t>YNC COMERCIO LTDA</t>
  </si>
  <si>
    <t>Lemon Seleção</t>
  </si>
  <si>
    <t>Moda Monkey Shop</t>
  </si>
  <si>
    <t>BBB Lojas boutique</t>
  </si>
  <si>
    <t>a vida é um sonho</t>
  </si>
  <si>
    <t>Gold Ecommerce ofc</t>
  </si>
  <si>
    <t>YLO COMERCIO</t>
  </si>
  <si>
    <t>KODI BR</t>
  </si>
  <si>
    <t>lojadecoreasy</t>
  </si>
  <si>
    <t>TeT casa</t>
  </si>
  <si>
    <t>Belmicro</t>
  </si>
  <si>
    <t>suavemente16888</t>
  </si>
  <si>
    <t>Rhode Jeans</t>
  </si>
  <si>
    <t>Modas MK</t>
  </si>
  <si>
    <t>BEIERMEI BR</t>
  </si>
  <si>
    <t>Loja FTW</t>
  </si>
  <si>
    <t>TK-Allin</t>
  </si>
  <si>
    <t>Olivello Store</t>
  </si>
  <si>
    <t>KAMIANIMALS</t>
  </si>
  <si>
    <t>Amsul Trend</t>
  </si>
  <si>
    <t>Modas Alma</t>
  </si>
  <si>
    <t>Alma Modas</t>
  </si>
  <si>
    <t>ENVIO TURBO</t>
  </si>
  <si>
    <t>LUBEKE ECOMM</t>
  </si>
  <si>
    <t>Yvning-chen</t>
  </si>
  <si>
    <t>Bestbrasil</t>
  </si>
  <si>
    <t>Diversa Store</t>
  </si>
  <si>
    <t>FELIZ DE LENÇO</t>
  </si>
  <si>
    <t>Casa Criativa</t>
  </si>
  <si>
    <t>Mais K Compra</t>
  </si>
  <si>
    <t>ILINK BR SHOP</t>
  </si>
  <si>
    <t>Mercadozen</t>
  </si>
  <si>
    <t>XUYUAN BOLSAS</t>
  </si>
  <si>
    <t>Lile Enxovais</t>
  </si>
  <si>
    <t>HOLDER ECOMMERCE</t>
  </si>
  <si>
    <t>Mystyle Fashion</t>
  </si>
  <si>
    <t>Big Produtos e Variedades</t>
  </si>
  <si>
    <t>FLACALÇADOS</t>
  </si>
  <si>
    <t>Toranja Store</t>
  </si>
  <si>
    <t>Lotus Moda Intima</t>
  </si>
  <si>
    <t>Beleza Pura</t>
  </si>
  <si>
    <t>cucovariedades</t>
  </si>
  <si>
    <t>BAP COMERCIO</t>
  </si>
  <si>
    <t>INSIDERSTORE</t>
  </si>
  <si>
    <t>JOHNNY HOME STORE LTDA</t>
  </si>
  <si>
    <t>WWHM SHOP</t>
  </si>
  <si>
    <t>Smart Buy Brasil</t>
  </si>
  <si>
    <t>Alpha Oriental</t>
  </si>
  <si>
    <t>YESGO SHOP</t>
  </si>
  <si>
    <t>SSR ESTRELA</t>
  </si>
  <si>
    <t>JY Fitness BR</t>
  </si>
  <si>
    <t>QUARXERY COSMETICOS BR</t>
  </si>
  <si>
    <t>QUARXERY SKINCARE BR</t>
  </si>
  <si>
    <t>USEMEVA</t>
  </si>
  <si>
    <t>zpc loj</t>
  </si>
  <si>
    <t>CY-Tang</t>
  </si>
  <si>
    <t>BENEDO</t>
  </si>
  <si>
    <t>LuvinCo</t>
  </si>
  <si>
    <t>Flórida Look</t>
  </si>
  <si>
    <t>Charmozinho Enxovais</t>
  </si>
  <si>
    <t>MISSORDBR</t>
  </si>
  <si>
    <t>channy-ayla</t>
  </si>
  <si>
    <t>QVida MIX</t>
  </si>
  <si>
    <t>Loja do Sol</t>
  </si>
  <si>
    <t>Ulanzi Brasil</t>
  </si>
  <si>
    <t>REVENDALUSA</t>
  </si>
  <si>
    <t>EVA-BABUCHE</t>
  </si>
  <si>
    <t>LIFE STYLE 5</t>
  </si>
  <si>
    <t>miseenscene.brasil</t>
  </si>
  <si>
    <t>CasaLux _Store</t>
  </si>
  <si>
    <t>HEXUNSHOP</t>
  </si>
  <si>
    <t>Mariaa by</t>
  </si>
  <si>
    <t>BROSSARD-BR</t>
  </si>
  <si>
    <t>YIYEXING</t>
  </si>
  <si>
    <t>ViaShoesNS</t>
  </si>
  <si>
    <t>Tudo Bom BR</t>
  </si>
  <si>
    <t>CIVAGO Store Brasil</t>
  </si>
  <si>
    <t>Sr.Tree</t>
  </si>
  <si>
    <t>NeoShop Brasil</t>
  </si>
  <si>
    <t>Skelt Cosmetics</t>
  </si>
  <si>
    <t>DIVINA.STORE</t>
  </si>
  <si>
    <t>Always Fit Suplementos</t>
  </si>
  <si>
    <t>Vittare Home</t>
  </si>
  <si>
    <t>Super_loja</t>
  </si>
  <si>
    <t>Simple Organic Beauty</t>
  </si>
  <si>
    <t>Chanuo16666-LUANA</t>
  </si>
  <si>
    <t>tk-chanuo13333</t>
  </si>
  <si>
    <t>K&amp;L SHOP.</t>
  </si>
  <si>
    <t>BEIERMEI Brasil</t>
  </si>
  <si>
    <t>EletroTop Store</t>
  </si>
  <si>
    <t>MODAS ALFRE</t>
  </si>
  <si>
    <t>Latutu Store</t>
  </si>
  <si>
    <t>VII.TS shop</t>
  </si>
  <si>
    <t>boa vida</t>
  </si>
  <si>
    <t>SUNNYS BR</t>
  </si>
  <si>
    <t>SUNNYS   BR</t>
  </si>
  <si>
    <t>CASA TOP SHOP</t>
  </si>
  <si>
    <t>Soarfly Store</t>
  </si>
  <si>
    <t>Zrfynxobil</t>
  </si>
  <si>
    <t>Universo da Festa</t>
  </si>
  <si>
    <t>Lovely Bolsas</t>
  </si>
  <si>
    <t>TOYACORP</t>
  </si>
  <si>
    <t>Barbour's Beauty</t>
  </si>
  <si>
    <t>AGHATA.BR</t>
  </si>
  <si>
    <t>zhencaicapa.br</t>
  </si>
  <si>
    <t>Croqui Chic</t>
  </si>
  <si>
    <t>CASA BRASIL STORE</t>
  </si>
  <si>
    <t>JADE COSMÉTICOS</t>
  </si>
  <si>
    <t>HOOHOO STOKKE</t>
  </si>
  <si>
    <t>Bazaar Noir Shop</t>
  </si>
  <si>
    <t>ZSH IMPORTS</t>
  </si>
  <si>
    <t>Bloom Body Br</t>
  </si>
  <si>
    <t>Sundalice</t>
  </si>
  <si>
    <t>SACE LADY BR</t>
  </si>
  <si>
    <t>TOON STORE BR</t>
  </si>
  <si>
    <t>Heyoo Capas</t>
  </si>
  <si>
    <t>heyoobeauty</t>
  </si>
  <si>
    <t>Hopekey-BR2</t>
  </si>
  <si>
    <t>LOJAO DO PRECO BOM</t>
  </si>
  <si>
    <t>Manyoo-BR</t>
  </si>
  <si>
    <t>KCR MODA</t>
  </si>
  <si>
    <t>DLI Loja</t>
  </si>
  <si>
    <t>Aik Amor Brasil</t>
  </si>
  <si>
    <t>PRETTY PERUCA Br</t>
  </si>
  <si>
    <t>lady bug fashion</t>
  </si>
  <si>
    <t>Trissé Acessórios</t>
  </si>
  <si>
    <t>Anselbini</t>
  </si>
  <si>
    <t>eBena.</t>
  </si>
  <si>
    <t>Roupa Plus</t>
  </si>
  <si>
    <t>CasaMix Brasil</t>
  </si>
  <si>
    <t>Bisyou Skincare</t>
  </si>
  <si>
    <t>Grupogrsmodas</t>
  </si>
  <si>
    <t>BTB_BR</t>
  </si>
  <si>
    <t>UTILEIRA</t>
  </si>
  <si>
    <t>NUTRU Nutrition</t>
  </si>
  <si>
    <t>Microwear Brasil</t>
  </si>
  <si>
    <t>Mr Dias</t>
  </si>
  <si>
    <t>Bless Prints</t>
  </si>
  <si>
    <t>Moderna e Slim</t>
  </si>
  <si>
    <t>CASES SP</t>
  </si>
  <si>
    <t>ZemshopBR</t>
  </si>
  <si>
    <t>Multipla calçados</t>
  </si>
  <si>
    <t>Festlândia</t>
  </si>
  <si>
    <t>Cybertec</t>
  </si>
  <si>
    <t>MP CONFECÇÕES</t>
  </si>
  <si>
    <t>LTmalu modas</t>
  </si>
  <si>
    <t>mypetonebr</t>
  </si>
  <si>
    <t>Bordados Rodrigo</t>
  </si>
  <si>
    <t>Cationi Modas</t>
  </si>
  <si>
    <t>Luuk Young</t>
  </si>
  <si>
    <t>ZSZ BR</t>
  </si>
  <si>
    <t>TOTO ULTILIDADES</t>
  </si>
  <si>
    <t>ONTIMEBR</t>
  </si>
  <si>
    <t>Colina.shop</t>
  </si>
  <si>
    <t>Casa Laura Enxovais</t>
  </si>
  <si>
    <t>thybstore</t>
  </si>
  <si>
    <t>Timeless-br</t>
  </si>
  <si>
    <t>Gabi Pires Enxovais</t>
  </si>
  <si>
    <t>PALU ECOM</t>
  </si>
  <si>
    <t>RIVEN BAZAR</t>
  </si>
  <si>
    <t>A Suplementos</t>
  </si>
  <si>
    <t>Girl Store Atacado</t>
  </si>
  <si>
    <t>Icasa Ibitinga</t>
  </si>
  <si>
    <t>KASPRIME</t>
  </si>
  <si>
    <t>KELAN MÓVEIS</t>
  </si>
  <si>
    <t>Atria Shoes</t>
  </si>
  <si>
    <t>ONE LIGHT SHOP BR</t>
  </si>
  <si>
    <t>Isa Lingerie Modas</t>
  </si>
  <si>
    <t>GrupoGeta</t>
  </si>
  <si>
    <t>Cecília casa</t>
  </si>
  <si>
    <t>Musa Shoopp</t>
  </si>
  <si>
    <t>Amilplast Variedades</t>
  </si>
  <si>
    <t>KPvariedades</t>
  </si>
  <si>
    <t>CHANNY. LO</t>
  </si>
  <si>
    <t>QueroShoes</t>
  </si>
  <si>
    <t>Nosso Lar Enxovais</t>
  </si>
  <si>
    <t>Casa Nova Enxovais e Decoração</t>
  </si>
  <si>
    <t>SHOPPING DE ZY VARIEDADES</t>
  </si>
  <si>
    <t>MakesBeauty</t>
  </si>
  <si>
    <t>PRIMO DECOR</t>
  </si>
  <si>
    <t>Enxovais Betel</t>
  </si>
  <si>
    <t>LU.NA.LU</t>
  </si>
  <si>
    <t>Linda Casa</t>
  </si>
  <si>
    <t>Casa Bela Enxovais</t>
  </si>
  <si>
    <t>Empório Neves</t>
  </si>
  <si>
    <t>DAMANDO OFC</t>
  </si>
  <si>
    <t>Shop Mix Import</t>
  </si>
  <si>
    <t>Dejule</t>
  </si>
  <si>
    <t>NutrWorld</t>
  </si>
  <si>
    <t>Nebi Magazine</t>
  </si>
  <si>
    <t>Papel e Parede</t>
  </si>
  <si>
    <t>Amor de Make</t>
  </si>
  <si>
    <t>Aura do Brasil</t>
  </si>
  <si>
    <t>evolução jeans</t>
  </si>
  <si>
    <t>Na Web</t>
  </si>
  <si>
    <t>Galuno Artesanato em Madeira</t>
  </si>
  <si>
    <t>Hit Imports</t>
  </si>
  <si>
    <t>Magic Confecção</t>
  </si>
  <si>
    <t>HUANG FOREVER</t>
  </si>
  <si>
    <t>Galan Modas</t>
  </si>
  <si>
    <t>DAFUSHOP BRASIL</t>
  </si>
  <si>
    <t>OLDSEN</t>
  </si>
  <si>
    <t>Brilho Universal</t>
  </si>
  <si>
    <t>chapelariavintage</t>
  </si>
  <si>
    <t>JL MODAS</t>
  </si>
  <si>
    <t>Atacadão Dos Pijamas</t>
  </si>
  <si>
    <t>Xavierabolsa</t>
  </si>
  <si>
    <t>MISSLIN COMERCIO</t>
  </si>
  <si>
    <t>Lm.Vendas</t>
  </si>
  <si>
    <t>Nevita Cosméticos</t>
  </si>
  <si>
    <t>Favorito da Web</t>
  </si>
  <si>
    <t>BT CLOSET BR</t>
  </si>
  <si>
    <t>Bem Vestidas</t>
  </si>
  <si>
    <t>BENSTAR</t>
  </si>
  <si>
    <t>Shopfit Wear</t>
  </si>
  <si>
    <t>Mix Utilidades BR</t>
  </si>
  <si>
    <t>VEDELAR</t>
  </si>
  <si>
    <t>Kyron Underwear</t>
  </si>
  <si>
    <t>Beleza&amp;chique</t>
  </si>
  <si>
    <t>Polo Infantil PL Store</t>
  </si>
  <si>
    <t>Polo Infantil Store</t>
  </si>
  <si>
    <t>Florêncio Shoes</t>
  </si>
  <si>
    <t>BUMPER MAGAZINE</t>
  </si>
  <si>
    <t>Zyoou Market</t>
  </si>
  <si>
    <t>G.A Enxovais</t>
  </si>
  <si>
    <t>Lookli BR</t>
  </si>
  <si>
    <t>alicemodachique</t>
  </si>
  <si>
    <t>heybox ??</t>
  </si>
  <si>
    <t>Miake Brasil</t>
  </si>
  <si>
    <t>Soldiers Nutrition</t>
  </si>
  <si>
    <t>Cobre Lux</t>
  </si>
  <si>
    <t>LEVE HOME</t>
  </si>
  <si>
    <t>Colaí Adesivos</t>
  </si>
  <si>
    <t>Mania De Enxoval</t>
  </si>
  <si>
    <t>Woman Village</t>
  </si>
  <si>
    <t>LOi Brasil</t>
  </si>
  <si>
    <t>RIO BAZAR ATACADO</t>
  </si>
  <si>
    <t>reidasbiblias</t>
  </si>
  <si>
    <t>Legbox</t>
  </si>
  <si>
    <t>ALFA SHOP.BR</t>
  </si>
  <si>
    <t>Nega Cosmetics</t>
  </si>
  <si>
    <t>Alx.vendas10</t>
  </si>
  <si>
    <t>tintinnailcenter</t>
  </si>
  <si>
    <t>Rodrigues Store</t>
  </si>
  <si>
    <t>Enxovais Lindo Lar</t>
  </si>
  <si>
    <t>Lóris Shoes</t>
  </si>
  <si>
    <t>yoonahome.br</t>
  </si>
  <si>
    <t>GH Papel De Parede</t>
  </si>
  <si>
    <t>N.A MULTIMARCAS</t>
  </si>
  <si>
    <t>UniShop Brazil</t>
  </si>
  <si>
    <t>KOBEERT</t>
  </si>
  <si>
    <t>my comercio</t>
  </si>
  <si>
    <t>OSURE</t>
  </si>
  <si>
    <t>PRINCIPIA</t>
  </si>
  <si>
    <t>Keedistore</t>
  </si>
  <si>
    <t>MAGIA STORE BR</t>
  </si>
  <si>
    <t>Shekinah Calçados</t>
  </si>
  <si>
    <t>Lucky Bazar</t>
  </si>
  <si>
    <t>Selfridge.Store.BR</t>
  </si>
  <si>
    <t>Multineos - Mochila e Bolsa</t>
  </si>
  <si>
    <t>Multineos</t>
  </si>
  <si>
    <t>Essencial Baby</t>
  </si>
  <si>
    <t>CY-BAZAR</t>
  </si>
  <si>
    <t>Luvide</t>
  </si>
  <si>
    <t>EusouMiguel</t>
  </si>
  <si>
    <t>CindyMStapetes</t>
  </si>
  <si>
    <t>Brasil Casa</t>
  </si>
  <si>
    <t>magiaworld</t>
  </si>
  <si>
    <t>Supreo</t>
  </si>
  <si>
    <t>Maviart Outlet</t>
  </si>
  <si>
    <t>KN ARTES</t>
  </si>
  <si>
    <t>Apenas Ouse Lingerie</t>
  </si>
  <si>
    <t>SOFYLIN  FASHION</t>
  </si>
  <si>
    <t>SOFYLIN FASHION</t>
  </si>
  <si>
    <t>Ninipink Store</t>
  </si>
  <si>
    <t>Nova Muralha</t>
  </si>
  <si>
    <t>Urban Life Original</t>
  </si>
  <si>
    <t>Oi Cosmetics</t>
  </si>
  <si>
    <t>GiGiL.</t>
  </si>
  <si>
    <t>ADD MODAS</t>
  </si>
  <si>
    <t>INVICTUS ESHOP</t>
  </si>
  <si>
    <t>Vancron</t>
  </si>
  <si>
    <t>Sholovi</t>
  </si>
  <si>
    <t>ZSZ BRASIL</t>
  </si>
  <si>
    <t>Top comercio</t>
  </si>
  <si>
    <t>minimantimentos</t>
  </si>
  <si>
    <t>ANJGG.STORE</t>
  </si>
  <si>
    <t>Belonking</t>
  </si>
  <si>
    <t>AdrenaPet</t>
  </si>
  <si>
    <t>Diluxo</t>
  </si>
  <si>
    <t>me mercado TT</t>
  </si>
  <si>
    <t>modagomestore</t>
  </si>
  <si>
    <t>XEKEMATE LINGERIE</t>
  </si>
  <si>
    <t>Behemoth-Shop</t>
  </si>
  <si>
    <t>Evamia 21</t>
  </si>
  <si>
    <t>big-joia</t>
  </si>
  <si>
    <t>KOKESHI COSMETICOS</t>
  </si>
  <si>
    <t>Bella moça</t>
  </si>
  <si>
    <t>NezhaFeira</t>
  </si>
  <si>
    <t>Calçados Santstor</t>
  </si>
  <si>
    <t>Popular Pet</t>
  </si>
  <si>
    <t>Casa Requinte Enxovais</t>
  </si>
  <si>
    <t>Plenitude Distribuidora</t>
  </si>
  <si>
    <t>Berinda.Utilidades</t>
  </si>
  <si>
    <t>ALICE BEAUTY BR</t>
  </si>
  <si>
    <t>MAGNATA PERFUMES</t>
  </si>
  <si>
    <t>B.w.w</t>
  </si>
  <si>
    <t>Lojas toronto Acessórios</t>
  </si>
  <si>
    <t>Fbo.store</t>
  </si>
  <si>
    <t>Distribuidora Importados</t>
  </si>
  <si>
    <t>Panda Mix Presentes</t>
  </si>
  <si>
    <t>Gordo-TK</t>
  </si>
  <si>
    <t>Karseellshop-BR</t>
  </si>
  <si>
    <t>Comercial Vipasa Distribuidora</t>
  </si>
  <si>
    <t>Mega acessorios</t>
  </si>
  <si>
    <t>Nutrends Nutrition</t>
  </si>
  <si>
    <t>Neverdie Store.br</t>
  </si>
  <si>
    <t>k.k eletronicos</t>
  </si>
  <si>
    <t>WOLMNS-MODA</t>
  </si>
  <si>
    <t>Armazemdoschinelos</t>
  </si>
  <si>
    <t>Veste Sul</t>
  </si>
  <si>
    <t>ALAN FONTE</t>
  </si>
  <si>
    <t>MARIAH INTIMUS</t>
  </si>
  <si>
    <t>FACAS FR</t>
  </si>
  <si>
    <t>Isabela top</t>
  </si>
  <si>
    <t>Coisas &amp; Trecos</t>
  </si>
  <si>
    <t>ANA1108 SHOP</t>
  </si>
  <si>
    <t>Khazi Decoração</t>
  </si>
  <si>
    <t>Monamor Cosméticos</t>
  </si>
  <si>
    <t>Max Titanium - Loja</t>
  </si>
  <si>
    <t>TANTON SHOP OFC</t>
  </si>
  <si>
    <t>Comprou, Chegou Distribuidora</t>
  </si>
  <si>
    <t>FastUniverse</t>
  </si>
  <si>
    <t>Z&amp;D LINGERIE SHOP</t>
  </si>
  <si>
    <t>Z&amp;D Lingerie</t>
  </si>
  <si>
    <t>Forever Liss</t>
  </si>
  <si>
    <t>Soul Bom</t>
  </si>
  <si>
    <t>Fiber BR</t>
  </si>
  <si>
    <t>Grupo Paraíso MDF</t>
  </si>
  <si>
    <t>Alien Ind Soluções</t>
  </si>
  <si>
    <t>DCG Store</t>
  </si>
  <si>
    <t>LOVE PARK</t>
  </si>
  <si>
    <t>Nação Verde</t>
  </si>
  <si>
    <t>DUDUSHOP BR</t>
  </si>
  <si>
    <t>Balloon Kids</t>
  </si>
  <si>
    <t>JAMI JAMI STORE</t>
  </si>
  <si>
    <t>Trix Fit - Store</t>
  </si>
  <si>
    <t>Brester Brasil</t>
  </si>
  <si>
    <t>Bodyaction</t>
  </si>
  <si>
    <t>Cicatribem</t>
  </si>
  <si>
    <t>Domus Utilidades</t>
  </si>
  <si>
    <t>IDEAL VARIEDADES</t>
  </si>
  <si>
    <t>Khostar</t>
  </si>
  <si>
    <t>SUPER LAR</t>
  </si>
  <si>
    <t>TomiMitoo</t>
  </si>
  <si>
    <t>3 PAO</t>
  </si>
  <si>
    <t>House Organizer</t>
  </si>
  <si>
    <t>HW Presentes</t>
  </si>
  <si>
    <t>ESTER CALÇADOS</t>
  </si>
  <si>
    <t>M&amp;D Brasil Atacadista</t>
  </si>
  <si>
    <t>canaa.store</t>
  </si>
  <si>
    <t>Mascote Importações</t>
  </si>
  <si>
    <t>Luxo Real</t>
  </si>
  <si>
    <t>afenxovais</t>
  </si>
  <si>
    <t>StoreeJv</t>
  </si>
  <si>
    <t>MEIGE BR</t>
  </si>
  <si>
    <t>NOVA MEIGE</t>
  </si>
  <si>
    <t>Feliz Textil Importação</t>
  </si>
  <si>
    <t>Grupo On Line Editora</t>
  </si>
  <si>
    <t>DaffineModas</t>
  </si>
  <si>
    <t>SANFANG COMERCIO</t>
  </si>
  <si>
    <t>INFINITE X</t>
  </si>
  <si>
    <t>FU Moon</t>
  </si>
  <si>
    <t>Dutra Máquinas</t>
  </si>
  <si>
    <t>Home Imports Malibu</t>
  </si>
  <si>
    <t>Sara Lingerie</t>
  </si>
  <si>
    <t>Dcruz Alianças</t>
  </si>
  <si>
    <t>CasaTop</t>
  </si>
  <si>
    <t>BRASTOY BR</t>
  </si>
  <si>
    <t>Beleza Brasileira</t>
  </si>
  <si>
    <t>TODA CHIC Lingerie</t>
  </si>
  <si>
    <t>NIVEA Brasil</t>
  </si>
  <si>
    <t>Phils Ecom</t>
  </si>
  <si>
    <t>ARCO IRIS MODA</t>
  </si>
  <si>
    <t>Universo Mix Utilidades</t>
  </si>
  <si>
    <t>GLOW DESCONTOS</t>
  </si>
  <si>
    <t>ANS Grupo</t>
  </si>
  <si>
    <t>MMS Moda</t>
  </si>
  <si>
    <t>TOTALY</t>
  </si>
  <si>
    <t>Tem de tudo@Joyce</t>
  </si>
  <si>
    <t>Sus.store</t>
  </si>
  <si>
    <t>Reluz Lingerie</t>
  </si>
  <si>
    <t>D Tripodi Lingerie</t>
  </si>
  <si>
    <t>RCLOJA</t>
  </si>
  <si>
    <t>ColorfulDreams</t>
  </si>
  <si>
    <t>Kavi Jeans</t>
  </si>
  <si>
    <t>UniLoja</t>
  </si>
  <si>
    <t>MODUS BR</t>
  </si>
  <si>
    <t>Pandashop.Brasil</t>
  </si>
  <si>
    <t>Mkasa</t>
  </si>
  <si>
    <t>Globilia Casa DIY</t>
  </si>
  <si>
    <t>Integralmedica</t>
  </si>
  <si>
    <t>Casa Completa Enxovais</t>
  </si>
  <si>
    <t>Mix Lar Utilidades</t>
  </si>
  <si>
    <t>SSB Brand</t>
  </si>
  <si>
    <t>MBSUtilidades</t>
  </si>
  <si>
    <t>Hidratei</t>
  </si>
  <si>
    <t>oreidoscatalogos</t>
  </si>
  <si>
    <t>LIFE FASHION BABY</t>
  </si>
  <si>
    <t>Bonuti</t>
  </si>
  <si>
    <t>MENOR STORE</t>
  </si>
  <si>
    <t>Luna Shoes LN</t>
  </si>
  <si>
    <t>Le Frisson Moda Intima</t>
  </si>
  <si>
    <t>BOX MUSIC STORE</t>
  </si>
  <si>
    <t>Zalluna SC</t>
  </si>
  <si>
    <t>Wallu</t>
  </si>
  <si>
    <t>YZ VARIEDADES</t>
  </si>
  <si>
    <t>Eggers Móveis Modulados</t>
  </si>
  <si>
    <t>Casa das Variedades</t>
  </si>
  <si>
    <t>Rei dos Vidros</t>
  </si>
  <si>
    <t>Beleza Que Só</t>
  </si>
  <si>
    <t>Livrarias Família Cristã</t>
  </si>
  <si>
    <t>Salon Line</t>
  </si>
  <si>
    <t>Branco Atacadista</t>
  </si>
  <si>
    <t>Pichau</t>
  </si>
  <si>
    <t>Yasmin Universal</t>
  </si>
  <si>
    <t>essenzadichef</t>
  </si>
  <si>
    <t>NEWCOOL.BR</t>
  </si>
  <si>
    <t>Encando da Beleza</t>
  </si>
  <si>
    <t>Shop Bom E Cheap</t>
  </si>
  <si>
    <t>BETA SHOP.BR</t>
  </si>
  <si>
    <t>Fast Star Store</t>
  </si>
  <si>
    <t>NK3 MODA</t>
  </si>
  <si>
    <t>FemmyFitness</t>
  </si>
  <si>
    <t>levelup-store</t>
  </si>
  <si>
    <t>GudBuy</t>
  </si>
  <si>
    <t>Atacado Vencedor</t>
  </si>
  <si>
    <t>BOLD SNACKS</t>
  </si>
  <si>
    <t>Fit House</t>
  </si>
  <si>
    <t>CUECAS PROFIT &amp; TROPA DO 7</t>
  </si>
  <si>
    <t>Renova Be</t>
  </si>
  <si>
    <t>Veneza Enxovais</t>
  </si>
  <si>
    <t>Chenjyacessorios</t>
  </si>
  <si>
    <t>B.CLOUSET</t>
  </si>
  <si>
    <t>AMOBELEZA</t>
  </si>
  <si>
    <t>MixMor</t>
  </si>
  <si>
    <t>Fu Acessórios</t>
  </si>
  <si>
    <t>Zencial</t>
  </si>
  <si>
    <t>L'Oréal Paris Brasil</t>
  </si>
  <si>
    <t>AF Enxoval</t>
  </si>
  <si>
    <t>Loja Salus</t>
  </si>
  <si>
    <t>BellaDress SP - Moda Feminina</t>
  </si>
  <si>
    <t>LuckBaby Principal</t>
  </si>
  <si>
    <t>Lilu´s Variedades</t>
  </si>
  <si>
    <t>Keridinhos</t>
  </si>
  <si>
    <t>AnkcoShopTK</t>
  </si>
  <si>
    <t>YS-1994</t>
  </si>
  <si>
    <t>Embelleze</t>
  </si>
  <si>
    <t>Viva Enxovais</t>
  </si>
  <si>
    <t>Leo Store BR</t>
  </si>
  <si>
    <t>Feng.s</t>
  </si>
  <si>
    <t>Shopping Oliver</t>
  </si>
  <si>
    <t>BBQalegre</t>
  </si>
  <si>
    <t>Loja do Koala</t>
  </si>
  <si>
    <t>TOP BIJUTERIAS</t>
  </si>
  <si>
    <t>Web Eletrônico</t>
  </si>
  <si>
    <t>menina bonita-BR</t>
  </si>
  <si>
    <t>Flow Power</t>
  </si>
  <si>
    <t>NAYHELY MODA</t>
  </si>
  <si>
    <t>Dellas Fit</t>
  </si>
  <si>
    <t>Deluca Enxovais</t>
  </si>
  <si>
    <t>Mais.Amor</t>
  </si>
  <si>
    <t>Rosa Selvagem</t>
  </si>
  <si>
    <t>Criatema</t>
  </si>
  <si>
    <t>Loja futura</t>
  </si>
  <si>
    <t>SNIPERECOMMERCE</t>
  </si>
  <si>
    <t>Ceras do Alien</t>
  </si>
  <si>
    <t>Naell Tapetes</t>
  </si>
  <si>
    <t>Genai Eletronicos</t>
  </si>
  <si>
    <t>Lado Fit</t>
  </si>
  <si>
    <t>ladorosa</t>
  </si>
  <si>
    <t>Horus.on</t>
  </si>
  <si>
    <t>Casa e Garagem</t>
  </si>
  <si>
    <t>Danny Enxovais</t>
  </si>
  <si>
    <t>GBD Store</t>
  </si>
  <si>
    <t>Larissa Rocha Calcados</t>
  </si>
  <si>
    <t>Uny Mix Home</t>
  </si>
  <si>
    <t>Desinchá</t>
  </si>
  <si>
    <t>RH OUTLET</t>
  </si>
  <si>
    <t>Cinta Queen BH</t>
  </si>
  <si>
    <t>MULTI BAZAR</t>
  </si>
  <si>
    <t>lojadayiyou</t>
  </si>
  <si>
    <t>bazardayiyou</t>
  </si>
  <si>
    <t>AMILY MODAS</t>
  </si>
  <si>
    <t>MOON BRAND OF</t>
  </si>
  <si>
    <t>MEUCHECKOUT</t>
  </si>
  <si>
    <t>Toque Sensual</t>
  </si>
  <si>
    <t>Weshop multimarcas</t>
  </si>
  <si>
    <t>AD LINGERIE</t>
  </si>
  <si>
    <t>Océane Brasil</t>
  </si>
  <si>
    <t>Gummy Original</t>
  </si>
  <si>
    <t>BellotteBr</t>
  </si>
  <si>
    <t>GLN COMERCIO</t>
  </si>
  <si>
    <t>UNI ECOMMERCE</t>
  </si>
  <si>
    <t>ESL21</t>
  </si>
  <si>
    <t>NGKSTORE BR</t>
  </si>
  <si>
    <t>anelim shoes</t>
  </si>
  <si>
    <t>LILYMAX-BIN</t>
  </si>
  <si>
    <t>Loja Ragde</t>
  </si>
  <si>
    <t>mega tech store</t>
  </si>
  <si>
    <t>SUPER CHETO</t>
  </si>
  <si>
    <t>MovicPets</t>
  </si>
  <si>
    <t>yiyiyi TK</t>
  </si>
  <si>
    <t>M&amp;G Utilidades</t>
  </si>
  <si>
    <t>Whats Wear</t>
  </si>
  <si>
    <t>QUEEN SHOP SP</t>
  </si>
  <si>
    <t>smile label</t>
  </si>
  <si>
    <t>TOP ELETRICO LTDA</t>
  </si>
  <si>
    <t>GB ROUPAS E ACESSORIOS</t>
  </si>
  <si>
    <t>All Win Decor</t>
  </si>
  <si>
    <t>Bem me quer casa</t>
  </si>
  <si>
    <t>LUNA SHOP BRASIL</t>
  </si>
  <si>
    <t>Brossard_officialshop</t>
  </si>
  <si>
    <t>maxshoopp</t>
  </si>
  <si>
    <t>Amar Enxovais</t>
  </si>
  <si>
    <t>Laisa Modas</t>
  </si>
  <si>
    <t>AZX ZENX</t>
  </si>
  <si>
    <t>Happy Loja</t>
  </si>
  <si>
    <t>TeamW</t>
  </si>
  <si>
    <t>sonhosq</t>
  </si>
  <si>
    <t>PHISENSE@HOME</t>
  </si>
  <si>
    <t>MD Confecções</t>
  </si>
  <si>
    <t>ROMALIZ</t>
  </si>
  <si>
    <t>Deckcasa</t>
  </si>
  <si>
    <t>Pink Urban</t>
  </si>
  <si>
    <t>Mega Utilidades Store</t>
  </si>
  <si>
    <t>blueepulse</t>
  </si>
  <si>
    <t>Duart´s Bolsas</t>
  </si>
  <si>
    <t>GOREME TECH</t>
  </si>
  <si>
    <t>Gira Casa</t>
  </si>
  <si>
    <t>Baisdan</t>
  </si>
  <si>
    <t>AN MUDAS</t>
  </si>
  <si>
    <t>PanguTK</t>
  </si>
  <si>
    <t>Para o Lar</t>
  </si>
  <si>
    <t>Romafam</t>
  </si>
  <si>
    <t>Trevisan Calcados</t>
  </si>
  <si>
    <t>Annabolsas215</t>
  </si>
  <si>
    <t>MML COSMÉTICOS</t>
  </si>
  <si>
    <t>ClickBoom Store</t>
  </si>
  <si>
    <t>The Bronx</t>
  </si>
  <si>
    <t>Longgo Sports</t>
  </si>
  <si>
    <t>Lafu</t>
  </si>
  <si>
    <t>SC TECH STORE</t>
  </si>
  <si>
    <t>loli brasil shop</t>
  </si>
  <si>
    <t>CompreMais</t>
  </si>
  <si>
    <t>Tudo Lar</t>
  </si>
  <si>
    <t>Via Livre</t>
  </si>
  <si>
    <t>Castro Confecções</t>
  </si>
  <si>
    <t>Estilo &amp; Utilidades</t>
  </si>
  <si>
    <t>mts street vibe</t>
  </si>
  <si>
    <t>Toda Toda</t>
  </si>
  <si>
    <t>Boca Rosa BR</t>
  </si>
  <si>
    <t>sallve</t>
  </si>
  <si>
    <t>TudoAki.</t>
  </si>
  <si>
    <t>LUNA SHOP_BRASIL</t>
  </si>
  <si>
    <t>Loja 123 vendas</t>
  </si>
  <si>
    <t>TANGSHOP BR</t>
  </si>
  <si>
    <t>Bella Veste Moda Shop</t>
  </si>
  <si>
    <t>lumiss_br</t>
  </si>
  <si>
    <t>SUAS COMPRAS SHOP</t>
  </si>
  <si>
    <t>Adora Reborn</t>
  </si>
  <si>
    <t>karseen</t>
  </si>
  <si>
    <t>Infinity Brasil Shopping</t>
  </si>
  <si>
    <t>GINKGO TRAVELER</t>
  </si>
  <si>
    <t>Luv.intimus</t>
  </si>
  <si>
    <t>Palacio das Ferramentas</t>
  </si>
  <si>
    <t>TUDAO TECH</t>
  </si>
  <si>
    <t>CenterSport Br</t>
  </si>
  <si>
    <t>Krokodilus</t>
  </si>
  <si>
    <t>3RD Fashion</t>
  </si>
  <si>
    <t>DONNA PAULA SHOES</t>
  </si>
  <si>
    <t>LW MODA ÍNTIMA</t>
  </si>
  <si>
    <t>Fanatics Store</t>
  </si>
  <si>
    <t>Ikesaki Cosméticos</t>
  </si>
  <si>
    <t>Canal 40</t>
  </si>
  <si>
    <t>Madesa Móveis</t>
  </si>
  <si>
    <t>D´BELLE MODA FEMININA</t>
  </si>
  <si>
    <t>Magazine Goiás</t>
  </si>
  <si>
    <t>Sublime Moda Feminina</t>
  </si>
  <si>
    <t>Lepok Papelaria</t>
  </si>
  <si>
    <t>SUPPREMO SONO</t>
  </si>
  <si>
    <t>aumox</t>
  </si>
  <si>
    <t>Unity Shoes</t>
  </si>
  <si>
    <t>AfonteSP</t>
  </si>
  <si>
    <t>Kimports Comercio</t>
  </si>
  <si>
    <t>Céu Azul</t>
  </si>
  <si>
    <t>Booksy-LY.BR</t>
  </si>
  <si>
    <t>Mix Beleza</t>
  </si>
  <si>
    <t>GU CASA E CONFORTO</t>
  </si>
  <si>
    <t>elegancia e voce</t>
  </si>
  <si>
    <t>TRI1PET</t>
  </si>
  <si>
    <t>Usebelt Co</t>
  </si>
  <si>
    <t>Donna Confecçoes</t>
  </si>
  <si>
    <t>Vianelli</t>
  </si>
  <si>
    <t>Unibom.store</t>
  </si>
  <si>
    <t>Essence Femme – Fashion Store</t>
  </si>
  <si>
    <t>Vanvicweb</t>
  </si>
  <si>
    <t>BR Sinber</t>
  </si>
  <si>
    <t>Casa Nova Utilidades</t>
  </si>
  <si>
    <t>loja canaa</t>
  </si>
  <si>
    <t>FAST ACTION</t>
  </si>
  <si>
    <t>KOBAC SHOP</t>
  </si>
  <si>
    <t>Loja Mimi Kids</t>
  </si>
  <si>
    <t>Engage Eletro</t>
  </si>
  <si>
    <t>Moranga Moda Atacado</t>
  </si>
  <si>
    <t>Ninevariedades</t>
  </si>
  <si>
    <t>Eddias Home</t>
  </si>
  <si>
    <t>MODAS JESS</t>
  </si>
  <si>
    <t>AimiCosmeticos</t>
  </si>
  <si>
    <t>ARARA SPORT</t>
  </si>
  <si>
    <t>Atacadão do João Lingerie</t>
  </si>
  <si>
    <t>Atena Fashion Store</t>
  </si>
  <si>
    <t>Berinda Utilidades</t>
  </si>
  <si>
    <t>BETTDOW-Projetor</t>
  </si>
  <si>
    <t>By.MaisonStore</t>
  </si>
  <si>
    <t>CECILIA PRESENTE</t>
  </si>
  <si>
    <t>Cestaclic Shop</t>
  </si>
  <si>
    <t>confeccoes universo khader</t>
  </si>
  <si>
    <t>Crop Culture Store</t>
  </si>
  <si>
    <t>Dami MundoÚtil</t>
  </si>
  <si>
    <t>DF TOP MODAS</t>
  </si>
  <si>
    <t>Dibea.store</t>
  </si>
  <si>
    <t>ENCANTO LINGERIE BRAS</t>
  </si>
  <si>
    <t>Fonte do Brilho</t>
  </si>
  <si>
    <t>Han Maquiagem</t>
  </si>
  <si>
    <t>hot stars</t>
  </si>
  <si>
    <t>HUAAWEI</t>
  </si>
  <si>
    <t>IBUKI.BR</t>
  </si>
  <si>
    <t>Inova&amp;Basike</t>
  </si>
  <si>
    <t>JACK CELL BR</t>
  </si>
  <si>
    <t>JR MODA FEMENINA</t>
  </si>
  <si>
    <t>KING PRO GAMES</t>
  </si>
  <si>
    <t>LARA VIVA</t>
  </si>
  <si>
    <t>lashops0</t>
  </si>
  <si>
    <t>Lina Bolsa Shop</t>
  </si>
  <si>
    <t>LKS SHOP Rio</t>
  </si>
  <si>
    <t>Llili Decorações</t>
  </si>
  <si>
    <t>LOJAO UNIVERSO TECNOLOGICO</t>
  </si>
  <si>
    <t>LZY CLUB</t>
  </si>
  <si>
    <t>MAIS MAKE BRASIL</t>
  </si>
  <si>
    <t>Manyoo BRSHOP</t>
  </si>
  <si>
    <t>Medusa Store Brasil</t>
  </si>
  <si>
    <t>mi-loja-feminina</t>
  </si>
  <si>
    <t>micasadecor</t>
  </si>
  <si>
    <t>Misuli.tk</t>
  </si>
  <si>
    <t>Mizzil</t>
  </si>
  <si>
    <t>Moda Fashion CB</t>
  </si>
  <si>
    <t>Movimento</t>
  </si>
  <si>
    <t>New Show BR</t>
  </si>
  <si>
    <t>Nômade Fashion</t>
  </si>
  <si>
    <t>Olivia Chic</t>
  </si>
  <si>
    <t>One Shop Ltda</t>
  </si>
  <si>
    <t>Philklen</t>
  </si>
  <si>
    <t>Piccinato Acessórios</t>
  </si>
  <si>
    <t>Pijamas São Pedro</t>
  </si>
  <si>
    <t>PW ECOMM</t>
  </si>
  <si>
    <t>RF DECOR</t>
  </si>
  <si>
    <t>Star Shop Digital</t>
  </si>
  <si>
    <t>SU MODA BR</t>
  </si>
  <si>
    <t>TOYA ORALCARE</t>
  </si>
  <si>
    <t>Tudo Aki Express</t>
  </si>
  <si>
    <t>URSA MAIOR LED</t>
  </si>
  <si>
    <t>VirtualShopsp</t>
  </si>
  <si>
    <t>ZIZZI MODA</t>
  </si>
  <si>
    <t>Fashion</t>
  </si>
  <si>
    <t>ELHA</t>
  </si>
  <si>
    <t>Lifestyle</t>
  </si>
  <si>
    <t>FMCG</t>
  </si>
  <si>
    <t>Auto &amp; Moto</t>
  </si>
  <si>
    <t>Beauty &amp; Personal Care</t>
  </si>
  <si>
    <t>https://vt.tiktok.com/ZSfemCtBE/?page=TikTokShop</t>
  </si>
  <si>
    <t>Menswear &amp; Underwear</t>
  </si>
  <si>
    <t>Home Supplies</t>
  </si>
  <si>
    <t>https://vt.tiktok.com/ZSfJCg6JU/?page=TikTokShop</t>
  </si>
  <si>
    <t>Womenswear &amp; Underwear</t>
  </si>
  <si>
    <t>https://vt.tiktok.com/ZSfJxtw9n/?page=TikTokShop</t>
  </si>
  <si>
    <t>https://vt.tiktok.com/ZSy3dBjB5/?page=TikTokShop</t>
  </si>
  <si>
    <t>Kitchenware</t>
  </si>
  <si>
    <t>https://vt.tiktok.com/ZSfJVDK9Q/?page=TikTokShop</t>
  </si>
  <si>
    <t>Household Appliances</t>
  </si>
  <si>
    <t>https://vt.tiktok.com/ZSfNSq4Wg/?page=TikTokShop</t>
  </si>
  <si>
    <t>Food &amp; Beverages</t>
  </si>
  <si>
    <t>https://vt.tiktok.com/ZSfePEw9h/?page=TikTokShop</t>
  </si>
  <si>
    <t>Computer Office</t>
  </si>
  <si>
    <t>https://vt.tiktok.com/ZSfJ4J2vv/?page=TikTokShop</t>
  </si>
  <si>
    <t>Fashion Accessories</t>
  </si>
  <si>
    <t>https://vt.tiktok.com/ZSfeUQSv9/?page=TikTokShop</t>
  </si>
  <si>
    <t>Phones &amp; Electronics</t>
  </si>
  <si>
    <t>https://vt.tiktok.com/ZSfe5MNjc/?page=TikTokShop</t>
  </si>
  <si>
    <t>Textiles &amp; Soft Furnishings</t>
  </si>
  <si>
    <t>https://vt.tiktok.com/ZSfeyxfRX/?page=TikTokShop</t>
  </si>
  <si>
    <t>https://vt.tiktok.com/ZSfefNVKF/?page=TikTokShop</t>
  </si>
  <si>
    <t>Furniture</t>
  </si>
  <si>
    <t>https://vt.tiktok.com/ZSfe2eRsK/?page=TikTokShop</t>
  </si>
  <si>
    <t>Sports &amp; Outdoor</t>
  </si>
  <si>
    <t>https://vt.tiktok.com/ZSfe8HkRm/?page=TikTokShop</t>
  </si>
  <si>
    <t>https://vt.tiktok.com/ZSfJV4xu8/?page=TikTokShop</t>
  </si>
  <si>
    <t>Automotive &amp; Motorcycle</t>
  </si>
  <si>
    <t>https://vt.tiktok.com/ZSfem8fBp/?page=TikTokShop</t>
  </si>
  <si>
    <t>https://vt.tiktok.com/ZSfJabf6v/?page=TikTokShop</t>
  </si>
  <si>
    <t>Health</t>
  </si>
  <si>
    <t>https://vt.tiktok.com/ZSfJQosAj/?page=TikTokShop</t>
  </si>
  <si>
    <t>Luggage &amp; Bags</t>
  </si>
  <si>
    <t>Tools &amp; Hardware</t>
  </si>
  <si>
    <t>https://vt.tiktok.com/ZSfJVnFNf/?page=TikTokShop</t>
  </si>
  <si>
    <t>https://vt.tiktok.com/ZSfeYwfQg/?page=TikTokShop</t>
  </si>
  <si>
    <t>https://vt.tiktok.com/ZSfeF8s2V/?page=TikTokShop</t>
  </si>
  <si>
    <t>https://vt.tiktok.com/ZSfefYB8u/?page=TikTokShop</t>
  </si>
  <si>
    <t>https://vt.tiktok.com/ZSfeNdxmd/?page=TikTokShop</t>
  </si>
  <si>
    <t>https://vt.tiktok.com/ZSfeSogaC/?page=TikTokShop</t>
  </si>
  <si>
    <t>https://vt.tiktok.com/ZSy31thcQ/?page=TikTokShop</t>
  </si>
  <si>
    <t>https://vt.tiktok.com/ZSfJuNNrM/?page=TikTokShop</t>
  </si>
  <si>
    <t>https://vt.tiktok.com/ZSfJQWXTu/?page=TikTokShop</t>
  </si>
  <si>
    <t>https://vt.tiktok.com/ZSfeyYdfb/?page=TikTokShop</t>
  </si>
  <si>
    <t>https://vt.tiktok.com/ZSfJCmkyJ/?page=TikTokShop</t>
  </si>
  <si>
    <t>https://vt.tiktok.com/ZSfeaoyBr/?page=TikTokShop</t>
  </si>
  <si>
    <t>https://vt.tiktok.com/ZSfeUGKdT/?page=TikTokShop</t>
  </si>
  <si>
    <t>https://vt.tiktok.com/ZSfJCjjek/?page=TikTokShop</t>
  </si>
  <si>
    <t>https://vt.tiktok.com/ZSfJme8bA/?page=TikTokShop</t>
  </si>
  <si>
    <t>https://vt.tiktok.com/ZSfeLMNRM/?page=TikTokShop</t>
  </si>
  <si>
    <t>https://vt.tiktok.com/ZSfe8rTdj/?page=TikTokShop</t>
  </si>
  <si>
    <t>https://vt.tiktok.com/ZSfJmCfm3/?page=TikTokShop</t>
  </si>
  <si>
    <t>https://vt.tiktok.com/ZSfefX6D6/?page=TikTokShop</t>
  </si>
  <si>
    <t>https://vt.tiktok.com/ZSfeaBSkU/?page=TikTokShop</t>
  </si>
  <si>
    <t>https://vt.tiktok.com/ZSfe5LgXh/?page=TikTokShop</t>
  </si>
  <si>
    <t>Pet Supplies</t>
  </si>
  <si>
    <t>https://vt.tiktok.com/ZSycKSK2F/?page=TikTokShop</t>
  </si>
  <si>
    <t>https://vt.tiktok.com/ZSfJ9qkDH/?page=TikTokShop</t>
  </si>
  <si>
    <t>https://vt.tiktok.com/ZSy312C4Y/?page=TikTokShop</t>
  </si>
  <si>
    <t>https://vt.tiktok.com/ZSy3DtqPN/?page=TikTokShop</t>
  </si>
  <si>
    <t>Shoes</t>
  </si>
  <si>
    <t>https://vt.tiktok.com/ZSfJufSog/?page=TikTokShop</t>
  </si>
  <si>
    <t>https://vt.tiktok.com/ZSy3yAEkM/?page=TikTokShop</t>
  </si>
  <si>
    <t>https://vt.tiktok.com/ZSfefMvnN/?page=TikTokShop</t>
  </si>
  <si>
    <t>https://vt.tiktok.com/ZSycwEAek/?page=TikTokShop</t>
  </si>
  <si>
    <t>https://vt.tiktok.com/ZSfJxrugS/?page=TikTokShop</t>
  </si>
  <si>
    <t>Toys &amp; Hobbies</t>
  </si>
  <si>
    <t>https://vt.tiktok.com/ZSfJC9mGw/?page=TikTokShop</t>
  </si>
  <si>
    <t>https://vt.tiktok.com/ZSy3Dpgpt/?page=TikTokShop</t>
  </si>
  <si>
    <t>https://vt.tiktok.com/ZSfeAYMAC/?page=TikTokShop</t>
  </si>
  <si>
    <t>https://vt.tiktok.com/ZSfeRmdN9/?page=TikTokShop</t>
  </si>
  <si>
    <t>https://vt.tiktok.com/ZSfe2oePs/?page=TikTokShop</t>
  </si>
  <si>
    <t>https://vt.tiktok.com/ZSy3dya1v/?page=TikTokShop</t>
  </si>
  <si>
    <t>https://vt.tiktok.com/ZSfJH2eeU/?page=TikTokShop</t>
  </si>
  <si>
    <t>https://vt.tiktok.com/ZSfJQSX74/?page=TikTokShop</t>
  </si>
  <si>
    <t>Home Improvement</t>
  </si>
  <si>
    <t>https://vt.tiktok.com/ZSfeakwet/?page=TikTokShop</t>
  </si>
  <si>
    <t>https://vt.tiktok.com/ZSfeyoxbS/?page=TikTokShop</t>
  </si>
  <si>
    <t>https://vt.tiktok.com/ZSfJmaagD/?page=TikTokShop</t>
  </si>
  <si>
    <t>https://vt.tiktok.com/ZSfeDsfy5/?page=TikTokShop</t>
  </si>
  <si>
    <t>https://vt.tiktok.com/ZSfe8MGCY/?page=TikTokShop</t>
  </si>
  <si>
    <t>https://vt.tiktok.com/ZSy3R3fsr/?page=TikTokShop</t>
  </si>
  <si>
    <t>https://vt.tiktok.com/ZSy3Ug44e/?page=TikTokShop</t>
  </si>
  <si>
    <t>https://vt.tiktok.com/ZSycECxxh/?page=TikTokShop</t>
  </si>
  <si>
    <t>https://vt.tiktok.com/ZSy3JEC8q/?page=TikTokShop</t>
  </si>
  <si>
    <t>https://vt.tiktok.com/ZSfeFPc95/?page=TikTokShop</t>
  </si>
  <si>
    <t>https://vt.tiktok.com/ZSfeyttFF/?page=TikTokShop</t>
  </si>
  <si>
    <t>https://vt.tiktok.com/ZSy3177BY/?page=TikTokShop</t>
  </si>
  <si>
    <t>https://vt.tiktok.com/ZSfJa952t/?page=TikTokShop</t>
  </si>
  <si>
    <t>https://vt.tiktok.com/ZSfeaKKut/?page=TikTokShop</t>
  </si>
  <si>
    <t>https://vt.tiktok.com/ZSycwmBS3/?page=TikTokShop</t>
  </si>
  <si>
    <t>https://vt.tiktok.com/ZSfJqP7GA/?page=TikTokShop</t>
  </si>
  <si>
    <t>https://vt.tiktok.com/ZSfJqv4YL/?page=TikTokShop</t>
  </si>
  <si>
    <t>https://vt.tiktok.com/ZSfe8UPYE/?page=TikTokShop</t>
  </si>
  <si>
    <t>https://vt.tiktok.com/ZSfJH9y21/?page=TikTokShop</t>
  </si>
  <si>
    <t>https://vt.tiktok.com/ZSfemfL9R/?page=TikTokShop</t>
  </si>
  <si>
    <t>https://vt.tiktok.com/ZSycoKMNQ/?page=TikTokShop</t>
  </si>
  <si>
    <t>https://vt.tiktok.com/ZSfJb3kCj/?page=TikTokShop</t>
  </si>
  <si>
    <t>https://vt.tiktok.com/ZSfJmuMQ7/?page=TikTokShop</t>
  </si>
  <si>
    <t>Não encontrado</t>
  </si>
  <si>
    <t>https://vt.tiktok.com/ZSfe24k79/?page=TikTokShop</t>
  </si>
  <si>
    <t>https://vt.tiktok.com/ZSfeUbYxd/?page=TikTokShop</t>
  </si>
  <si>
    <t>https://vt.tiktok.com/ZSfeSbadE/?page=TikTokShop</t>
  </si>
  <si>
    <t>https://vt.tiktok.com/ZSy3U6AR1/?page=TikTokShop</t>
  </si>
  <si>
    <t>https://vt.tiktok.com/ZSfe893s5/?page=TikTokShop</t>
  </si>
  <si>
    <t>https://vt.tiktok.com/ZSfJuQQqe/?page=TikTokShop</t>
  </si>
  <si>
    <t>https://vt.tiktok.com/ZSfeyUcmK/?page=TikTokShop</t>
  </si>
  <si>
    <t>https://vt.tiktok.com/ZSfJbrQfw/?page=TikTokShop</t>
  </si>
  <si>
    <t>https://vt.tiktok.com/ZSfJVqWnr/?page=TikTokShop</t>
  </si>
  <si>
    <t>https://vt.tiktok.com/ZSfJQk5pE/?page=TikTokShop</t>
  </si>
  <si>
    <t>https://vt.tiktok.com/ZSfeL5U2g/?page=TikTokShop</t>
  </si>
  <si>
    <t>https://vt.tiktok.com/ZSfJ9AGcF/?page=TikTokShop</t>
  </si>
  <si>
    <t>https://vt.tiktok.com/ZSfJxfu8d/?page=TikTokShop</t>
  </si>
  <si>
    <t>https://vt.tiktok.com/ZSfJVFKQR/?page=TikTokShop</t>
  </si>
  <si>
    <t>https://vt.tiktok.com/ZSfe5e9YA/?page=TikTokShop</t>
  </si>
  <si>
    <t>https://vt.tiktok.com/ZSfeN3gB9/?page=TikTokShop</t>
  </si>
  <si>
    <t>https://vt.tiktok.com/ZSfefycMN/?page=TikTokShop</t>
  </si>
  <si>
    <t>https://vt.tiktok.com/ZSfemsPws/?page=TikTokShop</t>
  </si>
  <si>
    <t>https://vt.tiktok.com/ZSfeaqbmU/?page=TikTokShop</t>
  </si>
  <si>
    <t>https://vt.tiktok.com/ZSfeyGmpP/?page=TikTokShop</t>
  </si>
  <si>
    <t>https://vt.tiktok.com/ZSfJq9RS3/?page=TikTokShop</t>
  </si>
  <si>
    <t>Collectibles</t>
  </si>
  <si>
    <t>https://vt.tiktok.com/ZSfeaNjvS/?page=TikTokShop</t>
  </si>
  <si>
    <t>https://vt.tiktok.com/ZSfefG9aK/?page=TikTokShop</t>
  </si>
  <si>
    <t>https://vt.tiktok.com/ZSfeFf3xK/?page=TikTokShop</t>
  </si>
  <si>
    <t>https://vt.tiktok.com/ZSfJmMaRU/?page=TikTokShop</t>
  </si>
  <si>
    <t>https://vt.tiktok.com/ZSfemAdXQ/?page=TikTokShop</t>
  </si>
  <si>
    <t>https://vt.tiktok.com/ZSfJga3x5/?page=TikTokShop</t>
  </si>
  <si>
    <t>Books, Magazines &amp; Audio</t>
  </si>
  <si>
    <t>https://vt.tiktok.com/ZSfe5SX35/?page=TikTokShop</t>
  </si>
  <si>
    <t>https://vt.tiktok.com/ZSfe8fFLJ/?page=TikTokShop</t>
  </si>
  <si>
    <t>https://vt.tiktok.com/ZSfemk866/?page=TikTokShop</t>
  </si>
  <si>
    <t>https://vt.tiktok.com/ZSfJu24eT/?page=TikTokShop</t>
  </si>
  <si>
    <t>https://vt.tiktok.com/ZSfe87S1e/?page=TikTokShop</t>
  </si>
  <si>
    <t>https://vt.tiktok.com/ZSy3DJPvQ/?page=TikTokShop</t>
  </si>
  <si>
    <t>https://vt.tiktok.com/ZSfJHFvLg/?page=TikTokShop</t>
  </si>
  <si>
    <t>https://vt.tiktok.com/ZSfeD9Ag6/?page=TikTokShop</t>
  </si>
  <si>
    <t>https://vt.tiktok.com/ZSfeRbgP9/?page=TikTokShop</t>
  </si>
  <si>
    <t>https://vt.tiktok.com/ZSfeaKBjX/?page=TikTokShop</t>
  </si>
  <si>
    <t>https://vt.tiktok.com/ZSfeaxu5Y/?page=TikTokShop</t>
  </si>
  <si>
    <t>https://vt.tiktok.com/ZSfeLDmhm/?page=TikTokShop</t>
  </si>
  <si>
    <t>https://vt.tiktok.com/ZSfeF3Q41/?page=TikTokShop</t>
  </si>
  <si>
    <t>https://www.tiktok.com/@alwaysfit.com.br</t>
  </si>
  <si>
    <t>https://vt.tiktok.com/ZSfemj9A4/?page=TikTokShop</t>
  </si>
  <si>
    <t>https://vt.tiktok.com/ZSfJuhRfX/?page=TikTokShop</t>
  </si>
  <si>
    <t>https://vt.tiktok.com/ZSfJufqBR/?page=TikTokShop</t>
  </si>
  <si>
    <t>https://vt.tiktok.com/ZSfe2vdHY/?page=TikTokShop</t>
  </si>
  <si>
    <t>https://vt.tiktok.com/ZSfejhpPB/?page=TikTokShop</t>
  </si>
  <si>
    <t>https://vt.tiktok.com/ZSfePnf6a/?page=TikTokShop</t>
  </si>
  <si>
    <t>https://vt.tiktok.com/ZSfJua5TT/?page=TikTokShop</t>
  </si>
  <si>
    <t>https://vt.tiktok.com/ZSfe2gVbx/?page=TikTokShop</t>
  </si>
  <si>
    <t>https://vt.tiktok.com/ZSy3yVas6/?page=TikTokShop</t>
  </si>
  <si>
    <t>https://vt.tiktok.com/ZSfe8VP9R/?page=TikTokShop</t>
  </si>
  <si>
    <t>https://vt.tiktok.com/ZSfeR7Gnr/?page=TikTokShop</t>
  </si>
  <si>
    <t>https://vt.tiktok.com/ZSycToptv/?page=TikTokShop</t>
  </si>
  <si>
    <t>https://www.tiktok.com/@zsh.imports?_r=1&amp;_t=ZS-91TspsdUO97</t>
  </si>
  <si>
    <t>https://www.tiktok.com/@bloombodybr</t>
  </si>
  <si>
    <t>https://vt.tiktok.com/ZSy31tpCE/?page=TikTokShop</t>
  </si>
  <si>
    <t>https://vt.tiktok.com/ZSfJ9Egpk/?page=TikTokShop</t>
  </si>
  <si>
    <t>https://vt.tiktok.com/ZSfeN1XtJ/?page=TikTokShop</t>
  </si>
  <si>
    <t>https://vt.tiktok.com/ZSfJxmb4a/?page=TikTokShop</t>
  </si>
  <si>
    <t>https://vt.tiktok.com/ZSfJVujPu/?page=TikTokShop</t>
  </si>
  <si>
    <t>https://vt.tiktok.com/ZSfeUjs5f/?page=TikTokShop</t>
  </si>
  <si>
    <t>https://vt.tiktok.com/ZSfeLHnTc/?page=TikTokShop</t>
  </si>
  <si>
    <t>https://vt.tiktok.com/ZSfJmjjUP/?page=TikTokShop</t>
  </si>
  <si>
    <t>https://vt.tiktok.com/ZSfefWwm3/?page=TikTokShop</t>
  </si>
  <si>
    <t>https://vt.tiktok.com/ZSfJxuH5c/?page=TikTokShop</t>
  </si>
  <si>
    <t>https://vt.tiktok.com/ZSfe8p6wf/?page=TikTokShop</t>
  </si>
  <si>
    <t>https://vt.tiktok.com/ZSfem9dhm/?page=TikTokShop</t>
  </si>
  <si>
    <t>https://vt.tiktok.com/ZSfeuDrJ9/?page=TikTokShop</t>
  </si>
  <si>
    <t>https://vt.tiktok.com/ZSy3aCCT2/?page=TikTokShop</t>
  </si>
  <si>
    <t>https://vt.tiktok.com/ZSfeRaD5d/?page=TikTokShop</t>
  </si>
  <si>
    <t>https://vt.tiktok.com/ZSycKPLtu/?page=TikTokShop</t>
  </si>
  <si>
    <t>https://vt.tiktok.com/ZSfeaLYQa/?page=TikTokShop</t>
  </si>
  <si>
    <t>https://vt.tiktok.com/ZSfJmG6Kk/?page=TikTokShop</t>
  </si>
  <si>
    <t>https://vt.tiktok.com/ZSfJVKsGE/?page=TikTokShop</t>
  </si>
  <si>
    <t>https://vt.tiktok.com/ZSycwX7oH/?page=TikTokShop</t>
  </si>
  <si>
    <t>https://vt.tiktok.com/ZSfJxSAuT/?page=TikTokShop</t>
  </si>
  <si>
    <t>https://vt.tiktok.com/ZSfeaX1YN/?page=TikTokShop</t>
  </si>
  <si>
    <t>https://vt.tiktok.com/ZSfJHVDdY/?page=TikTokShop</t>
  </si>
  <si>
    <t>https://vt.tiktok.com/ZSfeyfXNS/?page=TikTokShop</t>
  </si>
  <si>
    <t>https://vt.tiktok.com/ZSfJCgEMv/?page=TikTokShop</t>
  </si>
  <si>
    <t>https://vt.tiktok.com/ZSfeFtYPh/?page=TikTokShop</t>
  </si>
  <si>
    <t>https://vt.tiktok.com/ZSycotUfn/?page=TikTokShop</t>
  </si>
  <si>
    <t>https://vt.tiktok.com/ZSfeasFCB/?page=TikTokShop</t>
  </si>
  <si>
    <t>https://vt.tiktok.com/ZSycTKW6v/?page=TikTokShop</t>
  </si>
  <si>
    <t>https://vt.tiktok.com/ZSfJa7r1P/?page=TikTokShop</t>
  </si>
  <si>
    <t>https://vt.tiktok.com/ZSfJ9Ucdj/?page=TikTokShop</t>
  </si>
  <si>
    <t>https://vt.tiktok.com/ZSfJmenCc/?page=TikTokShop</t>
  </si>
  <si>
    <t>https://www.tiktok.com/@enxovaisbetel?_r=1&amp;_t=ZS-91TvczMQrsy</t>
  </si>
  <si>
    <t>https://vt.tiktok.com/ZSfeUb9aD/?page=TikTokShop</t>
  </si>
  <si>
    <t>https://vt.tiktok.com/ZSfePUh4n/?page=TikTokShop</t>
  </si>
  <si>
    <t>https://vt.tiktok.com/ZSfePC3Eq/?page=TikTokShop</t>
  </si>
  <si>
    <t>https://vt.tiktok.com/ZSfJuNGYQ/?page=TikTokShop</t>
  </si>
  <si>
    <t>https://vt.tiktok.com/ZSfeaGgT7/?page=TikTokShop</t>
  </si>
  <si>
    <t>https://vt.tiktok.com/ZSfJmHDBH/?page=TikTokShop</t>
  </si>
  <si>
    <t>https://vt.tiktok.com/ZSfJm2t8J/?page=TikTokShop</t>
  </si>
  <si>
    <t>https://vt.tiktok.com/ZSfeYgMtx/?page=TikTokShop</t>
  </si>
  <si>
    <t>https://vt.tiktok.com/ZSy3DH12m/?page=TikTokShop</t>
  </si>
  <si>
    <t>https://vt.tiktok.com/ZSy3UDf5V/?page=TikTokShop</t>
  </si>
  <si>
    <t>https://vt.tiktok.com/ZSfJXeXmg/?page=TikTokShop</t>
  </si>
  <si>
    <t>https://vt.tiktok.com/ZSfemdp3H/?page=TikTokShop</t>
  </si>
  <si>
    <t>https://vt.tiktok.com/ZSfJQtE1L/?page=TikTokShop</t>
  </si>
  <si>
    <t>https://vt.tiktok.com/ZSfeaGnbx/?page=TikTokShop</t>
  </si>
  <si>
    <t>https://vt.tiktok.com/ZSfeaFCAE/?page=TikTokShop</t>
  </si>
  <si>
    <t>https://vt.tiktok.com/ZSfJg6pwJ/?page=TikTokShop</t>
  </si>
  <si>
    <t>https://vt.tiktok.com/ZSfeRHXMe/?page=TikTokShop</t>
  </si>
  <si>
    <t>https://vt.tiktok.com/ZSfJqkpUt/?page=TikTokShop</t>
  </si>
  <si>
    <t>https://vt.tiktok.com/ZSfe8eBjX/?page=TikTokShop</t>
  </si>
  <si>
    <t>https://vt.tiktok.com/ZSfe8RprE/?page=TikTokShop</t>
  </si>
  <si>
    <t>https://vt.tiktok.com/ZSfeypQAN/?page=TikTokShop</t>
  </si>
  <si>
    <t>https://vt.tiktok.com/ZSfJqedhA/?page=TikTokShop</t>
  </si>
  <si>
    <t>https://vt.tiktok.com/ZSfeyAQ7p/?page=TikTokShop</t>
  </si>
  <si>
    <t>https://vt.tiktok.com/ZSfJVpqGL/?page=TikTokShop</t>
  </si>
  <si>
    <t>https://vt.tiktok.com/ZSfJCKmq5/?page=TikTokShop</t>
  </si>
  <si>
    <t>https://vt.tiktok.com/ZSfea3apu/?page=TikTokShop</t>
  </si>
  <si>
    <t>https://vt.tiktok.com/ZSfe5B1oA/?page=TikTokShop</t>
  </si>
  <si>
    <t>https://vt.tiktok.com/ZSy3UCQ6m/?page=TikTokShop</t>
  </si>
  <si>
    <t>https://vt.tiktok.com/ZSfeR9c8d/?page=TikTokShop</t>
  </si>
  <si>
    <t>https://vt.tiktok.com/ZSfeF1ueT/?page=TikTokShop</t>
  </si>
  <si>
    <t>https://www.tiktok.com/@kobeertoficial?_r=1&amp;_t=ZS-91TrOcCeRMK</t>
  </si>
  <si>
    <t>https://vt.tiktok.com/ZSfeSTutK/?page=TikTokShop</t>
  </si>
  <si>
    <t>https://vt.tiktok.com/ZSycKsA8Y/?page=TikTokShop</t>
  </si>
  <si>
    <t>https://vt.tiktok.com/ZSfJ9CTUD/?page=TikTokShop</t>
  </si>
  <si>
    <t>https://vt.tiktok.com/ZSfJ9xUPw/?page=TikTokShop</t>
  </si>
  <si>
    <t>https://vt.tiktok.com/ZSy3D9D5J/?page=TikTokShop</t>
  </si>
  <si>
    <t>https://vt.tiktok.com/ZSfJpNBnB/?page=TikTokShop</t>
  </si>
  <si>
    <t>https://vt.tiktok.com/ZSfe2gD5q/?page=TikTokShop</t>
  </si>
  <si>
    <t>https://vt.tiktok.com/ZSfef3UAX/?page=TikTokShop</t>
  </si>
  <si>
    <t>https://vt.tiktok.com/ZSfeFhMrG/?page=TikTokShop</t>
  </si>
  <si>
    <t>https://vt.tiktok.com/ZSfea8fyB/?page=TikTokShop</t>
  </si>
  <si>
    <t>https://vt.tiktok.com/ZSfeYy4Nf/?page=TikTokShop</t>
  </si>
  <si>
    <t>https://vt.tiktok.com/ZSfe5dVDw/?page=TikTokShop</t>
  </si>
  <si>
    <t>https://vt.tiktok.com/ZSfJqkx3b/?page=TikTokShop</t>
  </si>
  <si>
    <t>https://vt.tiktok.com/ZSy3LjdQf/?page=TikTokShop</t>
  </si>
  <si>
    <t>https://vt.tiktok.com/ZSfeR5cSn/?page=TikTokShop</t>
  </si>
  <si>
    <t>https://vt.tiktok.com/ZSycWxphV/?page=TikTokShop</t>
  </si>
  <si>
    <t>https://vt.tiktok.com/ZSfJxuj9m/?page=TikTokShop</t>
  </si>
  <si>
    <t>https://vt.tiktok.com/ZSfJ9PUGf/?page=TikTokShop</t>
  </si>
  <si>
    <t>https://vt.tiktok.com/ZSfeyKd26/?page=TikTokShop</t>
  </si>
  <si>
    <t>https://vt.tiktok.com/ZSfefFByk/?page=TikTokShop</t>
  </si>
  <si>
    <t>https://vt.tiktok.com/ZSfeuJvDX/?page=TikTokShop</t>
  </si>
  <si>
    <t>https://vt.tiktok.com/ZSy3RhsTQ/?page=TikTokShop</t>
  </si>
  <si>
    <t>https://vt.tiktok.com/ZSy3Dx56x/?page=TikTokShop</t>
  </si>
  <si>
    <t>https://vt.tiktok.com/ZSfJgoF1k/?page=TikTokShop</t>
  </si>
  <si>
    <t>https://vt.tiktok.com/ZSfJxTncc/?page=TikTokShop</t>
  </si>
  <si>
    <t>https://vt.tiktok.com/ZSfeFqd8j/?page=TikTokShop</t>
  </si>
  <si>
    <t>https://vt.tiktok.com/ZSfe8rvNx/?page=TikTokShop</t>
  </si>
  <si>
    <t>https://vt.tiktok.com/ZSfJ9Gput/?page=TikTokShop</t>
  </si>
  <si>
    <t>https://vt.tiktok.com/ZSfeypFDA/?page=TikTokShop</t>
  </si>
  <si>
    <t>https://vt.tiktok.com/ZSfemCr19/?page=TikTokShop</t>
  </si>
  <si>
    <t>https://www.tiktok.com/@neverdiestore.br</t>
  </si>
  <si>
    <t>https://vt.tiktok.com/ZSfef5eYv/?page=TikTokShop</t>
  </si>
  <si>
    <t>https://vt.tiktok.com/ZSfJCLAhe/?page=TikTokShop</t>
  </si>
  <si>
    <t>https://vt.tiktok.com/ZSfJVYAL3/?page=TikTokShop</t>
  </si>
  <si>
    <t>https://vt.tiktok.com/ZSy387pkM/?page=TikTokShop</t>
  </si>
  <si>
    <t>https://vt.tiktok.com/ZSfeyuUda/?page=TikTokShop</t>
  </si>
  <si>
    <t>https://vt.tiktok.com/ZSfJaqGFR/?page=TikTokShop</t>
  </si>
  <si>
    <t>https://vt.tiktok.com/ZSfeYyXJh/?page=TikTokShop</t>
  </si>
  <si>
    <t>https://vt.tiktok.com/ZSfefNyKS/?page=TikTokShop</t>
  </si>
  <si>
    <t>https://vt.tiktok.com/ZSfe86fDw/?page=TikTokShop</t>
  </si>
  <si>
    <t>https://vt.tiktok.com/ZSfePssav/?page=TikTokShop</t>
  </si>
  <si>
    <t>https://vt.tiktok.com/ZSycEQLsR/?page=TikTokShop</t>
  </si>
  <si>
    <t>https://vt.tiktok.com/ZSfJQMPoe/?page=TikTokShop</t>
  </si>
  <si>
    <t>https://vt.tiktok.com/ZSfefae81/?page=TikTokShop</t>
  </si>
  <si>
    <t>https://vt.tiktok.com/ZSycKM345/?page=TikTokShop</t>
  </si>
  <si>
    <t>https://vt.tiktok.com/ZSfe8RDqs/?page=TikTokShop</t>
  </si>
  <si>
    <t>https://vt.tiktok.com/ZSfeAmuqu/?page=TikTokShop</t>
  </si>
  <si>
    <t>https://vt.tiktok.com/ZSy3AnmPT/?page=TikTokShop</t>
  </si>
  <si>
    <t>https://vt.tiktok.com/ZSfJXsSWW/?page=TikTokShop</t>
  </si>
  <si>
    <t>https://vt.tiktok.com/ZSy3DWCXq/?page=TikTokShop</t>
  </si>
  <si>
    <t>https://vt.tiktok.com/ZSfeLev85/?page=TikTokShop</t>
  </si>
  <si>
    <t>https://vt.tiktok.com/ZSfeLygSd/?page=TikTokShop</t>
  </si>
  <si>
    <t>https://vt.tiktok.com/ZSfJCYcNg/?page=TikTokShop</t>
  </si>
  <si>
    <t>https://vt.tiktok.com/ZSfeRWMVY/?page=TikTokShop</t>
  </si>
  <si>
    <t>https://vt.tiktok.com/ZSfefB1Xn/?page=TikTokShop</t>
  </si>
  <si>
    <t>https://vt.tiktok.com/ZSfeyQo6j/?page=TikTokShop</t>
  </si>
  <si>
    <t>https://vt.tiktok.com/ZSfemAA3d/?page=TikTokShop</t>
  </si>
  <si>
    <t>https://vt.tiktok.com/ZSfJgnD58/?page=TikTokShop</t>
  </si>
  <si>
    <t>https://vt.tiktok.com/ZSfePXJD5/?page=TikTokShop</t>
  </si>
  <si>
    <t>https://vt.tiktok.com/ZSfJaDjMB/?page=TikTokShop</t>
  </si>
  <si>
    <t>https://vt.tiktok.com/ZSfJ96ubE/?page=TikTokShop</t>
  </si>
  <si>
    <t>https://vt.tiktok.com/ZSfefsw8L/?page=TikTokShop</t>
  </si>
  <si>
    <t>https://vt.tiktok.com/ZSfJuf7cW/?page=TikTokShop</t>
  </si>
  <si>
    <t>https://vt.tiktok.com/ZSfeAetJr/?page=TikTokShop</t>
  </si>
  <si>
    <t>https://vt.tiktok.com/ZSfeuLaPn/?page=TikTokShop</t>
  </si>
  <si>
    <t>https://vt.tiktok.com/ZSy3UUGTb/?page=TikTokShop</t>
  </si>
  <si>
    <t>https://vt.tiktok.com/ZSfJCKNdw/?page=TikTokShop</t>
  </si>
  <si>
    <t>https://vt.tiktok.com/ZSfJCxufm/?page=TikTokShop</t>
  </si>
  <si>
    <t>https://vt.tiktok.com/ZSfeaG7Yh/?page=TikTokShop</t>
  </si>
  <si>
    <t>https://vt.tiktok.com/ZSfJQxFRF/?page=TikTokShop</t>
  </si>
  <si>
    <t>https://vt.tiktok.com/ZSfeUpDbT/?page=TikTokShop</t>
  </si>
  <si>
    <t>https://vt.tiktok.com/ZSfea4T64/?page=TikTokShop</t>
  </si>
  <si>
    <t>https://vt.tiktok.com/ZSfeUvRTa/?page=TikTokShop</t>
  </si>
  <si>
    <t>https://vt.tiktok.com/ZSfJb6TJF/?page=TikTokShop</t>
  </si>
  <si>
    <t>https://vt.tiktok.com/ZSfeLJgK8/?page=TikTokShop</t>
  </si>
  <si>
    <t>https://vt.tiktok.com/ZSfe8dDJp/?page=TikTokShop</t>
  </si>
  <si>
    <t>https://vt.tiktok.com/ZSfJx2eGG/?page=TikTokShop</t>
  </si>
  <si>
    <t>https://vt.tiktok.com/ZSfeArhKf/?page=TikTokShop</t>
  </si>
  <si>
    <t>https://vt.tiktok.com/ZSfJsuqBx/?page=TikTokShop</t>
  </si>
  <si>
    <t>https://vt.tiktok.com/ZSfJutM7C/?page=TikTokShop</t>
  </si>
  <si>
    <t>https://vt.tiktok.com/ZSfeFwb8C/?page=TikTokShop</t>
  </si>
  <si>
    <t>https://vt.tiktok.com/ZSfeF8ege/?page=TikTokShop</t>
  </si>
  <si>
    <t>https://vt.tiktok.com/ZSfJHXaSu/?page=TikTokShop</t>
  </si>
  <si>
    <t>https://vt.tiktok.com/ZSfJxwEvG/?page=TikTokShop</t>
  </si>
  <si>
    <t>https://vt.tiktok.com/ZSfeUobD3/?page=TikTokShop</t>
  </si>
  <si>
    <t>https://vt.tiktok.com/ZSfeyv1Qp/?page=TikTokShop</t>
  </si>
  <si>
    <t>https://vt.tiktok.com/ZSfeyJJBd/?page=TikTokShop</t>
  </si>
  <si>
    <t>https://vt.tiktok.com/ZSy3DHTb4/?page=TikTokShop</t>
  </si>
  <si>
    <t>https://vt.tiktok.com/ZSfJb2H2C/?page=TikTokShop</t>
  </si>
  <si>
    <t>https://vt.tiktok.com/ZSfJCUECu/?page=TikTokShop</t>
  </si>
  <si>
    <t>https://vt.tiktok.com/ZSfe5hkD9/?page=TikTokShop</t>
  </si>
  <si>
    <t>https://vt.tiktok.com/ZSy3UncAY/?page=TikTokShop</t>
  </si>
  <si>
    <t>https://vt.tiktok.com/ZSfJuGBCs/?page=TikTokShop</t>
  </si>
  <si>
    <t>https://vt.tiktok.com/ZSfeFXFVr/?page=TikTokShop</t>
  </si>
  <si>
    <t>https://vt.tiktok.com/ZSfeu2Kt1/?page=TikTokShop</t>
  </si>
  <si>
    <t>https://vt.tiktok.com/ZSy3De5xH/?page=TikTokShop</t>
  </si>
  <si>
    <t>https://vt.tiktok.com/ZSfJudchE/?page=TikTokShop</t>
  </si>
  <si>
    <t>https://vt.tiktok.com/ZSfJpYLQB/?page=TikTokShop</t>
  </si>
  <si>
    <t>https://vt.tiktok.com/ZSfedo7ud/?page=TikTokShop</t>
  </si>
  <si>
    <t>https://vt.tiktok.com/ZSfe2bDyg/?page=TikTokShop</t>
  </si>
  <si>
    <t>https://vt.tiktok.com/ZSfJuNCUH/?page=TikTokShop</t>
  </si>
  <si>
    <t>https://vt.tiktok.com/ZSfJX8PxK/?page=TikTokShop</t>
  </si>
  <si>
    <t>https://vt.tiktok.com/ZSfeFLAWS/?page=TikTokShop</t>
  </si>
  <si>
    <t>https://vt.tiktok.com/ZSy3dPLYP/?page=TikTokShop</t>
  </si>
  <si>
    <t>https://vt.tiktok.com/ZSy3DTnjn/?page=TikTokShop</t>
  </si>
  <si>
    <t>https://vt.tiktok.com/ZSfeLPtYt/?page=TikTokShop</t>
  </si>
  <si>
    <t>https://vt.tiktok.com/ZSfeFNjf2/?page=TikTokShop</t>
  </si>
  <si>
    <t>https://vt.tiktok.com/ZSfeA8n2s/?page=TikTokShop</t>
  </si>
  <si>
    <t>https://vt.tiktok.com/ZSfJgcBfh/?page=TikTokShop</t>
  </si>
  <si>
    <t>https://vt.tiktok.com/ZSy3DkxeH/?page=TikTokShop</t>
  </si>
  <si>
    <t>https://vt.tiktok.com/ZSycKwff1/?page=TikTokShop</t>
  </si>
  <si>
    <t>https://vt.tiktok.com/ZSfeafYTf/?page=TikTokShop</t>
  </si>
  <si>
    <t>https://vt.tiktok.com/ZSfeDx8Ek/?page=TikTokShop</t>
  </si>
  <si>
    <t>https://vt.tiktok.com/ZSfeDoC1v/?page=TikTokShop</t>
  </si>
  <si>
    <t>https://vt.tiktok.com/ZSfJ9nPeC/?page=TikTokShop</t>
  </si>
  <si>
    <t>https://vt.tiktok.com/ZSy3UH26o/?page=TikTokShop</t>
  </si>
  <si>
    <t>https://vt.tiktok.com/ZSy3RUdSm/?page=TikTokShop</t>
  </si>
  <si>
    <t>https://vt.tiktok.com/ZSfJufd51/?page=TikTokShop</t>
  </si>
  <si>
    <t>https://vt.tiktok.com/ZSy3aX52C/?page=TikTokShop</t>
  </si>
  <si>
    <t>https://vt.tiktok.com/ZSfJQ5W5F/?page=TikTokShop</t>
  </si>
  <si>
    <t>https://vt.tiktok.com/ZSfJQM6KL/?page=TikTokShop</t>
  </si>
  <si>
    <t>https://vt.tiktok.com/ZSfJCeM3X/?page=TikTokShop</t>
  </si>
  <si>
    <t>https://vt.tiktok.com/ZSfJx2oRE/?page=TikTokShop</t>
  </si>
  <si>
    <t>https://vt.tiktok.com/ZSy3e5j8u/?page=TikTokShop</t>
  </si>
  <si>
    <t>https://vt.tiktok.com/ZSfeyoCwn/?page=TikTokShop</t>
  </si>
  <si>
    <t>https://vt.tiktok.com/ZSycEVKpn/?page=TikTokShop</t>
  </si>
  <si>
    <t>https://vt.tiktok.com/ZSfJ9Jbj2/?page=TikTokShop</t>
  </si>
  <si>
    <t>https://vt.tiktok.com/ZSfefmsYw/?page=TikTokShop</t>
  </si>
  <si>
    <t>https://vt.tiktok.com/ZSy383nf6/?page=TikTokShop</t>
  </si>
  <si>
    <t>https://vt.tiktok.com/ZSfe55Kor/?page=TikTokShop</t>
  </si>
  <si>
    <t>https://vt.tiktok.com/ZSfeUQtY5/?page=TikTokShop</t>
  </si>
  <si>
    <t>https://vt.tiktok.com/ZSfeRsYbV/?page=TikTokShop</t>
  </si>
  <si>
    <t>https://vt.tiktok.com/ZSy38aBsv/?page=TikTokShop</t>
  </si>
  <si>
    <t>https://vt.tiktok.com/ZSfemBUJv/?page=TikTokShop</t>
  </si>
  <si>
    <t>https://vt.tiktok.com/ZSycovFa3/?page=TikTokShop</t>
  </si>
  <si>
    <t>https://vt.tiktok.com/ZSfJuaagF/?page=TikTokShop</t>
  </si>
  <si>
    <t>https://vt.tiktok.com/ZSfJqBE1R/?page=TikTokShop</t>
  </si>
  <si>
    <t>https://vt.tiktok.com/ZSfJ5ws1S/?page=TikTokShop</t>
  </si>
  <si>
    <t>https://vt.tiktok.com/ZSfeyE8RU/?page=TikTokShop</t>
  </si>
  <si>
    <t>https://vt.tiktok.com/ZSfJbW6ck/?page=TikTokShop</t>
  </si>
  <si>
    <t>https://vt.tiktok.com/ZSfJxKMKx/?page=TikTokShop</t>
  </si>
  <si>
    <t>https://vt.tiktok.com/ZSfJVCBRV/?page=TikTokShop</t>
  </si>
  <si>
    <t>https://vt.tiktok.com/ZSfJCusmV/?page=TikTokShop</t>
  </si>
  <si>
    <t>https://vt.tiktok.com/ZSy3UXgBn/?page=TikTokShop</t>
  </si>
  <si>
    <t>https://vt.tiktok.com/ZSfJmAkBS/?page=TikTokShop</t>
  </si>
  <si>
    <t>Kids' Fashion</t>
  </si>
  <si>
    <t>Ativo</t>
  </si>
  <si>
    <t>Choice Oficial</t>
  </si>
  <si>
    <t>ANJ.GG store</t>
  </si>
  <si>
    <t>Lovito Loja Oficial</t>
  </si>
  <si>
    <t>Casa_Completa_Enxovais</t>
  </si>
  <si>
    <t>Loja 128</t>
  </si>
  <si>
    <t>Marisa.store</t>
  </si>
  <si>
    <t>Ming.store</t>
  </si>
  <si>
    <t>Britânia Oficial</t>
  </si>
  <si>
    <t>ALFA MERCEARIA.BR</t>
  </si>
  <si>
    <t>CHOCOBRAZ EMBALAGENS</t>
  </si>
  <si>
    <t>JIMMY.STORE</t>
  </si>
  <si>
    <t>Jorge.store</t>
  </si>
  <si>
    <t>Mega TechStore</t>
  </si>
  <si>
    <t>jvch21my_o</t>
  </si>
  <si>
    <t>NEWCOOL</t>
  </si>
  <si>
    <t>ADS-store</t>
  </si>
  <si>
    <t>Online Editora</t>
  </si>
  <si>
    <t>LuxeElectra</t>
  </si>
  <si>
    <t>Poloinfantil.store</t>
  </si>
  <si>
    <t>YUMI CELL</t>
  </si>
  <si>
    <t>Marca Texto e Papel Fotográfico</t>
  </si>
  <si>
    <t>Globilia Seleção Oficial</t>
  </si>
  <si>
    <t>Fang.store</t>
  </si>
  <si>
    <t>Mania Pingo de Mel</t>
  </si>
  <si>
    <t>Coala Essências Oficial</t>
  </si>
  <si>
    <t>Alex.store</t>
  </si>
  <si>
    <t>ANA 1108</t>
  </si>
  <si>
    <t>EvaMia</t>
  </si>
  <si>
    <t>DAFUSHOP_brasil</t>
  </si>
  <si>
    <t>EssencialBaby</t>
  </si>
  <si>
    <t>WUDI SHOP</t>
  </si>
  <si>
    <t>CARPEI ACESSORIO LTDA</t>
  </si>
  <si>
    <t>Lily Space</t>
  </si>
  <si>
    <t>Doman Comércio</t>
  </si>
  <si>
    <t>Olapam</t>
  </si>
  <si>
    <t>BellaFlorOficial</t>
  </si>
  <si>
    <t>Papel fotografico e Papelaria</t>
  </si>
  <si>
    <t>H&amp;T Davi</t>
  </si>
  <si>
    <t>Yihan.store</t>
  </si>
  <si>
    <t>LUCKY BAZAR</t>
  </si>
  <si>
    <t>New Show Oficial</t>
  </si>
  <si>
    <t>mypetone</t>
  </si>
  <si>
    <t>@LVSHOP</t>
  </si>
  <si>
    <t>Ans Agrária</t>
  </si>
  <si>
    <t>RIven Bazar</t>
  </si>
  <si>
    <t>LUSTER.br</t>
  </si>
  <si>
    <t>Lucas dos Livros</t>
  </si>
  <si>
    <t>ANJIN IMPORTS</t>
  </si>
  <si>
    <t>Drogaria  Araujo</t>
  </si>
  <si>
    <t>Belmicro Oficial</t>
  </si>
  <si>
    <t>P&amp;H  Oficial</t>
  </si>
  <si>
    <t>Philco Oficial</t>
  </si>
  <si>
    <t>yaya.br</t>
  </si>
  <si>
    <t>Principia Skincare</t>
  </si>
  <si>
    <t>XING TU BOLSA</t>
  </si>
  <si>
    <t>INFINITY COMERCIO DE VARIEDADES</t>
  </si>
  <si>
    <t>IMPÉRIO LIFE</t>
  </si>
  <si>
    <t>ESC BOUTIQUES</t>
  </si>
  <si>
    <t>Le biscuit®</t>
  </si>
  <si>
    <t>ABCSHOP_br</t>
  </si>
  <si>
    <t>CASA NOVA ENXOVAIS E DECORAÇÃO</t>
  </si>
  <si>
    <t>Good Vibes Moment Variedade Mochila</t>
  </si>
  <si>
    <t>Neverdie Store</t>
  </si>
  <si>
    <t>yiyiyi</t>
  </si>
  <si>
    <t>br.Fashionista</t>
  </si>
  <si>
    <t>Livraria Cordeiro</t>
  </si>
  <si>
    <t>TOP SHOP ELETRONICO</t>
  </si>
  <si>
    <t>Super store!</t>
  </si>
  <si>
    <t>KIKIMALL</t>
  </si>
  <si>
    <t>RISESHOP_brasil</t>
  </si>
  <si>
    <t>MSK Armarinhos</t>
  </si>
  <si>
    <t>Isabela Top</t>
  </si>
  <si>
    <t>PANGU Store</t>
  </si>
  <si>
    <t>Karseell Oficial</t>
  </si>
  <si>
    <t>MAX MO (Atacado &amp; Varejo)</t>
  </si>
  <si>
    <t>Vida Criativa</t>
  </si>
  <si>
    <t>Luxor Comercial</t>
  </si>
  <si>
    <t>Mercearia da Natureza</t>
  </si>
  <si>
    <t>SELLNEEDS</t>
  </si>
  <si>
    <t>WL ARMARINHO</t>
  </si>
  <si>
    <t>BELLA CASA ENXOVAIS E DECORAÇÃO</t>
  </si>
  <si>
    <t>Cherrygo1.br</t>
  </si>
  <si>
    <t>Novelty Department Store</t>
  </si>
  <si>
    <t>DeliverySaúde</t>
  </si>
  <si>
    <t>ZSZ_brasil</t>
  </si>
  <si>
    <t>HEXUN SHOP</t>
  </si>
  <si>
    <t>Amor de Make Oficial</t>
  </si>
  <si>
    <t>VIVALAR SHOP</t>
  </si>
  <si>
    <t>TOP LOJA ELETRONICO</t>
  </si>
  <si>
    <t>CasaLauraEnxovais</t>
  </si>
  <si>
    <t>TAYANSHOPPING</t>
  </si>
  <si>
    <t>JinJin</t>
  </si>
  <si>
    <t>Multineos Comercio</t>
  </si>
  <si>
    <t>TOP&amp;CASA</t>
  </si>
  <si>
    <t>Tom - Toys e Acessorios</t>
  </si>
  <si>
    <t>Value Choice</t>
  </si>
  <si>
    <t>FENIX ELETRO COMERCIO LTDA</t>
  </si>
  <si>
    <t>Na Web Group De Marcas</t>
  </si>
  <si>
    <t>Global Mochilas CHL</t>
  </si>
  <si>
    <t>FENG .</t>
  </si>
  <si>
    <t>Heybox­­</t>
  </si>
  <si>
    <t>Link&amp;LinkShop_Brasil</t>
  </si>
  <si>
    <t>Ankco Shop</t>
  </si>
  <si>
    <t>LEGAL PLUS</t>
  </si>
  <si>
    <t>FAST MO</t>
  </si>
  <si>
    <t>Dana Cosmeticos</t>
  </si>
  <si>
    <t>YOUYI BIJUTERIAS</t>
  </si>
  <si>
    <t>Mais Barato Brinquedos</t>
  </si>
  <si>
    <t>Easy life LTDA</t>
  </si>
  <si>
    <t>MULTI BAZAR E-COMMERCE</t>
  </si>
  <si>
    <t>LIULIU</t>
  </si>
  <si>
    <t>M G SHOP</t>
  </si>
  <si>
    <t>MaisKCompra Store</t>
  </si>
  <si>
    <t>estrela237</t>
  </si>
  <si>
    <t>Brasil Capas de Capinha Celular HAO</t>
  </si>
  <si>
    <t>EVTec Store</t>
  </si>
  <si>
    <t>tangshop_brasil</t>
  </si>
  <si>
    <t>MOBY LUX</t>
  </si>
  <si>
    <t>Encanto de Beleza</t>
  </si>
  <si>
    <t>ZSZ_Official Store</t>
  </si>
  <si>
    <t>Arara.store</t>
  </si>
  <si>
    <t>Gud Buy</t>
  </si>
  <si>
    <t>Cozinha em Casa</t>
  </si>
  <si>
    <t>P&amp;P FIT</t>
  </si>
  <si>
    <t>Bela Beleza Oficial</t>
  </si>
  <si>
    <t>MY COMERCIO</t>
  </si>
  <si>
    <t>Papelaria Nathy Print</t>
  </si>
  <si>
    <t>DonaLarana_Casa</t>
  </si>
  <si>
    <t>Três Esquilinhos</t>
  </si>
  <si>
    <t>Lojas Coisarada</t>
  </si>
  <si>
    <t>MANASLO</t>
  </si>
  <si>
    <t>Amanhecer</t>
  </si>
  <si>
    <t>DAFUSHOP Official Store</t>
  </si>
  <si>
    <t>Belifou Talheres</t>
  </si>
  <si>
    <t>Tem Tudo Import</t>
  </si>
  <si>
    <t>PopCapa</t>
  </si>
  <si>
    <t>JP Acessorio</t>
  </si>
  <si>
    <t>CL 99</t>
  </si>
  <si>
    <t>Arcada de Misou</t>
  </si>
  <si>
    <t>GiGiL</t>
  </si>
  <si>
    <t>Cordeiro Bookstore</t>
  </si>
  <si>
    <t>LOI BRASIL</t>
  </si>
  <si>
    <t>MANADA ANIMAL</t>
  </si>
  <si>
    <t>Deccó Moda Intima</t>
  </si>
  <si>
    <t>Docemalu</t>
  </si>
  <si>
    <t>Osure</t>
  </si>
  <si>
    <t>ONE LIGHT SHOP</t>
  </si>
  <si>
    <t>OPA LEGAL</t>
  </si>
  <si>
    <t>SunCase</t>
  </si>
  <si>
    <t>QIFAN</t>
  </si>
  <si>
    <t>INLIS ANA BAZAR</t>
  </si>
  <si>
    <t>CP-story</t>
  </si>
  <si>
    <t>FU MOON</t>
  </si>
  <si>
    <t>Colina Shop</t>
  </si>
  <si>
    <t>STYLLO CASA ENXOVAIS</t>
  </si>
  <si>
    <t>Strong Tools</t>
  </si>
  <si>
    <t>NEXLYSHOPPING</t>
  </si>
  <si>
    <t>MUNDO DA LELE</t>
  </si>
  <si>
    <t>DN PAPELARIA</t>
  </si>
  <si>
    <t>Jatobraz</t>
  </si>
  <si>
    <t>KASPRIME.STORE</t>
  </si>
  <si>
    <t>BOMM FAMILIA</t>
  </si>
  <si>
    <t>BRESTER MÁQUINAS E FERRAMENTAS</t>
  </si>
  <si>
    <t>vipcasa</t>
  </si>
  <si>
    <t>78 STORE</t>
  </si>
  <si>
    <t>SPK Papelaria</t>
  </si>
  <si>
    <t>MTT_MODAS_ACESSORIS</t>
  </si>
  <si>
    <t>PENGFA TECH LTDA</t>
  </si>
  <si>
    <t>Estou_Crescendo</t>
  </si>
  <si>
    <t>Max Presentes</t>
  </si>
  <si>
    <t>Festa e.bazar</t>
  </si>
  <si>
    <t>inova_beauty</t>
  </si>
  <si>
    <t>AIGEE SHOP</t>
  </si>
  <si>
    <t>Casa ZDQ</t>
  </si>
  <si>
    <t>BEST MO</t>
  </si>
  <si>
    <t>J H presentes</t>
  </si>
  <si>
    <t>GP ECOMMERCE.</t>
  </si>
  <si>
    <t>Inovar Top</t>
  </si>
  <si>
    <t>HerberT Eletrônico</t>
  </si>
  <si>
    <t>M Flowerr</t>
  </si>
  <si>
    <t>RIO ATACADÃO</t>
  </si>
  <si>
    <t>BALEIA.TECNOLOGIA</t>
  </si>
  <si>
    <t>Schuster Papelaria</t>
  </si>
  <si>
    <t>JX VERDE</t>
  </si>
  <si>
    <t>instinto mix presentes</t>
  </si>
  <si>
    <t>ZSZ_SHOP</t>
  </si>
  <si>
    <t>ES Official Shop</t>
  </si>
  <si>
    <t>Shopixxx</t>
  </si>
  <si>
    <t>Domus</t>
  </si>
  <si>
    <t>rfimportadora28788</t>
  </si>
  <si>
    <t>ROUPAS PARA CICLISMO</t>
  </si>
  <si>
    <t>VENSENSHOPPING</t>
  </si>
  <si>
    <t>Hapok</t>
  </si>
  <si>
    <t>KEEP SHOP</t>
  </si>
  <si>
    <t>CASA FULL</t>
  </si>
  <si>
    <t>TNT Mercearia</t>
  </si>
  <si>
    <t>Vest Bela Lingerie</t>
  </si>
  <si>
    <t>Banana.Store_</t>
  </si>
  <si>
    <t>CHUANGXIN</t>
  </si>
  <si>
    <t>Um Toque De Moda1</t>
  </si>
  <si>
    <t>vivarosa</t>
  </si>
  <si>
    <t>DUDUSHOP OFICIAL</t>
  </si>
  <si>
    <t>Haishop_lampadas</t>
  </si>
  <si>
    <t>Draw Papelaria</t>
  </si>
  <si>
    <t>Selfridge.store</t>
  </si>
  <si>
    <t>Rubber Store</t>
  </si>
  <si>
    <t>Tubarão Max</t>
  </si>
  <si>
    <t>Pink Corazon</t>
  </si>
  <si>
    <t>Forte DMS Brasil</t>
  </si>
  <si>
    <t>SUPERTOFU SHOP</t>
  </si>
  <si>
    <t>Rosa de Mello Atacado &amp; Varejo</t>
  </si>
  <si>
    <t>LuckBaby</t>
  </si>
  <si>
    <t>Gaggion Enxovais</t>
  </si>
  <si>
    <t>Ana Baby Store</t>
  </si>
  <si>
    <t>MadeiraMadeira</t>
  </si>
  <si>
    <t>RN VARIEDADES</t>
  </si>
  <si>
    <t>NIVEA OFICIAL</t>
  </si>
  <si>
    <t>L # Y MODAS ATACADO</t>
  </si>
  <si>
    <t>MILLION_SHOP.br</t>
  </si>
  <si>
    <t>Lin case</t>
  </si>
  <si>
    <t>TXB TECH LTDA</t>
  </si>
  <si>
    <t>Efácil Oficial</t>
  </si>
  <si>
    <t>PALUECOM</t>
  </si>
  <si>
    <t>Hello Look Here</t>
  </si>
  <si>
    <t>Max Casa</t>
  </si>
  <si>
    <t>Pet Tobby</t>
  </si>
  <si>
    <t>MANIA ACESSORIO</t>
  </si>
  <si>
    <t>Lojas REDE</t>
  </si>
  <si>
    <t>Newshop Variedades</t>
  </si>
  <si>
    <t>HUAJIE LOJA</t>
  </si>
  <si>
    <t>lindaleycosmeticos</t>
  </si>
  <si>
    <t>Corpus</t>
  </si>
  <si>
    <t>ZeM Acessorios</t>
  </si>
  <si>
    <t>T&amp;TBem_vindo.br</t>
  </si>
  <si>
    <t>MCH.MODA</t>
  </si>
  <si>
    <t>Master Atacadista</t>
  </si>
  <si>
    <t>Kameell</t>
  </si>
  <si>
    <t>Ngk Store</t>
  </si>
  <si>
    <t>Mundo Intimo</t>
  </si>
  <si>
    <t>Lumiss</t>
  </si>
  <si>
    <t>Platinum Kids</t>
  </si>
  <si>
    <t>Cyn Shop</t>
  </si>
  <si>
    <t>Yobel.Loja</t>
  </si>
  <si>
    <t>Tyche Confecções</t>
  </si>
  <si>
    <t>RightNow Shop</t>
  </si>
  <si>
    <t>Kingmoo Brasil</t>
  </si>
  <si>
    <t>LUZORA</t>
  </si>
  <si>
    <t>Daffine.Oficial</t>
  </si>
  <si>
    <t>CLICK TECH BR</t>
  </si>
  <si>
    <t>Moderna Capa</t>
  </si>
  <si>
    <t>Leo Store Br</t>
  </si>
  <si>
    <t>petpremier</t>
  </si>
  <si>
    <t>Monica Fashion</t>
  </si>
  <si>
    <t>Tudo Rosa Cosméticos</t>
  </si>
  <si>
    <t>STAR BAZAR ECOMMERCE</t>
  </si>
  <si>
    <t>JONALISSA SHOP</t>
  </si>
  <si>
    <t>USE AD LINGERIE</t>
  </si>
  <si>
    <t>lavvi shop</t>
  </si>
  <si>
    <t>PhálleBeauty Oficial</t>
  </si>
  <si>
    <t>DUSKS STORE</t>
  </si>
  <si>
    <t>Canaã  YL</t>
  </si>
  <si>
    <t>KARINA_Life Store</t>
  </si>
  <si>
    <t>BoaBoaa</t>
  </si>
  <si>
    <t>Sombrisul Equipamentos</t>
  </si>
  <si>
    <t>Oncomercio Shop</t>
  </si>
  <si>
    <t>PAPEL.PAPELARIA</t>
  </si>
  <si>
    <t>FELIZ SHOP</t>
  </si>
  <si>
    <t>Sportbay</t>
  </si>
  <si>
    <t>lucky.ZW</t>
  </si>
  <si>
    <t>DECORAÇÃO</t>
  </si>
  <si>
    <t>I Energy</t>
  </si>
  <si>
    <t>MT MODAS ACESSORIO</t>
  </si>
  <si>
    <t>Tudo Ecomm</t>
  </si>
  <si>
    <t>kellyspace</t>
  </si>
  <si>
    <t>DMontão</t>
  </si>
  <si>
    <t>NEW HONG KONG COMERCIO VAREJISTA</t>
  </si>
  <si>
    <t>ToninStore</t>
  </si>
  <si>
    <t>Suas Compras Shop</t>
  </si>
  <si>
    <t>MEGA STORES</t>
  </si>
  <si>
    <t>Bela Manu Home</t>
  </si>
  <si>
    <t>Makeup and Nails</t>
  </si>
  <si>
    <t>B.W.W</t>
  </si>
  <si>
    <t>KIWI Presente</t>
  </si>
  <si>
    <t>Tropical Joias | Varejo | Atacado</t>
  </si>
  <si>
    <t>EXCELAYES COMERCIO IMPORTACAO DE EL</t>
  </si>
  <si>
    <t>ALAN.FONTE.888</t>
  </si>
  <si>
    <t>Panorama Móveis</t>
  </si>
  <si>
    <t>judy.store</t>
  </si>
  <si>
    <t>LeluPets</t>
  </si>
  <si>
    <t>Adora Toys</t>
  </si>
  <si>
    <t>TECNO SHOP BR</t>
  </si>
  <si>
    <t>VidaCriativa_Oficial</t>
  </si>
  <si>
    <t>Cosmeticos São Paulo</t>
  </si>
  <si>
    <t>Samuel Shop</t>
  </si>
  <si>
    <t>ZEMSHOP</t>
  </si>
  <si>
    <t>House Helper</t>
  </si>
  <si>
    <t>NSF SHOP</t>
  </si>
  <si>
    <t>Dismax</t>
  </si>
  <si>
    <t>BeautyFlash</t>
  </si>
  <si>
    <t>DAGUAN</t>
  </si>
  <si>
    <t>UNIT ECOMMERCE</t>
  </si>
  <si>
    <t>Buma Bolsa</t>
  </si>
  <si>
    <t>Dark Lab Oficial</t>
  </si>
  <si>
    <t>JUNGE TECH LTDA</t>
  </si>
  <si>
    <t>koksara.kbeauty</t>
  </si>
  <si>
    <t>HH IMPORTADORA</t>
  </si>
  <si>
    <t>Phils_ecom</t>
  </si>
  <si>
    <t>Star Parfum</t>
  </si>
  <si>
    <t>Mundo Master Atacado</t>
  </si>
  <si>
    <t>Espaço da Blz</t>
  </si>
  <si>
    <t>Borbilia Beleza</t>
  </si>
  <si>
    <t>JUJU CALCADOS</t>
  </si>
  <si>
    <t>XT Box</t>
  </si>
  <si>
    <t>Stephany Top</t>
  </si>
  <si>
    <t>ElisJeans</t>
  </si>
  <si>
    <t>TTcomercio</t>
  </si>
  <si>
    <t>Bisdan Cosmeticos</t>
  </si>
  <si>
    <t>Sol Casa e Variedades</t>
  </si>
  <si>
    <t>Dalpack Embalagens</t>
  </si>
  <si>
    <t>NEZHA SHOP</t>
  </si>
  <si>
    <t>ANJIN BAZAR</t>
  </si>
  <si>
    <t>HOMEFULL66</t>
  </si>
  <si>
    <t>Gaby Reborn</t>
  </si>
  <si>
    <t>COMPROU, CHEGOU Distribuidora</t>
  </si>
  <si>
    <t>lujia</t>
  </si>
  <si>
    <t>Carnival Nails</t>
  </si>
  <si>
    <t>ERIYA BAZAR</t>
  </si>
  <si>
    <t>ZenMarket</t>
  </si>
  <si>
    <t>jeffralda.br</t>
  </si>
  <si>
    <t>TOP Vida Brasil</t>
  </si>
  <si>
    <t>iU Shore</t>
  </si>
  <si>
    <t>KIWI COMERCIO</t>
  </si>
  <si>
    <t>MUMU HOME</t>
  </si>
  <si>
    <t>TerraVitta</t>
  </si>
  <si>
    <t>GAWA Importts</t>
  </si>
  <si>
    <t>DYLADI  CHANNEL</t>
  </si>
  <si>
    <t>Miss Lin</t>
  </si>
  <si>
    <t>MOMO SHOP</t>
  </si>
  <si>
    <t>mrecearia</t>
  </si>
  <si>
    <t>Atentu</t>
  </si>
  <si>
    <t>WN SHOP</t>
  </si>
  <si>
    <t>ALICE BEAUTY</t>
  </si>
  <si>
    <t>BIG MO</t>
  </si>
  <si>
    <t>A Rainha Do La</t>
  </si>
  <si>
    <t>VICTORIA BAZAR EIRELI</t>
  </si>
  <si>
    <t>Lwmt Oficial</t>
  </si>
  <si>
    <t>Kab Comercial</t>
  </si>
  <si>
    <t>ANXIN TECH LTDA</t>
  </si>
  <si>
    <t>M Flower</t>
  </si>
  <si>
    <t>POWERPUP ELETRONICOS</t>
  </si>
  <si>
    <t>19BR SHOP</t>
  </si>
  <si>
    <t>KASEEN COSMETICS OFICIAL</t>
  </si>
  <si>
    <t>eletrocomx</t>
  </si>
  <si>
    <t>HANVIK</t>
  </si>
  <si>
    <t>Inove Papéis de Parede</t>
  </si>
  <si>
    <t>Infinity Brasil E-COMMERCE</t>
  </si>
  <si>
    <t>Ouro Pharma</t>
  </si>
  <si>
    <t>Lucky Clover</t>
  </si>
  <si>
    <t>CASAANA SHOP</t>
  </si>
  <si>
    <t>Escolha Fina</t>
  </si>
  <si>
    <t>Dona Cor</t>
  </si>
  <si>
    <t>TikTak Kids</t>
  </si>
  <si>
    <t>PlanetadoBebê</t>
  </si>
  <si>
    <t>H'Maston Official Brasil</t>
  </si>
  <si>
    <t>LUCKY STORE</t>
  </si>
  <si>
    <t>Slim.Alicates</t>
  </si>
  <si>
    <t>Jãosguen Game</t>
  </si>
  <si>
    <t>eddiexshop</t>
  </si>
  <si>
    <t>agelasbong.br</t>
  </si>
  <si>
    <t>Bloomy s1</t>
  </si>
  <si>
    <t>jm_ey</t>
  </si>
  <si>
    <t>GBM ACESSORIOS</t>
  </si>
  <si>
    <t>PAROSFLUX</t>
  </si>
  <si>
    <t>XUXU BELEZA Oficial</t>
  </si>
  <si>
    <t>GINKGO ECOMMERCE</t>
  </si>
  <si>
    <t>ANDI STORE</t>
  </si>
  <si>
    <t>Casa &amp; Vídeo</t>
  </si>
  <si>
    <t>Jack Cosméticos II</t>
  </si>
  <si>
    <t>SUMARS</t>
  </si>
  <si>
    <t>AquiUtil888</t>
  </si>
  <si>
    <t>CYJ_MODAS</t>
  </si>
  <si>
    <t>Friburgo Oversize</t>
  </si>
  <si>
    <t>Loja Espaço das Divas</t>
  </si>
  <si>
    <t>DeinShop</t>
  </si>
  <si>
    <t>JONALISSA BIJOUX LTDA</t>
  </si>
  <si>
    <t>baruchcommerce</t>
  </si>
  <si>
    <t>C&amp;B Utilidades</t>
  </si>
  <si>
    <t>Keedi Eletrônicos</t>
  </si>
  <si>
    <t>REAL MO</t>
  </si>
  <si>
    <t>atacadovencedor</t>
  </si>
  <si>
    <t>Nova Link</t>
  </si>
  <si>
    <t>megarabazar</t>
  </si>
  <si>
    <t>bo.store</t>
  </si>
  <si>
    <t>WAL OUTLET</t>
  </si>
  <si>
    <t>MAKE UP CITY</t>
  </si>
  <si>
    <t>Luv Intimus</t>
  </si>
  <si>
    <t>arco iris moda feminina</t>
  </si>
  <si>
    <t>REAL LIFE.BR</t>
  </si>
  <si>
    <t>MANGO-SHOP</t>
  </si>
  <si>
    <t>HAGRA AGRICOLA DECORAÇÃO FERRAMENTA</t>
  </si>
  <si>
    <t>ARMAZÉM LESTE</t>
  </si>
  <si>
    <t>lucky chegou</t>
  </si>
  <si>
    <t>Meucheckoutoficial</t>
  </si>
  <si>
    <t>ONELIFE_BRASIL</t>
  </si>
  <si>
    <t>Melhores coisas</t>
  </si>
  <si>
    <t>applilicen.br</t>
  </si>
  <si>
    <t>BIBIBO TECH LTDA</t>
  </si>
  <si>
    <t>Ontime Brasil</t>
  </si>
  <si>
    <t>CT Box</t>
  </si>
  <si>
    <t>Zociella Kids</t>
  </si>
  <si>
    <t>VIP ATACADOS LTDA</t>
  </si>
  <si>
    <t>Haiou111</t>
  </si>
  <si>
    <t>Damien Shop_Brasil</t>
  </si>
  <si>
    <t>Lulu Storee</t>
  </si>
  <si>
    <t>KGB CLOSET</t>
  </si>
  <si>
    <t>Palácio das Ferramentas</t>
  </si>
  <si>
    <t>Distribuidora Express 25</t>
  </si>
  <si>
    <t>Clickcasautil_</t>
  </si>
  <si>
    <t>DEBORA FITNESS</t>
  </si>
  <si>
    <t>ZEM SHOP COMERCIO</t>
  </si>
  <si>
    <t>UV OFFICIAL</t>
  </si>
  <si>
    <t>COCOKA</t>
  </si>
  <si>
    <t>MONICA LINDA</t>
  </si>
  <si>
    <t>A.star</t>
  </si>
  <si>
    <t>Bazar connect e-commerce</t>
  </si>
  <si>
    <t>Tudão Tech  Ltda</t>
  </si>
  <si>
    <t>Moda Monkey Store</t>
  </si>
  <si>
    <t>karseell®</t>
  </si>
  <si>
    <t>MAKE UP NAILS</t>
  </si>
  <si>
    <t>NM LINGERIE</t>
  </si>
  <si>
    <t>Mina Shop</t>
  </si>
  <si>
    <t>UauLoja</t>
  </si>
  <si>
    <t>mazurcosmeticos</t>
  </si>
  <si>
    <t>Centersportoficial</t>
  </si>
  <si>
    <t>HappyShop_</t>
  </si>
  <si>
    <t>Ferraz Modas</t>
  </si>
  <si>
    <t>Electrolux</t>
  </si>
  <si>
    <t>Bellamira</t>
  </si>
  <si>
    <t>Zestify.br</t>
  </si>
  <si>
    <t>senmi.br</t>
  </si>
  <si>
    <t>Jr Qualidade</t>
  </si>
  <si>
    <t>atacado loja</t>
  </si>
  <si>
    <t>Comercial Vipasa</t>
  </si>
  <si>
    <t>FastStar</t>
  </si>
  <si>
    <t>FULLPOWER。</t>
  </si>
  <si>
    <t>Casa Novinha</t>
  </si>
  <si>
    <t>AS PLACE E-COMMERCE LTDA</t>
  </si>
  <si>
    <t>Kádecor</t>
  </si>
  <si>
    <t>BNVT Variedades</t>
  </si>
  <si>
    <t>HH UTILIDADES</t>
  </si>
  <si>
    <t>CapaViva</t>
  </si>
  <si>
    <t>Krokodilus Oficial</t>
  </si>
  <si>
    <t>Top Utilidades LTDA</t>
  </si>
  <si>
    <t>Havaianas Oficial</t>
  </si>
  <si>
    <t>jcarsi.br</t>
  </si>
  <si>
    <t>QX Eletrônico</t>
  </si>
  <si>
    <t>Arial Tech</t>
  </si>
  <si>
    <t>CN</t>
  </si>
  <si>
    <t>DW SHOP13</t>
  </si>
  <si>
    <t>New Shop BR</t>
  </si>
  <si>
    <t>Verde Vida Grup</t>
  </si>
  <si>
    <t>AuraSelect BR</t>
  </si>
  <si>
    <t>yv-ning</t>
  </si>
  <si>
    <t>MonnaFit</t>
  </si>
  <si>
    <t>Nova Electro Shop</t>
  </si>
  <si>
    <t>Naturabr</t>
  </si>
  <si>
    <t>AD ROSA DE MELLO</t>
  </si>
  <si>
    <t>Loli Comercio de Variedades</t>
  </si>
  <si>
    <t>Amar Vendas Online</t>
  </si>
  <si>
    <t>LINK&amp;LINK TK</t>
  </si>
  <si>
    <t>Plum novo</t>
  </si>
  <si>
    <t>TOP BOLSAS</t>
  </si>
  <si>
    <t>VIAMONT</t>
  </si>
  <si>
    <t>VIVATECH ELETRONICA</t>
  </si>
  <si>
    <t>YSOL</t>
  </si>
  <si>
    <t>Hilee Brasil</t>
  </si>
  <si>
    <t>Mi Energy</t>
  </si>
  <si>
    <t>A Loja da Senhora Cai</t>
  </si>
  <si>
    <t>LSM JOIAS</t>
  </si>
  <si>
    <t>AMAR ENXOVAIS BR</t>
  </si>
  <si>
    <t>LALALEMON FITNESS</t>
  </si>
  <si>
    <t>INGOBRASIl</t>
  </si>
  <si>
    <t>GGBAOM</t>
  </si>
  <si>
    <t>PoPODA1</t>
  </si>
  <si>
    <t>Aura Beauty Club</t>
  </si>
  <si>
    <t>MXTD</t>
  </si>
  <si>
    <t>Loja de variedades Wang</t>
  </si>
  <si>
    <t>Revann Med</t>
  </si>
  <si>
    <t>CASA NOVA BR</t>
  </si>
  <si>
    <t>Caplace Beleza e Perfumaria</t>
  </si>
  <si>
    <t>Blackdragonesporte</t>
  </si>
  <si>
    <t>Crystal Armor</t>
  </si>
  <si>
    <t>WITYBIO MATRIZ</t>
  </si>
  <si>
    <t>LAN10125</t>
  </si>
  <si>
    <t>HALL COMERCIO</t>
  </si>
  <si>
    <t>CAPINHA FINA</t>
  </si>
  <si>
    <t>QUARXERY SKINCARE Brazil</t>
  </si>
  <si>
    <t>MAXIMUS CALCADOS</t>
  </si>
  <si>
    <t>MAXCOTE</t>
  </si>
  <si>
    <t>Three force shop</t>
  </si>
  <si>
    <t>elausabrasil</t>
  </si>
  <si>
    <t>cecilialin shop</t>
  </si>
  <si>
    <t>TTL COMERCIAL</t>
  </si>
  <si>
    <t>Loja Ypê</t>
  </si>
  <si>
    <t>DORADO VARIEDADES</t>
  </si>
  <si>
    <t>LUANA6946</t>
  </si>
  <si>
    <t>JuPremium</t>
  </si>
  <si>
    <t>Cabral Tech</t>
  </si>
  <si>
    <t>Shopping WT</t>
  </si>
  <si>
    <t>Loja Departamento TW</t>
  </si>
  <si>
    <t>Homix Util</t>
  </si>
  <si>
    <t>SNOW_Store</t>
  </si>
  <si>
    <t>BELOFIN</t>
  </si>
  <si>
    <t>kentluostore</t>
  </si>
  <si>
    <t>ELLISSAY MODA SPORTS FEMININA</t>
  </si>
  <si>
    <t>VidaKua Beauty</t>
  </si>
  <si>
    <t>AltomexTech</t>
  </si>
  <si>
    <t>Lu Imports Ltda</t>
  </si>
  <si>
    <t>KN20 MODA</t>
  </si>
  <si>
    <t>mannin variedades</t>
  </si>
  <si>
    <t>Tech Shop BR</t>
  </si>
  <si>
    <t>Loja de Departamentos Xuxu</t>
  </si>
  <si>
    <t>Grand Venda</t>
  </si>
  <si>
    <t>Mega mercado</t>
  </si>
  <si>
    <t>TORINOOFC</t>
  </si>
  <si>
    <t>Joybella SHOP</t>
  </si>
  <si>
    <t>Loja Popozuda</t>
  </si>
  <si>
    <t>ICLaiCai</t>
  </si>
  <si>
    <t>HJ Nova</t>
  </si>
  <si>
    <t>TH COMERCIAL</t>
  </si>
  <si>
    <t>MomyCalcados</t>
  </si>
  <si>
    <t>CHTO'store</t>
  </si>
  <si>
    <t>VESSIA</t>
  </si>
  <si>
    <t>BrilhaBrasil</t>
  </si>
  <si>
    <t>PCP MODAS</t>
  </si>
  <si>
    <t>Naraka Jeans</t>
  </si>
  <si>
    <t>Angel wink.br</t>
  </si>
  <si>
    <t>Kimi Atacado</t>
  </si>
  <si>
    <t>OLABEBE</t>
  </si>
  <si>
    <t>vendemaistop</t>
  </si>
  <si>
    <t>TK SUPFIRE2025</t>
  </si>
  <si>
    <t>mundo das brinquedos</t>
  </si>
  <si>
    <t>Carol STORE.</t>
  </si>
  <si>
    <t>Lidery Modas</t>
  </si>
  <si>
    <t>Bionutri Suplementos</t>
  </si>
  <si>
    <t>SERGIO MODAS</t>
  </si>
  <si>
    <t>Chic&amp;ShineBR</t>
  </si>
  <si>
    <t>VidaKua Life</t>
  </si>
  <si>
    <t>Shopwoq</t>
  </si>
  <si>
    <t>Zeleven.ecomm</t>
  </si>
  <si>
    <t>HJ Queen</t>
  </si>
  <si>
    <t>ByMaisonDeParfum</t>
  </si>
  <si>
    <t>MAAT BRAND</t>
  </si>
  <si>
    <t>WS TRAJE AO RIGOR</t>
  </si>
  <si>
    <t>Congratulations Store</t>
  </si>
  <si>
    <t>MEGA SUCESSO</t>
  </si>
  <si>
    <t>EZRA Loja principal</t>
  </si>
  <si>
    <t>THS MODA</t>
  </si>
  <si>
    <t>BEST PAPELARIA</t>
  </si>
  <si>
    <t>Linda linda La beuaty</t>
  </si>
  <si>
    <t>czm variedades</t>
  </si>
  <si>
    <t>Vegetti Calçados</t>
  </si>
  <si>
    <t>DAOYEE BR Store</t>
  </si>
  <si>
    <t>gisad</t>
  </si>
  <si>
    <t>Crops For You</t>
  </si>
  <si>
    <t>Coisas Boas</t>
  </si>
  <si>
    <t>TTKshoping</t>
  </si>
  <si>
    <t>Loja Warm Harbor</t>
  </si>
  <si>
    <t>Organic</t>
  </si>
  <si>
    <t>M Fashion888</t>
  </si>
  <si>
    <t>DAOYEE SELLER</t>
  </si>
  <si>
    <t>MELANA.</t>
  </si>
  <si>
    <t>ZinaModa</t>
  </si>
  <si>
    <t>mannin store</t>
  </si>
  <si>
    <t>LQX VARIEDADES</t>
  </si>
  <si>
    <t>HJ Loja</t>
  </si>
  <si>
    <t>Nuvem br</t>
  </si>
  <si>
    <t>Shop Cgs</t>
  </si>
  <si>
    <t>FERNANDA MODAS1</t>
  </si>
  <si>
    <t>Lefago Lingerie</t>
  </si>
  <si>
    <t>kenzubeauty.make</t>
  </si>
  <si>
    <t>UR MALL</t>
  </si>
  <si>
    <t>VarieFácil</t>
  </si>
  <si>
    <t>NOTHSIDE YE LTDA</t>
  </si>
  <si>
    <t>óculos moda</t>
  </si>
  <si>
    <t>VLECOMMERCE</t>
  </si>
  <si>
    <t>Capas e Peliculas</t>
  </si>
  <si>
    <t>PINKPINK BR</t>
  </si>
  <si>
    <t>Eletrônicos TopShop</t>
  </si>
  <si>
    <t>TENIS NA HORA</t>
  </si>
  <si>
    <t>ON LOVE SECRET</t>
  </si>
  <si>
    <t>Pequena Loja de Vida</t>
  </si>
  <si>
    <t>Decorados</t>
  </si>
  <si>
    <t>RSLINDAS-COMERCIO</t>
  </si>
  <si>
    <t>Aline'Store</t>
  </si>
  <si>
    <t>VivaTrend BR</t>
  </si>
  <si>
    <t>MaisonDeParfum</t>
  </si>
  <si>
    <t>Joias e roupas da moda</t>
  </si>
  <si>
    <t>AMEI JEANS</t>
  </si>
  <si>
    <t>GEDORE CHEMICALS</t>
  </si>
  <si>
    <t>Mystical Dream</t>
  </si>
  <si>
    <t>WOW BR Store</t>
  </si>
  <si>
    <t>Fala Beauté</t>
  </si>
  <si>
    <t>PL Confecções</t>
  </si>
  <si>
    <t>HAIYAN111</t>
  </si>
  <si>
    <t>ERADINO</t>
  </si>
  <si>
    <t>TOP BR</t>
  </si>
  <si>
    <t>meu.spoiler</t>
  </si>
  <si>
    <t>Loja WT Top</t>
  </si>
  <si>
    <t>Casa Aidema</t>
  </si>
  <si>
    <t>Navlume shop</t>
  </si>
  <si>
    <t>CLICK&amp;VIVA</t>
  </si>
  <si>
    <t>Vit Trend</t>
  </si>
  <si>
    <t>miamivariedades</t>
  </si>
  <si>
    <t>MEOKY Loja</t>
  </si>
  <si>
    <t>EVA-STUDIO.BR</t>
  </si>
  <si>
    <t>Minimalista5202</t>
  </si>
  <si>
    <t>Bellamore Calcados</t>
  </si>
  <si>
    <t>Renaxshop</t>
  </si>
  <si>
    <t>lojaline1</t>
  </si>
  <si>
    <t>ABCOMPRAS</t>
  </si>
  <si>
    <t>JXL.JXL</t>
  </si>
  <si>
    <t>Tao Feminino</t>
  </si>
  <si>
    <t>Bloom Shop BR</t>
  </si>
  <si>
    <t>DUARDO COMERCIO</t>
  </si>
  <si>
    <t>Milimétrica</t>
  </si>
  <si>
    <t>pachavyd</t>
  </si>
  <si>
    <t>PONTOKONN</t>
  </si>
  <si>
    <t>B&amp;Qaugen LASH BR</t>
  </si>
  <si>
    <t>Tradetoworld123</t>
  </si>
  <si>
    <t>huahuahua1996</t>
  </si>
  <si>
    <t>V.MTS MODA FEMININA</t>
  </si>
  <si>
    <t>Casa Smart Loja</t>
  </si>
  <si>
    <t>shock shu</t>
  </si>
  <si>
    <t>OUMI LIFE</t>
  </si>
  <si>
    <t>Pulse Sports</t>
  </si>
  <si>
    <t>Hiven Cosméticos</t>
  </si>
  <si>
    <t>Computers &amp; Office Equipment</t>
  </si>
  <si>
    <t>182.4k</t>
  </si>
  <si>
    <t>110.6k</t>
  </si>
  <si>
    <t>109.1k</t>
  </si>
  <si>
    <t>102.1k</t>
  </si>
  <si>
    <t>79.1k</t>
  </si>
  <si>
    <t>69.8k</t>
  </si>
  <si>
    <t>65.3k</t>
  </si>
  <si>
    <t>63.2k</t>
  </si>
  <si>
    <t>62.3k</t>
  </si>
  <si>
    <t>60.7k</t>
  </si>
  <si>
    <t>60.1k</t>
  </si>
  <si>
    <t>54.0k</t>
  </si>
  <si>
    <t>52.3k</t>
  </si>
  <si>
    <t>50.4k</t>
  </si>
  <si>
    <t>48.9k</t>
  </si>
  <si>
    <t>47.6k</t>
  </si>
  <si>
    <t>45.3k</t>
  </si>
  <si>
    <t>41.2k</t>
  </si>
  <si>
    <t>40.8k</t>
  </si>
  <si>
    <t>38.9k</t>
  </si>
  <si>
    <t>38.7k</t>
  </si>
  <si>
    <t>36.4k</t>
  </si>
  <si>
    <t>36.3k</t>
  </si>
  <si>
    <t>35.8k</t>
  </si>
  <si>
    <t>35.5k</t>
  </si>
  <si>
    <t>34.6k</t>
  </si>
  <si>
    <t>34.2k</t>
  </si>
  <si>
    <t>33.6k</t>
  </si>
  <si>
    <t>32.1k</t>
  </si>
  <si>
    <t>31.3k</t>
  </si>
  <si>
    <t>31.1k</t>
  </si>
  <si>
    <t>31.0k</t>
  </si>
  <si>
    <t>30.7k</t>
  </si>
  <si>
    <t>30.0k</t>
  </si>
  <si>
    <t>29.7k</t>
  </si>
  <si>
    <t>29.6k</t>
  </si>
  <si>
    <t>28.5k</t>
  </si>
  <si>
    <t>28.4k</t>
  </si>
  <si>
    <t>28.3k</t>
  </si>
  <si>
    <t>28.2k</t>
  </si>
  <si>
    <t>28.0k</t>
  </si>
  <si>
    <t>27.9k</t>
  </si>
  <si>
    <t>27.1k</t>
  </si>
  <si>
    <t>27.0k</t>
  </si>
  <si>
    <t>26.7k</t>
  </si>
  <si>
    <t>26.6k</t>
  </si>
  <si>
    <t>26.4k</t>
  </si>
  <si>
    <t>26.3k</t>
  </si>
  <si>
    <t>25.9k</t>
  </si>
  <si>
    <t>25.8k</t>
  </si>
  <si>
    <t>25.3k</t>
  </si>
  <si>
    <t>25.0k</t>
  </si>
  <si>
    <t>24.9k</t>
  </si>
  <si>
    <t>23.9k</t>
  </si>
  <si>
    <t>23.5k</t>
  </si>
  <si>
    <t>23.3k</t>
  </si>
  <si>
    <t>23.2k</t>
  </si>
  <si>
    <t>23.1k</t>
  </si>
  <si>
    <t>22.7k</t>
  </si>
  <si>
    <t>22.6k</t>
  </si>
  <si>
    <t>22.5k</t>
  </si>
  <si>
    <t>22.4k</t>
  </si>
  <si>
    <t>22.1k</t>
  </si>
  <si>
    <t>21.9k</t>
  </si>
  <si>
    <t>21.7k</t>
  </si>
  <si>
    <t>21.6k</t>
  </si>
  <si>
    <t>21.5k</t>
  </si>
  <si>
    <t>21.3k</t>
  </si>
  <si>
    <t>21.0k</t>
  </si>
  <si>
    <t>20.9k</t>
  </si>
  <si>
    <t>20.5k</t>
  </si>
  <si>
    <t>20.4k</t>
  </si>
  <si>
    <t>20.2k</t>
  </si>
  <si>
    <t>20.1k</t>
  </si>
  <si>
    <t>20.0k</t>
  </si>
  <si>
    <t>19.9k</t>
  </si>
  <si>
    <t>19.8k</t>
  </si>
  <si>
    <t>19.6k</t>
  </si>
  <si>
    <t>19.5k</t>
  </si>
  <si>
    <t>19.3k</t>
  </si>
  <si>
    <t>18.9k</t>
  </si>
  <si>
    <t>18.4k</t>
  </si>
  <si>
    <t>18.2k</t>
  </si>
  <si>
    <t>18.1k</t>
  </si>
  <si>
    <t>17.9k</t>
  </si>
  <si>
    <t>17.8k</t>
  </si>
  <si>
    <t>17.7k</t>
  </si>
  <si>
    <t>17.5k</t>
  </si>
  <si>
    <t>17.4k</t>
  </si>
  <si>
    <t>17.3k</t>
  </si>
  <si>
    <t>17.1k</t>
  </si>
  <si>
    <t>16.9k</t>
  </si>
  <si>
    <t>16.8k</t>
  </si>
  <si>
    <t>16.7k</t>
  </si>
  <si>
    <t>16.3k</t>
  </si>
  <si>
    <t>16.2k</t>
  </si>
  <si>
    <t>16.1k</t>
  </si>
  <si>
    <t>15.8k</t>
  </si>
  <si>
    <t>15.7k</t>
  </si>
  <si>
    <t>15.6k</t>
  </si>
  <si>
    <t>15.5k</t>
  </si>
  <si>
    <t>15.4k</t>
  </si>
  <si>
    <t>15.3k</t>
  </si>
  <si>
    <t>15.2k</t>
  </si>
  <si>
    <t>15.1k</t>
  </si>
  <si>
    <t>15.0k</t>
  </si>
  <si>
    <t>14.9k</t>
  </si>
  <si>
    <t>14.8k</t>
  </si>
  <si>
    <t>14.7k</t>
  </si>
  <si>
    <t>14.6k</t>
  </si>
  <si>
    <t>14.5k</t>
  </si>
  <si>
    <t>14.4k</t>
  </si>
  <si>
    <t>14.3k</t>
  </si>
  <si>
    <t>14.2k</t>
  </si>
  <si>
    <t>14.0k</t>
  </si>
  <si>
    <t>13.9k</t>
  </si>
  <si>
    <t>13.8k</t>
  </si>
  <si>
    <t>13.7k</t>
  </si>
  <si>
    <t>13.6k</t>
  </si>
  <si>
    <t>13.5k</t>
  </si>
  <si>
    <t>13.4k</t>
  </si>
  <si>
    <t>13.3k</t>
  </si>
  <si>
    <t>13.2k</t>
  </si>
  <si>
    <t>13.1k</t>
  </si>
  <si>
    <t>13.0k</t>
  </si>
  <si>
    <t>12.8k</t>
  </si>
  <si>
    <t>12.7k</t>
  </si>
  <si>
    <t>12.6k</t>
  </si>
  <si>
    <t>12.5k</t>
  </si>
  <si>
    <t>12.4k</t>
  </si>
  <si>
    <t>12.3k</t>
  </si>
  <si>
    <t>12.2k</t>
  </si>
  <si>
    <t>12.1k</t>
  </si>
  <si>
    <t>12.0k</t>
  </si>
  <si>
    <t>11.9k</t>
  </si>
  <si>
    <t>11.8k</t>
  </si>
  <si>
    <t>11.7k</t>
  </si>
  <si>
    <t>11.6k</t>
  </si>
  <si>
    <t>11.5k</t>
  </si>
  <si>
    <t>11.4k</t>
  </si>
  <si>
    <t>11.3k</t>
  </si>
  <si>
    <t>11.2k</t>
  </si>
  <si>
    <t>11.1k</t>
  </si>
  <si>
    <t>11.0k</t>
  </si>
  <si>
    <t>10.9k</t>
  </si>
  <si>
    <t>10.8k</t>
  </si>
  <si>
    <t>10.7k</t>
  </si>
  <si>
    <t>10.6k</t>
  </si>
  <si>
    <t>10.5k</t>
  </si>
  <si>
    <t>10.4k</t>
  </si>
  <si>
    <t>10.3k</t>
  </si>
  <si>
    <t>10.2k</t>
  </si>
  <si>
    <t>10.1k</t>
  </si>
  <si>
    <t>10.0k</t>
  </si>
  <si>
    <t>9.9k</t>
  </si>
  <si>
    <t>9.8k</t>
  </si>
  <si>
    <t>9.7k</t>
  </si>
  <si>
    <t>9.6k</t>
  </si>
  <si>
    <t>9.4k</t>
  </si>
  <si>
    <t>9.3k</t>
  </si>
  <si>
    <t>9.2k</t>
  </si>
  <si>
    <t>9.1k</t>
  </si>
  <si>
    <t>9.0k</t>
  </si>
  <si>
    <t>8.9k</t>
  </si>
  <si>
    <t>8.8k</t>
  </si>
  <si>
    <t>8.7k</t>
  </si>
  <si>
    <t>8.6k</t>
  </si>
  <si>
    <t>8.5k</t>
  </si>
  <si>
    <t>8.4k</t>
  </si>
  <si>
    <t>8.3k</t>
  </si>
  <si>
    <t>8.2k</t>
  </si>
  <si>
    <t>8.1k</t>
  </si>
  <si>
    <t>8.0k</t>
  </si>
  <si>
    <t>7.9k</t>
  </si>
  <si>
    <t>7.8k</t>
  </si>
  <si>
    <t>7.7k</t>
  </si>
  <si>
    <t>7.6k</t>
  </si>
  <si>
    <t>7.5k</t>
  </si>
  <si>
    <t>7.4k</t>
  </si>
  <si>
    <t>7.3k</t>
  </si>
  <si>
    <t>7.2k</t>
  </si>
  <si>
    <t>7.1k</t>
  </si>
  <si>
    <t>7.0k</t>
  </si>
  <si>
    <t>6.9k</t>
  </si>
  <si>
    <t>6.8k</t>
  </si>
  <si>
    <t>6.7k</t>
  </si>
  <si>
    <t>6.6k</t>
  </si>
  <si>
    <t>6.5k</t>
  </si>
  <si>
    <t>6.4k</t>
  </si>
  <si>
    <t>6.3k</t>
  </si>
  <si>
    <t>6.2k</t>
  </si>
  <si>
    <t>R$9.4m</t>
  </si>
  <si>
    <t>R$3.3m</t>
  </si>
  <si>
    <t>R$2.2m</t>
  </si>
  <si>
    <t>R$2.9m</t>
  </si>
  <si>
    <t>R$1.3m</t>
  </si>
  <si>
    <t>R$4.3m</t>
  </si>
  <si>
    <t>R$2.5m</t>
  </si>
  <si>
    <t>R$3.5m</t>
  </si>
  <si>
    <t>R$1.6m</t>
  </si>
  <si>
    <t>R$5.4m</t>
  </si>
  <si>
    <t>R$1.0m</t>
  </si>
  <si>
    <t>R$844.4k</t>
  </si>
  <si>
    <t>R$1.1m</t>
  </si>
  <si>
    <t>R$1.5m</t>
  </si>
  <si>
    <t>R$2.1m</t>
  </si>
  <si>
    <t>R$1.4m</t>
  </si>
  <si>
    <t>R$540.6k</t>
  </si>
  <si>
    <t>R$1.9m</t>
  </si>
  <si>
    <t>R$931.1k</t>
  </si>
  <si>
    <t>R$865.9k</t>
  </si>
  <si>
    <t>R$5.0m</t>
  </si>
  <si>
    <t>R$2.6m</t>
  </si>
  <si>
    <t>R$1.8m</t>
  </si>
  <si>
    <t>R$2.8m</t>
  </si>
  <si>
    <t>R$3.2m</t>
  </si>
  <si>
    <t>R$753.2k</t>
  </si>
  <si>
    <t>R$1.2m</t>
  </si>
  <si>
    <t>R$677.1k</t>
  </si>
  <si>
    <t>R$407.9k</t>
  </si>
  <si>
    <t>R$1.7m</t>
  </si>
  <si>
    <t>R$737.4k</t>
  </si>
  <si>
    <t>R$607.7k</t>
  </si>
  <si>
    <t>R$972.8k</t>
  </si>
  <si>
    <t>R$933.4k</t>
  </si>
  <si>
    <t>R$350.7k</t>
  </si>
  <si>
    <t>R$2.0m</t>
  </si>
  <si>
    <t>R$930.2k</t>
  </si>
  <si>
    <t>R$398.9k</t>
  </si>
  <si>
    <t>R$922.4k</t>
  </si>
  <si>
    <t>R$4.0m</t>
  </si>
  <si>
    <t>R$937.8k</t>
  </si>
  <si>
    <t>R$302.2k</t>
  </si>
  <si>
    <t>R$629.3k</t>
  </si>
  <si>
    <t>R$831.4k</t>
  </si>
  <si>
    <t>R$637.1k</t>
  </si>
  <si>
    <t>R$2.3m</t>
  </si>
  <si>
    <t>R$849.5k</t>
  </si>
  <si>
    <t>R$567.7k</t>
  </si>
  <si>
    <t>R$438.9k</t>
  </si>
  <si>
    <t>R$985.0k</t>
  </si>
  <si>
    <t>R$383.5k</t>
  </si>
  <si>
    <t>R$442.5k</t>
  </si>
  <si>
    <t>R$570.6k</t>
  </si>
  <si>
    <t>R$224.9k</t>
  </si>
  <si>
    <t>R$201.4k</t>
  </si>
  <si>
    <t>R$611.3k</t>
  </si>
  <si>
    <t>R$817.1k</t>
  </si>
  <si>
    <t>R$407.8k</t>
  </si>
  <si>
    <t>R$544.7k</t>
  </si>
  <si>
    <t>R$901.5k</t>
  </si>
  <si>
    <t>R$847.6k</t>
  </si>
  <si>
    <t>R$727.2k</t>
  </si>
  <si>
    <t>R$708.2k</t>
  </si>
  <si>
    <t>R$2.4m</t>
  </si>
  <si>
    <t>R$670.7k</t>
  </si>
  <si>
    <t>R$790.6k</t>
  </si>
  <si>
    <t>R$893.7k</t>
  </si>
  <si>
    <t>R$831.9k</t>
  </si>
  <si>
    <t>R$523.1k</t>
  </si>
  <si>
    <t>R$452.9k</t>
  </si>
  <si>
    <t>R$826.7k</t>
  </si>
  <si>
    <t>R$378.1k</t>
  </si>
  <si>
    <t>R$810.7k</t>
  </si>
  <si>
    <t>R$795.6k</t>
  </si>
  <si>
    <t>R$3.9m</t>
  </si>
  <si>
    <t>R$721.4k</t>
  </si>
  <si>
    <t>R$988.3k</t>
  </si>
  <si>
    <t>R$205.6k</t>
  </si>
  <si>
    <t>R$616.0k</t>
  </si>
  <si>
    <t>R$678.0k</t>
  </si>
  <si>
    <t>R$399.8k</t>
  </si>
  <si>
    <t>R$459.1k</t>
  </si>
  <si>
    <t>R$351.2k</t>
  </si>
  <si>
    <t>R$264.5k</t>
  </si>
  <si>
    <t>R$496.0k</t>
  </si>
  <si>
    <t>R$702.4k</t>
  </si>
  <si>
    <t>R$525.8k</t>
  </si>
  <si>
    <t>R$743.5k</t>
  </si>
  <si>
    <t>R$661.8k</t>
  </si>
  <si>
    <t>R$520.4k</t>
  </si>
  <si>
    <t>R$216.7k</t>
  </si>
  <si>
    <t>R$496.5k</t>
  </si>
  <si>
    <t>R$341.5k</t>
  </si>
  <si>
    <t>R$967.7k</t>
  </si>
  <si>
    <t>R$893.6k</t>
  </si>
  <si>
    <t>R$486.5k</t>
  </si>
  <si>
    <t>R$585.3k</t>
  </si>
  <si>
    <t>R$603.8k</t>
  </si>
  <si>
    <t>R$485.7k</t>
  </si>
  <si>
    <t>R$475.4k</t>
  </si>
  <si>
    <t>R$729.3k</t>
  </si>
  <si>
    <t>R$827.9k</t>
  </si>
  <si>
    <t>R$754.1k</t>
  </si>
  <si>
    <t>R$648.2k</t>
  </si>
  <si>
    <t>R$649.7k</t>
  </si>
  <si>
    <t>R$464.1k</t>
  </si>
  <si>
    <t>R$664.5k</t>
  </si>
  <si>
    <t>R$622.7k</t>
  </si>
  <si>
    <t>R$488.7k</t>
  </si>
  <si>
    <t>R$975.6k</t>
  </si>
  <si>
    <t>R$723.1k</t>
  </si>
  <si>
    <t>R$693.1k</t>
  </si>
  <si>
    <t>R$242.1k</t>
  </si>
  <si>
    <t>R$289.1k</t>
  </si>
  <si>
    <t>R$134.8k</t>
  </si>
  <si>
    <t>R$777.0k</t>
  </si>
  <si>
    <t>R$877.5k</t>
  </si>
  <si>
    <t>R$631.9k</t>
  </si>
  <si>
    <t>R$214.9k</t>
  </si>
  <si>
    <t>R$707.0k</t>
  </si>
  <si>
    <t>R$614.1k</t>
  </si>
  <si>
    <t>R$608.1k</t>
  </si>
  <si>
    <t>R$245.7k</t>
  </si>
  <si>
    <t>R$583.2k</t>
  </si>
  <si>
    <t>R$318.2k</t>
  </si>
  <si>
    <t>R$352.3k</t>
  </si>
  <si>
    <t>R$449.3k</t>
  </si>
  <si>
    <t>R$461.6k</t>
  </si>
  <si>
    <t>R$597.2k</t>
  </si>
  <si>
    <t>R$498.5k</t>
  </si>
  <si>
    <t>R$447.6k</t>
  </si>
  <si>
    <t>R$415.1k</t>
  </si>
  <si>
    <t>R$292.4k</t>
  </si>
  <si>
    <t>R$185.8k</t>
  </si>
  <si>
    <t>R$515.1k</t>
  </si>
  <si>
    <t>R$413.5k</t>
  </si>
  <si>
    <t>R$292.2k</t>
  </si>
  <si>
    <t>R$989.3k</t>
  </si>
  <si>
    <t>R$666.0k</t>
  </si>
  <si>
    <t>R$393.4k</t>
  </si>
  <si>
    <t>R$560.9k</t>
  </si>
  <si>
    <t>R$403.1k</t>
  </si>
  <si>
    <t>R$787.4k</t>
  </si>
  <si>
    <t>R$381.8k</t>
  </si>
  <si>
    <t>R$294.4k</t>
  </si>
  <si>
    <t>R$521.3k</t>
  </si>
  <si>
    <t>R$309.4k</t>
  </si>
  <si>
    <t>R$886.2k</t>
  </si>
  <si>
    <t>R$487.6k</t>
  </si>
  <si>
    <t>R$516.3k</t>
  </si>
  <si>
    <t>R$551.2k</t>
  </si>
  <si>
    <t>R$784.5k</t>
  </si>
  <si>
    <t>R$458.2k</t>
  </si>
  <si>
    <t>R$253.5k</t>
  </si>
  <si>
    <t>R$172.3k</t>
  </si>
  <si>
    <t>R$980.7k</t>
  </si>
  <si>
    <t>R$229.5k</t>
  </si>
  <si>
    <t>R$504.3k</t>
  </si>
  <si>
    <t>R$563.6k</t>
  </si>
  <si>
    <t>R$429.1k</t>
  </si>
  <si>
    <t>R$493.1k</t>
  </si>
  <si>
    <t>R$462.1k</t>
  </si>
  <si>
    <t>R$483.9k</t>
  </si>
  <si>
    <t>R$375.5k</t>
  </si>
  <si>
    <t>R$610.7k</t>
  </si>
  <si>
    <t>R$463.5k</t>
  </si>
  <si>
    <t>R$989.5k</t>
  </si>
  <si>
    <t>R$628.9k</t>
  </si>
  <si>
    <t>R$390.1k</t>
  </si>
  <si>
    <t>R$687.7k</t>
  </si>
  <si>
    <t>R$502.0k</t>
  </si>
  <si>
    <t>R$347.4k</t>
  </si>
  <si>
    <t>R$513.3k</t>
  </si>
  <si>
    <t>R$333.2k</t>
  </si>
  <si>
    <t>R$378.2k</t>
  </si>
  <si>
    <t>R$473.8k</t>
  </si>
  <si>
    <t>R$534.9k</t>
  </si>
  <si>
    <t>R$694.0k</t>
  </si>
  <si>
    <t>R$386.2k</t>
  </si>
  <si>
    <t>R$678.4k</t>
  </si>
  <si>
    <t>R$449.1k</t>
  </si>
  <si>
    <t>R$461.8k</t>
  </si>
  <si>
    <t>R$230.1k</t>
  </si>
  <si>
    <t>R$174.3k</t>
  </si>
  <si>
    <t>R$794.3k</t>
  </si>
  <si>
    <t>R$847.7k</t>
  </si>
  <si>
    <t>R$392.4k</t>
  </si>
  <si>
    <t>R$596.9k</t>
  </si>
  <si>
    <t>R$422.6k</t>
  </si>
  <si>
    <t>R$558.8k</t>
  </si>
  <si>
    <t>R$352.4k</t>
  </si>
  <si>
    <t>R$265.9k</t>
  </si>
  <si>
    <t>R$260.3k</t>
  </si>
  <si>
    <t>R$412.3k</t>
  </si>
  <si>
    <t>R$109.0k</t>
  </si>
  <si>
    <t>R$380.9k</t>
  </si>
  <si>
    <t>R$285.2k</t>
  </si>
  <si>
    <t>R$651.3k</t>
  </si>
  <si>
    <t>R$172.7k</t>
  </si>
  <si>
    <t>R$525.7k</t>
  </si>
  <si>
    <t>R$131.9k</t>
  </si>
  <si>
    <t>R$509.9k</t>
  </si>
  <si>
    <t>R$428.7k</t>
  </si>
  <si>
    <t>R$811.0k</t>
  </si>
  <si>
    <t>R$268.1k</t>
  </si>
  <si>
    <t>R$438.2k</t>
  </si>
  <si>
    <t>R$302.8k</t>
  </si>
  <si>
    <t>R$541.1k</t>
  </si>
  <si>
    <t>R$618.1k</t>
  </si>
  <si>
    <t>R$243.1k</t>
  </si>
  <si>
    <t>R$748.1k</t>
  </si>
  <si>
    <t>R$638.3k</t>
  </si>
  <si>
    <t>R$3.6m</t>
  </si>
  <si>
    <t>R$291.6k</t>
  </si>
  <si>
    <t>R$309.8k</t>
  </si>
  <si>
    <t>R$435.2k</t>
  </si>
  <si>
    <t>R$385.3k</t>
  </si>
  <si>
    <t>R$278.0k</t>
  </si>
  <si>
    <t>R$213.9k</t>
  </si>
  <si>
    <t>R$383.4k</t>
  </si>
  <si>
    <t>R$695.0k</t>
  </si>
  <si>
    <t>R$209.2k</t>
  </si>
  <si>
    <t>R$142.7k</t>
  </si>
  <si>
    <t>R$950.8k</t>
  </si>
  <si>
    <t>R$440.1k</t>
  </si>
  <si>
    <t>R$411.8k</t>
  </si>
  <si>
    <t>R$303.4k</t>
  </si>
  <si>
    <t>R$463.4k</t>
  </si>
  <si>
    <t>R$332.4k</t>
  </si>
  <si>
    <t>R$445.8k</t>
  </si>
  <si>
    <t>R$299.4k</t>
  </si>
  <si>
    <t>R$172.9k</t>
  </si>
  <si>
    <t>R$592.4k</t>
  </si>
  <si>
    <t>R$301.4k</t>
  </si>
  <si>
    <t>R$318.3k</t>
  </si>
  <si>
    <t>R$351.7k</t>
  </si>
  <si>
    <t>R$537.8k</t>
  </si>
  <si>
    <t>R$628.8k</t>
  </si>
  <si>
    <t>R$509.8k</t>
  </si>
  <si>
    <t>R$432.5k</t>
  </si>
  <si>
    <t>R$446.8k</t>
  </si>
  <si>
    <t>R$272.8k</t>
  </si>
  <si>
    <t>R$480.7k</t>
  </si>
  <si>
    <t>R$884.0k</t>
  </si>
  <si>
    <t>R$236.9k</t>
  </si>
  <si>
    <t>R$848.3k</t>
  </si>
  <si>
    <t>R$473.6k</t>
  </si>
  <si>
    <t>R$353.6k</t>
  </si>
  <si>
    <t>R$337.4k</t>
  </si>
  <si>
    <t>R$367.1k</t>
  </si>
  <si>
    <t>R$109.6k</t>
  </si>
  <si>
    <t>R$461.0k</t>
  </si>
  <si>
    <t>R$374.5k</t>
  </si>
  <si>
    <t>R$366.9k</t>
  </si>
  <si>
    <t>R$283.5k</t>
  </si>
  <si>
    <t>R$336.9k</t>
  </si>
  <si>
    <t>R$188.5k</t>
  </si>
  <si>
    <t>R$483.0k</t>
  </si>
  <si>
    <t>R$383.9k</t>
  </si>
  <si>
    <t>R$264.2k</t>
  </si>
  <si>
    <t>R$512.6k</t>
  </si>
  <si>
    <t>R$395.4k</t>
  </si>
  <si>
    <t>R$158.4k</t>
  </si>
  <si>
    <t>R$343.6k</t>
  </si>
  <si>
    <t>R$397.5k</t>
  </si>
  <si>
    <t>R$360.9k</t>
  </si>
  <si>
    <t>R$444.2k</t>
  </si>
  <si>
    <t>R$237.1k</t>
  </si>
  <si>
    <t>R$368.7k</t>
  </si>
  <si>
    <t>R$439.6k</t>
  </si>
  <si>
    <t>R$269.6k</t>
  </si>
  <si>
    <t>R$290.6k</t>
  </si>
  <si>
    <t>R$715.6k</t>
  </si>
  <si>
    <t>R$111.5k</t>
  </si>
  <si>
    <t>R$488.3k</t>
  </si>
  <si>
    <t>R$303.2k</t>
  </si>
  <si>
    <t>R$290.5k</t>
  </si>
  <si>
    <t>R$464.2k</t>
  </si>
  <si>
    <t>R$290.8k</t>
  </si>
  <si>
    <t>R$234.7k</t>
  </si>
  <si>
    <t>R$243.5k</t>
  </si>
  <si>
    <t>R$225.7k</t>
  </si>
  <si>
    <t>R$256.4k</t>
  </si>
  <si>
    <t>R$347.5k</t>
  </si>
  <si>
    <t>R$516.1k</t>
  </si>
  <si>
    <t>R$382.0k</t>
  </si>
  <si>
    <t>R$495.2k</t>
  </si>
  <si>
    <t>R$507.2k</t>
  </si>
  <si>
    <t>R$317.2k</t>
  </si>
  <si>
    <t>R$506.0k</t>
  </si>
  <si>
    <t>R$365.5k</t>
  </si>
  <si>
    <t>R$352.0k</t>
  </si>
  <si>
    <t>R$549.3k</t>
  </si>
  <si>
    <t>R$319.4k</t>
  </si>
  <si>
    <t>R$181.7k</t>
  </si>
  <si>
    <t>R$218.1k</t>
  </si>
  <si>
    <t>R$269.8k</t>
  </si>
  <si>
    <t>R$266.1k</t>
  </si>
  <si>
    <t>R$360.2k</t>
  </si>
  <si>
    <t>R$273.6k</t>
  </si>
  <si>
    <t>R$137.4k</t>
  </si>
  <si>
    <t>R$152.4k</t>
  </si>
  <si>
    <t>R$677.6k</t>
  </si>
  <si>
    <t>R$389.0k</t>
  </si>
  <si>
    <t>R$718.7k</t>
  </si>
  <si>
    <t>R$415.7k</t>
  </si>
  <si>
    <t>R$178.8k</t>
  </si>
  <si>
    <t>R$185.1k</t>
  </si>
  <si>
    <t>R$475.5k</t>
  </si>
  <si>
    <t>R$390.9k</t>
  </si>
  <si>
    <t>R$414.1k</t>
  </si>
  <si>
    <t>R$272.3k</t>
  </si>
  <si>
    <t>R$428.6k</t>
  </si>
  <si>
    <t>R$337.9k</t>
  </si>
  <si>
    <t>R$124.3k</t>
  </si>
  <si>
    <t>R$202.4k</t>
  </si>
  <si>
    <t>R$226.5k</t>
  </si>
  <si>
    <t>R$57.1k</t>
  </si>
  <si>
    <t>R$381.0k</t>
  </si>
  <si>
    <t>R$282.5k</t>
  </si>
  <si>
    <t>R$235.4k</t>
  </si>
  <si>
    <t>R$367.0k</t>
  </si>
  <si>
    <t>R$548.9k</t>
  </si>
  <si>
    <t>R$227.3k</t>
  </si>
  <si>
    <t>R$505.5k</t>
  </si>
  <si>
    <t>R$411.9k</t>
  </si>
  <si>
    <t>R$391.4k</t>
  </si>
  <si>
    <t>R$132.5k</t>
  </si>
  <si>
    <t>R$447.1k</t>
  </si>
  <si>
    <t>R$114.6k</t>
  </si>
  <si>
    <t>R$205.4k</t>
  </si>
  <si>
    <t>R$394.7k</t>
  </si>
  <si>
    <t>R$591.7k</t>
  </si>
  <si>
    <t>R$128.3k</t>
  </si>
  <si>
    <t>R$179.7k</t>
  </si>
  <si>
    <t>R$216.2k</t>
  </si>
  <si>
    <t>R$278.3k</t>
  </si>
  <si>
    <t>R$441.2k</t>
  </si>
  <si>
    <t>R$220.9k</t>
  </si>
  <si>
    <t>R$162.1k</t>
  </si>
  <si>
    <t>R$192.2k</t>
  </si>
  <si>
    <t>R$280.1k</t>
  </si>
  <si>
    <t>R$396.2k</t>
  </si>
  <si>
    <t>R$694.6k</t>
  </si>
  <si>
    <t>R$233.3k</t>
  </si>
  <si>
    <t>R$552.9k</t>
  </si>
  <si>
    <t>R$358.6k</t>
  </si>
  <si>
    <t>R$121.7k</t>
  </si>
  <si>
    <t>R$369.9k</t>
  </si>
  <si>
    <t>R$314.0k</t>
  </si>
  <si>
    <t>R$891.0k</t>
  </si>
  <si>
    <t>R$432.7k</t>
  </si>
  <si>
    <t>R$263.5k</t>
  </si>
  <si>
    <t>R$315.5k</t>
  </si>
  <si>
    <t>R$165.3k</t>
  </si>
  <si>
    <t>R$370.7k</t>
  </si>
  <si>
    <t>R$446.0k</t>
  </si>
  <si>
    <t>R$255.1k</t>
  </si>
  <si>
    <t>R$388.8k</t>
  </si>
  <si>
    <t>R$166.3k</t>
  </si>
  <si>
    <t>R$239.9k</t>
  </si>
  <si>
    <t>R$656.6k</t>
  </si>
  <si>
    <t>R$205.7k</t>
  </si>
  <si>
    <t>R$318.9k</t>
  </si>
  <si>
    <t>R$677.0k</t>
  </si>
  <si>
    <t>R$308.8k</t>
  </si>
  <si>
    <t>R$379.0k</t>
  </si>
  <si>
    <t>R$283.1k</t>
  </si>
  <si>
    <t>R$238.1k</t>
  </si>
  <si>
    <t>R$401.9k</t>
  </si>
  <si>
    <t>R$249.6k</t>
  </si>
  <si>
    <t>R$273.4k</t>
  </si>
  <si>
    <t>R$448.9k</t>
  </si>
  <si>
    <t>R$366.5k</t>
  </si>
  <si>
    <t>R$265.3k</t>
  </si>
  <si>
    <t>R$581.9k</t>
  </si>
  <si>
    <t>R$465.7k</t>
  </si>
  <si>
    <t>R$131.8k</t>
  </si>
  <si>
    <t>R$88.0k</t>
  </si>
  <si>
    <t>R$206.9k</t>
  </si>
  <si>
    <t>R$479.9k</t>
  </si>
  <si>
    <t>R$393.7k</t>
  </si>
  <si>
    <t>R$196.8k</t>
  </si>
  <si>
    <t>R$286.7k</t>
  </si>
  <si>
    <t>R$181.2k</t>
  </si>
  <si>
    <t>R$270.5k</t>
  </si>
  <si>
    <t>R$103.7k</t>
  </si>
  <si>
    <t>R$219.1k</t>
  </si>
  <si>
    <t>R$283.4k</t>
  </si>
  <si>
    <t>R$206.4k</t>
  </si>
  <si>
    <t>R$230.5k</t>
  </si>
  <si>
    <t>R$515.4k</t>
  </si>
  <si>
    <t>R$280.4k</t>
  </si>
  <si>
    <t>R$211.0k</t>
  </si>
  <si>
    <t>R$384.6k</t>
  </si>
  <si>
    <t>R$81.8k</t>
  </si>
  <si>
    <t>R$208.5k</t>
  </si>
  <si>
    <t>R$147.9k</t>
  </si>
  <si>
    <t>R$671.2k</t>
  </si>
  <si>
    <t>R$418.0k</t>
  </si>
  <si>
    <t>R$227.1k</t>
  </si>
  <si>
    <t>R$281.7k</t>
  </si>
  <si>
    <t>R$700.5k</t>
  </si>
  <si>
    <t>R$230.3k</t>
  </si>
  <si>
    <t>R$435.4k</t>
  </si>
  <si>
    <t>R$454.2k</t>
  </si>
  <si>
    <t>R$197.5k</t>
  </si>
  <si>
    <t>R$595.9k</t>
  </si>
  <si>
    <t>R$258.7k</t>
  </si>
  <si>
    <t>R$114.0k</t>
  </si>
  <si>
    <t>R$394.8k</t>
  </si>
  <si>
    <t>R$173.5k</t>
  </si>
  <si>
    <t>R$275.7k</t>
  </si>
  <si>
    <t>R$466.4k</t>
  </si>
  <si>
    <t>R$234.4k</t>
  </si>
  <si>
    <t>sales_scale</t>
  </si>
  <si>
    <t>total_sales</t>
  </si>
  <si>
    <t>source</t>
  </si>
  <si>
    <t>top_at_shp</t>
  </si>
  <si>
    <t>top_at_tts</t>
  </si>
  <si>
    <t>top_at_both</t>
  </si>
  <si>
    <t>bigger_at_shp</t>
  </si>
  <si>
    <t>Shp 500</t>
  </si>
  <si>
    <t>TABELA DE SUPORTE PARA ANÁLISE</t>
  </si>
  <si>
    <t>Fastmoss 500</t>
  </si>
  <si>
    <t>net_adnmv_usd_shp</t>
  </si>
  <si>
    <t>net_adnmv_usd_tts</t>
  </si>
  <si>
    <t>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</si>
</sst>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6"/>
      <color rgb="FFEE4D2D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rgb="FFEE4D2D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theme="1"/>
      <name val="Calibri"/>
      <family val="2"/>
    </font>
    <font>
      <b/>
      <sz val="30"/>
      <color theme="1"/>
      <name val="Calibri"/>
      <family val="2"/>
    </font>
    <font>
      <b/>
      <sz val="26"/>
      <color rgb="FFE97132"/>
      <name val="Poppins"/>
    </font>
    <font>
      <sz val="10"/>
      <name val="Arial"/>
      <family val="2"/>
    </font>
    <font>
      <b/>
      <sz val="20"/>
      <color rgb="FF000000"/>
      <name val="Calibri"/>
      <family val="2"/>
    </font>
    <font>
      <b/>
      <sz val="12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4D2D"/>
        <bgColor indexed="64"/>
      </patternFill>
    </fill>
    <fill>
      <patternFill patternType="solid">
        <fgColor rgb="FFFDECE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DFA"/>
        <bgColor rgb="FFFFFDFA"/>
      </patternFill>
    </fill>
    <fill>
      <patternFill patternType="solid">
        <fgColor rgb="FFFAFAFA"/>
        <bgColor rgb="FFFAFAFA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000000"/>
      </bottom>
      <diagonal/>
    </border>
    <border>
      <left style="thick">
        <color rgb="FFE97132"/>
      </left>
      <right style="thin">
        <color rgb="FFE5E5E5"/>
      </right>
      <top style="thin">
        <color rgb="FFE5E5E5"/>
      </top>
      <bottom/>
      <diagonal/>
    </border>
    <border>
      <left style="thick">
        <color rgb="FF0B8ECC"/>
      </left>
      <right style="thin">
        <color rgb="FFE5E5E5"/>
      </right>
      <top style="thin">
        <color rgb="FFE5E5E5"/>
      </top>
      <bottom/>
      <diagonal/>
    </border>
  </borders>
  <cellStyleXfs count="2">
    <xf numFmtId="0" fontId="0" fillId="0" borderId="0"/>
    <xf numFmtId="0" fontId="6" fillId="0" borderId="0"/>
  </cellStyleXfs>
  <cellXfs count="28">
    <xf numFmtId="0" fontId="0" fillId="0" borderId="0" xfId="0"/>
    <xf numFmtId="0" fontId="0" fillId="2" borderId="0" xfId="0" applyFill="1"/>
    <xf numFmtId="0" fontId="0" fillId="2" borderId="1" xfId="0" applyFill="1" applyBorder="1"/>
    <xf numFmtId="0" fontId="2" fillId="3" borderId="0" xfId="0" applyFont="1" applyFill="1"/>
    <xf numFmtId="0" fontId="3" fillId="2" borderId="0" xfId="0" applyFont="1" applyFill="1"/>
    <xf numFmtId="0" fontId="0" fillId="4" borderId="2" xfId="0" applyFill="1" applyBorder="1"/>
    <xf numFmtId="0" fontId="4" fillId="2" borderId="0" xfId="0" applyFont="1" applyFill="1"/>
    <xf numFmtId="0" fontId="2" fillId="5" borderId="0" xfId="0" applyFont="1" applyFill="1"/>
    <xf numFmtId="0" fontId="0" fillId="6" borderId="2" xfId="0" applyFill="1" applyBorder="1"/>
    <xf numFmtId="0" fontId="7" fillId="7" borderId="0" xfId="1" applyFont="1" applyFill="1"/>
    <xf numFmtId="0" fontId="6" fillId="0" borderId="0" xfId="1"/>
    <xf numFmtId="0" fontId="7" fillId="8" borderId="0" xfId="1" applyFont="1" applyFill="1"/>
    <xf numFmtId="0" fontId="7" fillId="7" borderId="3" xfId="1" applyFont="1" applyFill="1" applyBorder="1"/>
    <xf numFmtId="0" fontId="7" fillId="8" borderId="3" xfId="1" applyFont="1" applyFill="1" applyBorder="1"/>
    <xf numFmtId="0" fontId="11" fillId="9" borderId="4" xfId="1" applyFont="1" applyFill="1" applyBorder="1" applyAlignment="1">
      <alignment horizontal="center"/>
    </xf>
    <xf numFmtId="0" fontId="12" fillId="8" borderId="0" xfId="1" applyFont="1" applyFill="1"/>
    <xf numFmtId="0" fontId="11" fillId="10" borderId="5" xfId="1" applyFont="1" applyFill="1" applyBorder="1" applyAlignment="1">
      <alignment horizontal="center"/>
    </xf>
    <xf numFmtId="1" fontId="0" fillId="4" borderId="2" xfId="0" applyNumberFormat="1" applyFill="1" applyBorder="1"/>
    <xf numFmtId="14" fontId="0" fillId="4" borderId="2" xfId="0" applyNumberFormat="1" applyFill="1" applyBorder="1"/>
    <xf numFmtId="4" fontId="0" fillId="4" borderId="2" xfId="0" applyNumberFormat="1" applyFill="1" applyBorder="1"/>
    <xf numFmtId="0" fontId="1" fillId="11" borderId="0" xfId="0" applyFont="1" applyFill="1"/>
    <xf numFmtId="0" fontId="0" fillId="12" borderId="2" xfId="0" applyFill="1" applyBorder="1"/>
    <xf numFmtId="3" fontId="0" fillId="12" borderId="2" xfId="0" applyNumberFormat="1" applyFill="1" applyBorder="1"/>
    <xf numFmtId="4" fontId="0" fillId="12" borderId="2" xfId="0" applyNumberFormat="1" applyFill="1" applyBorder="1"/>
    <xf numFmtId="0" fontId="8" fillId="8" borderId="0" xfId="1" applyFont="1" applyFill="1" applyAlignment="1">
      <alignment horizontal="left" vertical="center"/>
    </xf>
    <xf numFmtId="0" fontId="10" fillId="0" borderId="0" xfId="1" applyFont="1"/>
    <xf numFmtId="0" fontId="10" fillId="0" borderId="3" xfId="1" applyFont="1" applyBorder="1"/>
    <xf numFmtId="0" fontId="9" fillId="8" borderId="0" xfId="1" applyFont="1" applyFill="1" applyAlignment="1">
      <alignment horizontal="left" vertical="center"/>
    </xf>
  </cellXfs>
  <cellStyles count="2">
    <cellStyle name="Normal" xfId="0" builtinId="0"/>
    <cellStyle name="Normal 2" xfId="1" xr:uid="{F0CE96DA-ABE0-46B3-AE2F-E6BD05A0ACE3}"/>
  </cellStyles>
  <dxfs count="0"/>
  <tableStyles count="0" defaultTableStyle="TableStyleMedium2" defaultPivotStyle="PivotStyleLight16"/>
  <colors>
    <mruColors>
      <color rgb="FFEE4D2D"/>
      <color rgb="FFFDEC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1</xdr:col>
      <xdr:colOff>146050</xdr:colOff>
      <xdr:row>1048575</xdr:row>
      <xdr:rowOff>0</xdr:rowOff>
    </xdr:to>
    <xdr:sp macro="" textlink="">
      <xdr:nvSpPr>
        <xdr:cNvPr id="7169" name="AutoShape 1" descr="TikTok Logo">
          <a:extLst>
            <a:ext uri="{FF2B5EF4-FFF2-40B4-BE49-F238E27FC236}">
              <a16:creationId xmlns:a16="http://schemas.microsoft.com/office/drawing/2014/main" id="{FD29AB93-C6CB-B3FB-1736-4980ADB5C496}"/>
            </a:ext>
          </a:extLst>
        </xdr:cNvPr>
        <xdr:cNvSpPr>
          <a:spLocks noChangeAspect="1" noChangeArrowheads="1"/>
        </xdr:cNvSpPr>
      </xdr:nvSpPr>
      <xdr:spPr bwMode="auto">
        <a:xfrm>
          <a:off x="0" y="3473450"/>
          <a:ext cx="3048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1</xdr:col>
      <xdr:colOff>146050</xdr:colOff>
      <xdr:row>1048575</xdr:row>
      <xdr:rowOff>0</xdr:rowOff>
    </xdr:to>
    <xdr:sp macro="" textlink="">
      <xdr:nvSpPr>
        <xdr:cNvPr id="7170" name="AutoShape 2" descr="TikTok Logo">
          <a:extLst>
            <a:ext uri="{FF2B5EF4-FFF2-40B4-BE49-F238E27FC236}">
              <a16:creationId xmlns:a16="http://schemas.microsoft.com/office/drawing/2014/main" id="{941D5DF0-36D6-8F3D-60CB-664BDC2D2155}"/>
            </a:ext>
          </a:extLst>
        </xdr:cNvPr>
        <xdr:cNvSpPr>
          <a:spLocks noChangeAspect="1" noChangeArrowheads="1"/>
        </xdr:cNvSpPr>
      </xdr:nvSpPr>
      <xdr:spPr bwMode="auto">
        <a:xfrm>
          <a:off x="0" y="3473450"/>
          <a:ext cx="3048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133349</xdr:colOff>
      <xdr:row>1</xdr:row>
      <xdr:rowOff>177800</xdr:rowOff>
    </xdr:from>
    <xdr:to>
      <xdr:col>1</xdr:col>
      <xdr:colOff>1130300</xdr:colOff>
      <xdr:row>4</xdr:row>
      <xdr:rowOff>527050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77A2BF-AF7E-EF6A-2463-910A13AF2D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544" t="14220" r="25545" b="12396"/>
        <a:stretch>
          <a:fillRect/>
        </a:stretch>
      </xdr:blipFill>
      <xdr:spPr>
        <a:xfrm>
          <a:off x="292099" y="374650"/>
          <a:ext cx="996951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EAD2B-9BB0-4145-B2FC-78DACA0C5760}">
  <sheetPr>
    <tabColor theme="0"/>
    <outlinePr summaryBelow="0" summaryRight="0"/>
  </sheetPr>
  <dimension ref="A1:E15"/>
  <sheetViews>
    <sheetView zoomScaleNormal="100" workbookViewId="0">
      <selection activeCell="D7" sqref="D7"/>
    </sheetView>
  </sheetViews>
  <sheetFormatPr defaultColWidth="0" defaultRowHeight="15.75" customHeight="1" zeroHeight="1" x14ac:dyDescent="0.3"/>
  <cols>
    <col min="1" max="1" width="2.26953125" style="10" customWidth="1"/>
    <col min="2" max="2" width="31.26953125" style="10" customWidth="1"/>
    <col min="3" max="3" width="75.453125" style="10" customWidth="1"/>
    <col min="4" max="4" width="31.26953125" style="10" customWidth="1"/>
    <col min="5" max="5" width="2.26953125" style="10" customWidth="1"/>
    <col min="6" max="16384" width="12.6328125" style="10" hidden="1"/>
  </cols>
  <sheetData>
    <row r="1" spans="1:5" ht="15.5" x14ac:dyDescent="0.35">
      <c r="A1" s="9"/>
      <c r="B1" s="9"/>
      <c r="C1" s="9"/>
      <c r="D1" s="9"/>
      <c r="E1" s="9"/>
    </row>
    <row r="2" spans="1:5" ht="15.5" x14ac:dyDescent="0.35">
      <c r="A2" s="9"/>
      <c r="B2" s="11"/>
      <c r="C2" s="11"/>
      <c r="D2" s="11"/>
      <c r="E2" s="9"/>
    </row>
    <row r="3" spans="1:5" ht="15.5" x14ac:dyDescent="0.35">
      <c r="A3" s="9"/>
      <c r="B3" s="24"/>
      <c r="C3" s="27" t="s">
        <v>46</v>
      </c>
      <c r="D3" s="11"/>
      <c r="E3" s="9"/>
    </row>
    <row r="4" spans="1:5" ht="15.5" x14ac:dyDescent="0.35">
      <c r="A4" s="9"/>
      <c r="B4" s="25"/>
      <c r="C4" s="25"/>
      <c r="D4" s="11"/>
      <c r="E4" s="9"/>
    </row>
    <row r="5" spans="1:5" ht="44.25" customHeight="1" x14ac:dyDescent="0.35">
      <c r="A5" s="12"/>
      <c r="B5" s="26"/>
      <c r="C5" s="26"/>
      <c r="D5" s="13"/>
      <c r="E5" s="12"/>
    </row>
    <row r="6" spans="1:5" ht="15.5" x14ac:dyDescent="0.35">
      <c r="A6" s="9"/>
      <c r="B6" s="11"/>
      <c r="C6" s="11"/>
      <c r="D6" s="11"/>
      <c r="E6" s="9"/>
    </row>
    <row r="7" spans="1:5" ht="30" customHeight="1" x14ac:dyDescent="0.6">
      <c r="A7" s="9"/>
      <c r="B7" s="11"/>
      <c r="C7" s="14" t="s">
        <v>47</v>
      </c>
      <c r="D7" s="11"/>
      <c r="E7" s="9"/>
    </row>
    <row r="8" spans="1:5" ht="15.5" x14ac:dyDescent="0.35">
      <c r="A8" s="9"/>
      <c r="B8" s="11"/>
      <c r="C8" s="15"/>
      <c r="D8" s="11"/>
      <c r="E8" s="9"/>
    </row>
    <row r="9" spans="1:5" ht="30" customHeight="1" x14ac:dyDescent="0.6">
      <c r="A9" s="9"/>
      <c r="B9" s="11"/>
      <c r="C9" s="14" t="s">
        <v>47</v>
      </c>
      <c r="D9" s="11"/>
      <c r="E9" s="9"/>
    </row>
    <row r="10" spans="1:5" ht="15.5" x14ac:dyDescent="0.35">
      <c r="A10" s="9"/>
      <c r="B10" s="11"/>
      <c r="C10" s="15"/>
      <c r="D10" s="11"/>
      <c r="E10" s="9"/>
    </row>
    <row r="11" spans="1:5" ht="30" hidden="1" customHeight="1" x14ac:dyDescent="0.6">
      <c r="A11" s="9"/>
      <c r="B11" s="11"/>
      <c r="C11" s="16" t="s">
        <v>45</v>
      </c>
      <c r="D11" s="11"/>
      <c r="E11" s="9"/>
    </row>
    <row r="12" spans="1:5" ht="30" customHeight="1" x14ac:dyDescent="0.6">
      <c r="A12" s="9"/>
      <c r="B12" s="11"/>
      <c r="C12" s="14" t="s">
        <v>47</v>
      </c>
      <c r="D12" s="11"/>
      <c r="E12" s="9"/>
    </row>
    <row r="13" spans="1:5" ht="15.5" x14ac:dyDescent="0.35">
      <c r="A13" s="9"/>
      <c r="B13" s="11"/>
      <c r="C13" s="11"/>
      <c r="D13" s="11"/>
      <c r="E13" s="9"/>
    </row>
    <row r="14" spans="1:5" ht="15.75" customHeight="1" x14ac:dyDescent="0.35">
      <c r="A14" s="9"/>
      <c r="B14" s="9"/>
      <c r="C14" s="9"/>
      <c r="D14" s="9"/>
      <c r="E14" s="9"/>
    </row>
    <row r="15" spans="1:5" ht="15.75" hidden="1" customHeight="1" x14ac:dyDescent="0.35">
      <c r="A15"/>
    </row>
  </sheetData>
  <mergeCells count="2">
    <mergeCell ref="B3:B5"/>
    <mergeCell ref="C3:C5"/>
  </mergeCells>
  <hyperlinks>
    <hyperlink ref="C7" location="'Estimativa de Vendas'!A1" display="Estimativa de Vendas" xr:uid="{557F4E80-BFB0-42E2-BF85-D7B299A02DA2}"/>
    <hyperlink ref="C9" location="'Sumário do Modelo'!A1" display="Model Summary" xr:uid="{991ECC09-64AD-44B8-B867-2C6201F143DE}"/>
    <hyperlink ref="C11" location="null!A1" display="Amz x Shopee Comparisons" xr:uid="{AC760531-55A1-486E-A58A-F80F1568AEDF}"/>
    <hyperlink ref="C12" location="'Comparações Shopee'!A1" display="Comparações Shopee" xr:uid="{9723558A-DAA2-4201-8EE3-AC220CC2BD55}"/>
  </hyperlink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6805A-AD85-43E4-A401-B6D0DC75B240}">
  <sheetPr>
    <tabColor rgb="FFEE4D2D"/>
  </sheetPr>
  <dimension ref="B1:Q363"/>
  <sheetViews>
    <sheetView tabSelected="1" topLeftCell="N1" zoomScale="70" zoomScaleNormal="70" workbookViewId="0">
      <pane ySplit="7" topLeftCell="A343" activePane="bottomLeft" state="frozen"/>
      <selection pane="bottomLeft" activeCell="Y344" sqref="Y344"/>
    </sheetView>
  </sheetViews>
  <sheetFormatPr defaultRowHeight="14.5" x14ac:dyDescent="0.35"/>
  <cols>
    <col min="1" max="2" width="2.6328125" customWidth="1"/>
    <col min="3" max="3" width="13.6328125" customWidth="1"/>
    <col min="4" max="4" width="15.81640625" customWidth="1"/>
    <col min="5" max="5" width="11.81640625" bestFit="1" customWidth="1"/>
    <col min="6" max="7" width="13.6328125" customWidth="1"/>
    <col min="8" max="8" width="15.81640625" customWidth="1"/>
    <col min="9" max="9" width="16.36328125" bestFit="1" customWidth="1"/>
    <col min="10" max="10" width="13.6328125" customWidth="1"/>
    <col min="11" max="11" width="16.6328125" customWidth="1"/>
    <col min="12" max="13" width="13.6328125" customWidth="1"/>
    <col min="14" max="14" width="11.7265625" customWidth="1"/>
    <col min="15" max="15" width="11.54296875" customWidth="1"/>
    <col min="16" max="16" width="11.81640625" customWidth="1"/>
    <col min="17" max="17" width="10.26953125" customWidth="1"/>
  </cols>
  <sheetData>
    <row r="1" spans="2:17" s="1" customFormat="1" x14ac:dyDescent="0.35"/>
    <row r="2" spans="2:17" s="1" customFormat="1" x14ac:dyDescent="0.35"/>
    <row r="3" spans="2:17" s="1" customFormat="1" ht="21" x14ac:dyDescent="0.5">
      <c r="B3" s="4" t="s">
        <v>2529</v>
      </c>
    </row>
    <row r="4" spans="2:17" s="1" customFormat="1" x14ac:dyDescent="0.35"/>
    <row r="5" spans="2:17" s="2" customFormat="1" x14ac:dyDescent="0.35"/>
    <row r="7" spans="2:17" x14ac:dyDescent="0.35">
      <c r="C7" s="3" t="s">
        <v>36</v>
      </c>
      <c r="D7" s="3" t="s">
        <v>1</v>
      </c>
      <c r="E7" s="3" t="s">
        <v>6</v>
      </c>
      <c r="F7" s="3" t="s">
        <v>5</v>
      </c>
      <c r="G7" s="3" t="s">
        <v>33</v>
      </c>
      <c r="H7" s="3" t="s">
        <v>40</v>
      </c>
      <c r="I7" s="3" t="s">
        <v>2531</v>
      </c>
      <c r="J7" s="3" t="s">
        <v>12</v>
      </c>
      <c r="K7" s="3" t="s">
        <v>2532</v>
      </c>
      <c r="L7" s="20" t="s">
        <v>2523</v>
      </c>
      <c r="M7" s="20" t="s">
        <v>2524</v>
      </c>
      <c r="N7" s="20" t="s">
        <v>2525</v>
      </c>
      <c r="O7" s="20" t="s">
        <v>2526</v>
      </c>
      <c r="P7" s="20" t="s">
        <v>2527</v>
      </c>
      <c r="Q7" s="20" t="s">
        <v>2533</v>
      </c>
    </row>
    <row r="8" spans="2:17" x14ac:dyDescent="0.35">
      <c r="C8" s="5">
        <v>291174073</v>
      </c>
      <c r="D8" s="5" t="s">
        <v>1396</v>
      </c>
      <c r="E8" s="5">
        <f>_xlfn.XLOOKUP(C8,'Same Seller Hist'!E:E,'Same Seller Hist'!I:I)</f>
        <v>7.4961635129468201E+18</v>
      </c>
      <c r="F8" s="5" t="str">
        <f>_xlfn.XLOOKUP(C8,'Same Seller Hist'!E:E,'Same Seller Hist'!H:H)</f>
        <v>ZSZ BR</v>
      </c>
      <c r="G8" s="5" t="s">
        <v>1734</v>
      </c>
      <c r="H8" s="19">
        <v>1621.9999999999968</v>
      </c>
      <c r="I8" s="19">
        <v>9436.9350455496788</v>
      </c>
      <c r="J8" s="19">
        <f>_xlfn.IFNA(_xlfn.XLOOKUP(F8,'Fastmoss 500'!D:D,'Fastmoss 500'!O:O),0)</f>
        <v>700</v>
      </c>
      <c r="K8" s="19">
        <f>_xlfn.IFNA(_xlfn.XLOOKUP(F8,'Fastmoss 500'!D:D,'Fastmoss 500'!N:N),0)</f>
        <v>14158.064516129032</v>
      </c>
      <c r="L8" s="21" t="s">
        <v>2528</v>
      </c>
      <c r="M8" s="21" t="str">
        <f>IF(L8="Shp 500","Sim",IF(ISNA(_xlfn.XLOOKUP(C8,'Shp 500'!D:D,'Shp 500'!D:D)),"Não","Sim"))</f>
        <v>Sim</v>
      </c>
      <c r="N8" s="21" t="str">
        <f>IF(L8="Fastmoss 500","Sim",IF(ISNA(_xlfn.XLOOKUP(_xlfn.XLOOKUP(C8,'Same Seller Hist'!E:E,'Same Seller Hist'!H:H),'Fastmoss 500'!D:D,'Fastmoss 500'!D:D)),"Não","Sim"))</f>
        <v>Sim</v>
      </c>
      <c r="O8" s="21" t="str">
        <f t="shared" ref="O8:O71" si="0">IF(AND(M8="Sim",N8="Sim"),"Sim","Não")</f>
        <v>Sim</v>
      </c>
      <c r="P8" s="21" t="str">
        <f t="shared" ref="P8:P71" si="1">IF(I8&gt;K8,"Sim","Não")</f>
        <v>Não</v>
      </c>
      <c r="Q8" s="21">
        <f t="shared" ref="Q8:Q71" si="2">COUNTIFS(C:C,C8)</f>
        <v>1</v>
      </c>
    </row>
    <row r="9" spans="2:17" x14ac:dyDescent="0.35">
      <c r="C9" s="5">
        <v>552896405</v>
      </c>
      <c r="D9" s="5" t="s">
        <v>1280</v>
      </c>
      <c r="E9" s="5">
        <f>_xlfn.XLOOKUP(C9,'Same Seller Hist'!E:E,'Same Seller Hist'!I:I)</f>
        <v>7.4962600104376699E+18</v>
      </c>
      <c r="F9" s="5" t="str">
        <f>_xlfn.XLOOKUP(C9,'Same Seller Hist'!E:E,'Same Seller Hist'!H:H)</f>
        <v>Casa Completa Enxovais</v>
      </c>
      <c r="G9" s="5" t="s">
        <v>905</v>
      </c>
      <c r="H9" s="19">
        <v>5043.8387096773877</v>
      </c>
      <c r="I9" s="19">
        <v>53289.3035561</v>
      </c>
      <c r="J9" s="19">
        <f>_xlfn.IFNA(_xlfn.XLOOKUP(F9,'Fastmoss 500'!D:D,'Fastmoss 500'!O:O),0)</f>
        <v>0</v>
      </c>
      <c r="K9" s="19">
        <f>_xlfn.IFNA(_xlfn.XLOOKUP(F9,'Fastmoss 500'!D:D,'Fastmoss 500'!N:N),0)</f>
        <v>0</v>
      </c>
      <c r="L9" s="21" t="s">
        <v>2528</v>
      </c>
      <c r="M9" s="21" t="str">
        <f>IF(L9="Shp 500","Sim",IF(ISNA(_xlfn.XLOOKUP(C9,'Shp 500'!D:D,'Shp 500'!D:D)),"Não","Sim"))</f>
        <v>Sim</v>
      </c>
      <c r="N9" s="21" t="str">
        <f>IF(L9="Fastmoss 500","Sim",IF(ISNA(_xlfn.XLOOKUP(_xlfn.XLOOKUP(C9,'Same Seller Hist'!E:E,'Same Seller Hist'!H:H),'Fastmoss 500'!D:D,'Fastmoss 500'!D:D)),"Não","Sim"))</f>
        <v>Não</v>
      </c>
      <c r="O9" s="21" t="str">
        <f t="shared" si="0"/>
        <v>Não</v>
      </c>
      <c r="P9" s="21" t="str">
        <f t="shared" si="1"/>
        <v>Sim</v>
      </c>
      <c r="Q9" s="21">
        <f t="shared" si="2"/>
        <v>1</v>
      </c>
    </row>
    <row r="10" spans="2:17" x14ac:dyDescent="0.35">
      <c r="C10" s="5">
        <v>974102638</v>
      </c>
      <c r="D10" s="5" t="s">
        <v>1281</v>
      </c>
      <c r="E10" s="5">
        <f>_xlfn.XLOOKUP(C10,'Same Seller Hist'!E:E,'Same Seller Hist'!I:I)</f>
        <v>7.4962282624030095E+18</v>
      </c>
      <c r="F10" s="5" t="str">
        <f>_xlfn.XLOOKUP(C10,'Same Seller Hist'!E:E,'Same Seller Hist'!H:H)</f>
        <v>blueepulse</v>
      </c>
      <c r="G10" s="5" t="s">
        <v>1734</v>
      </c>
      <c r="H10" s="19">
        <v>4870.1612903225487</v>
      </c>
      <c r="I10" s="19">
        <v>49065.870932193873</v>
      </c>
      <c r="J10" s="19">
        <f>_xlfn.IFNA(_xlfn.XLOOKUP(F10,'Fastmoss 500'!D:D,'Fastmoss 500'!O:O),0)</f>
        <v>0</v>
      </c>
      <c r="K10" s="19">
        <f>_xlfn.IFNA(_xlfn.XLOOKUP(F10,'Fastmoss 500'!D:D,'Fastmoss 500'!N:N),0)</f>
        <v>0</v>
      </c>
      <c r="L10" s="21" t="s">
        <v>2528</v>
      </c>
      <c r="M10" s="21" t="str">
        <f>IF(L10="Shp 500","Sim",IF(ISNA(_xlfn.XLOOKUP(C10,'Shp 500'!D:D,'Shp 500'!D:D)),"Não","Sim"))</f>
        <v>Sim</v>
      </c>
      <c r="N10" s="21" t="str">
        <f>IF(L10="Fastmoss 500","Sim",IF(ISNA(_xlfn.XLOOKUP(_xlfn.XLOOKUP(C10,'Same Seller Hist'!E:E,'Same Seller Hist'!H:H),'Fastmoss 500'!D:D,'Fastmoss 500'!D:D)),"Não","Sim"))</f>
        <v>Não</v>
      </c>
      <c r="O10" s="21" t="str">
        <f t="shared" si="0"/>
        <v>Não</v>
      </c>
      <c r="P10" s="21" t="str">
        <f t="shared" si="1"/>
        <v>Sim</v>
      </c>
      <c r="Q10" s="21">
        <f t="shared" si="2"/>
        <v>1</v>
      </c>
    </row>
    <row r="11" spans="2:17" x14ac:dyDescent="0.35">
      <c r="C11" s="5">
        <v>362859393</v>
      </c>
      <c r="D11" s="5" t="s">
        <v>1285</v>
      </c>
      <c r="E11" s="5">
        <f>_xlfn.XLOOKUP(C11,'Same Seller Hist'!E:E,'Same Seller Hist'!I:I)</f>
        <v>7.4961596956035901E+18</v>
      </c>
      <c r="F11" s="5" t="str">
        <f>_xlfn.XLOOKUP(C11,'Same Seller Hist'!E:E,'Same Seller Hist'!H:H)</f>
        <v>ALFA SHOP.BR</v>
      </c>
      <c r="G11" s="5" t="s">
        <v>1734</v>
      </c>
      <c r="H11" s="19">
        <v>4604.9354838709678</v>
      </c>
      <c r="I11" s="19">
        <v>14928.731364747517</v>
      </c>
      <c r="J11" s="19">
        <f>_xlfn.IFNA(_xlfn.XLOOKUP(F11,'Fastmoss 500'!D:D,'Fastmoss 500'!O:O),0)</f>
        <v>0</v>
      </c>
      <c r="K11" s="19">
        <f>_xlfn.IFNA(_xlfn.XLOOKUP(F11,'Fastmoss 500'!D:D,'Fastmoss 500'!N:N),0)</f>
        <v>0</v>
      </c>
      <c r="L11" s="21" t="s">
        <v>2528</v>
      </c>
      <c r="M11" s="21" t="str">
        <f>IF(L11="Shp 500","Sim",IF(ISNA(_xlfn.XLOOKUP(C11,'Shp 500'!D:D,'Shp 500'!D:D)),"Não","Sim"))</f>
        <v>Sim</v>
      </c>
      <c r="N11" s="21" t="str">
        <f>IF(L11="Fastmoss 500","Sim",IF(ISNA(_xlfn.XLOOKUP(_xlfn.XLOOKUP(C11,'Same Seller Hist'!E:E,'Same Seller Hist'!H:H),'Fastmoss 500'!D:D,'Fastmoss 500'!D:D)),"Não","Sim"))</f>
        <v>Não</v>
      </c>
      <c r="O11" s="21" t="str">
        <f t="shared" si="0"/>
        <v>Não</v>
      </c>
      <c r="P11" s="21" t="str">
        <f t="shared" si="1"/>
        <v>Sim</v>
      </c>
      <c r="Q11" s="21">
        <f t="shared" si="2"/>
        <v>1</v>
      </c>
    </row>
    <row r="12" spans="2:17" x14ac:dyDescent="0.35">
      <c r="C12" s="5">
        <v>1045085918</v>
      </c>
      <c r="D12" s="5" t="s">
        <v>71</v>
      </c>
      <c r="E12" s="5">
        <f>_xlfn.XLOOKUP(C12,'Same Seller Hist'!E:E,'Same Seller Hist'!I:I)</f>
        <v>7.4941815193772698E+18</v>
      </c>
      <c r="F12" s="5" t="str">
        <f>_xlfn.XLOOKUP(C12,'Same Seller Hist'!E:E,'Same Seller Hist'!H:H)</f>
        <v>YUMI CELL BR</v>
      </c>
      <c r="G12" s="5" t="s">
        <v>906</v>
      </c>
      <c r="H12" s="19">
        <v>4299.4838709677415</v>
      </c>
      <c r="I12" s="19">
        <v>22995.674944848677</v>
      </c>
      <c r="J12" s="19">
        <f>_xlfn.IFNA(_xlfn.XLOOKUP(F12,'Fastmoss 500'!D:D,'Fastmoss 500'!O:O),0)</f>
        <v>235.48387096774192</v>
      </c>
      <c r="K12" s="19">
        <f>_xlfn.IFNA(_xlfn.XLOOKUP(F12,'Fastmoss 500'!D:D,'Fastmoss 500'!N:N),0)</f>
        <v>17706.451612903227</v>
      </c>
      <c r="L12" s="21" t="s">
        <v>2528</v>
      </c>
      <c r="M12" s="21" t="str">
        <f>IF(L12="Shp 500","Sim",IF(ISNA(_xlfn.XLOOKUP(C12,'Shp 500'!D:D,'Shp 500'!D:D)),"Não","Sim"))</f>
        <v>Sim</v>
      </c>
      <c r="N12" s="21" t="str">
        <f>IF(L12="Fastmoss 500","Sim",IF(ISNA(_xlfn.XLOOKUP(_xlfn.XLOOKUP(C12,'Same Seller Hist'!E:E,'Same Seller Hist'!H:H),'Fastmoss 500'!D:D,'Fastmoss 500'!D:D)),"Não","Sim"))</f>
        <v>Sim</v>
      </c>
      <c r="O12" s="21" t="str">
        <f t="shared" si="0"/>
        <v>Sim</v>
      </c>
      <c r="P12" s="21" t="str">
        <f t="shared" si="1"/>
        <v>Sim</v>
      </c>
      <c r="Q12" s="21">
        <f t="shared" si="2"/>
        <v>1</v>
      </c>
    </row>
    <row r="13" spans="2:17" x14ac:dyDescent="0.35">
      <c r="C13" s="5">
        <v>296363855</v>
      </c>
      <c r="D13" s="5" t="s">
        <v>1366</v>
      </c>
      <c r="E13" s="5">
        <f>_xlfn.XLOOKUP(C13,'Same Seller Hist'!E:E,'Same Seller Hist'!I:I)</f>
        <v>7.4955619343641805E+18</v>
      </c>
      <c r="F13" s="5" t="str">
        <f>_xlfn.XLOOKUP(C13,'Same Seller Hist'!E:E,'Same Seller Hist'!H:H)</f>
        <v>Casa Laura Enxovais</v>
      </c>
      <c r="G13" s="5" t="s">
        <v>905</v>
      </c>
      <c r="H13" s="19">
        <v>1873.9354838709644</v>
      </c>
      <c r="I13" s="19">
        <v>15155.612512797323</v>
      </c>
      <c r="J13" s="19">
        <f>_xlfn.IFNA(_xlfn.XLOOKUP(F13,'Fastmoss 500'!D:D,'Fastmoss 500'!O:O),0)</f>
        <v>280.64516129032256</v>
      </c>
      <c r="K13" s="19">
        <f>_xlfn.IFNA(_xlfn.XLOOKUP(F13,'Fastmoss 500'!D:D,'Fastmoss 500'!N:N),0)</f>
        <v>16445.16129032258</v>
      </c>
      <c r="L13" s="21" t="s">
        <v>2528</v>
      </c>
      <c r="M13" s="21" t="str">
        <f>IF(L13="Shp 500","Sim",IF(ISNA(_xlfn.XLOOKUP(C13,'Shp 500'!D:D,'Shp 500'!D:D)),"Não","Sim"))</f>
        <v>Sim</v>
      </c>
      <c r="N13" s="21" t="str">
        <f>IF(L13="Fastmoss 500","Sim",IF(ISNA(_xlfn.XLOOKUP(_xlfn.XLOOKUP(C13,'Same Seller Hist'!E:E,'Same Seller Hist'!H:H),'Fastmoss 500'!D:D,'Fastmoss 500'!D:D)),"Não","Sim"))</f>
        <v>Sim</v>
      </c>
      <c r="O13" s="21" t="str">
        <f t="shared" si="0"/>
        <v>Sim</v>
      </c>
      <c r="P13" s="21" t="str">
        <f t="shared" si="1"/>
        <v>Não</v>
      </c>
      <c r="Q13" s="21">
        <f t="shared" si="2"/>
        <v>1</v>
      </c>
    </row>
    <row r="14" spans="2:17" x14ac:dyDescent="0.35">
      <c r="C14" s="5">
        <v>872424585</v>
      </c>
      <c r="D14" s="5" t="s">
        <v>1289</v>
      </c>
      <c r="E14" s="5">
        <f>_xlfn.XLOOKUP(C14,'Same Seller Hist'!E:E,'Same Seller Hist'!I:I)</f>
        <v>7.4961817379542405E+18</v>
      </c>
      <c r="F14" s="5" t="str">
        <f>_xlfn.XLOOKUP(C14,'Same Seller Hist'!E:E,'Same Seller Hist'!H:H)</f>
        <v>mega tech store</v>
      </c>
      <c r="G14" s="5" t="s">
        <v>1734</v>
      </c>
      <c r="H14" s="19">
        <v>3866.0645161290322</v>
      </c>
      <c r="I14" s="19">
        <v>31272.972472217094</v>
      </c>
      <c r="J14" s="19">
        <f>_xlfn.IFNA(_xlfn.XLOOKUP(F14,'Fastmoss 500'!D:D,'Fastmoss 500'!O:O),0)</f>
        <v>0</v>
      </c>
      <c r="K14" s="19">
        <f>_xlfn.IFNA(_xlfn.XLOOKUP(F14,'Fastmoss 500'!D:D,'Fastmoss 500'!N:N),0)</f>
        <v>0</v>
      </c>
      <c r="L14" s="21" t="s">
        <v>2528</v>
      </c>
      <c r="M14" s="21" t="str">
        <f>IF(L14="Shp 500","Sim",IF(ISNA(_xlfn.XLOOKUP(C14,'Shp 500'!D:D,'Shp 500'!D:D)),"Não","Sim"))</f>
        <v>Sim</v>
      </c>
      <c r="N14" s="21" t="str">
        <f>IF(L14="Fastmoss 500","Sim",IF(ISNA(_xlfn.XLOOKUP(_xlfn.XLOOKUP(C14,'Same Seller Hist'!E:E,'Same Seller Hist'!H:H),'Fastmoss 500'!D:D,'Fastmoss 500'!D:D)),"Não","Sim"))</f>
        <v>Não</v>
      </c>
      <c r="O14" s="21" t="str">
        <f t="shared" si="0"/>
        <v>Não</v>
      </c>
      <c r="P14" s="21" t="str">
        <f t="shared" si="1"/>
        <v>Sim</v>
      </c>
      <c r="Q14" s="21">
        <f t="shared" si="2"/>
        <v>1</v>
      </c>
    </row>
    <row r="15" spans="2:17" x14ac:dyDescent="0.35">
      <c r="C15" s="5">
        <v>643719371</v>
      </c>
      <c r="D15" s="5" t="s">
        <v>1291</v>
      </c>
      <c r="E15" s="5">
        <f>_xlfn.XLOOKUP(C15,'Same Seller Hist'!E:E,'Same Seller Hist'!I:I)</f>
        <v>7.4961840319018701E+18</v>
      </c>
      <c r="F15" s="5" t="str">
        <f>_xlfn.XLOOKUP(C15,'Same Seller Hist'!E:E,'Same Seller Hist'!H:H)</f>
        <v>NEWCOOL.BR</v>
      </c>
      <c r="G15" s="5" t="s">
        <v>1734</v>
      </c>
      <c r="H15" s="19">
        <v>3826.9354838709355</v>
      </c>
      <c r="I15" s="19">
        <v>19013.021016456223</v>
      </c>
      <c r="J15" s="19">
        <f>_xlfn.IFNA(_xlfn.XLOOKUP(F15,'Fastmoss 500'!D:D,'Fastmoss 500'!O:O),0)</f>
        <v>0</v>
      </c>
      <c r="K15" s="19">
        <f>_xlfn.IFNA(_xlfn.XLOOKUP(F15,'Fastmoss 500'!D:D,'Fastmoss 500'!N:N),0)</f>
        <v>0</v>
      </c>
      <c r="L15" s="21" t="s">
        <v>2528</v>
      </c>
      <c r="M15" s="21" t="str">
        <f>IF(L15="Shp 500","Sim",IF(ISNA(_xlfn.XLOOKUP(C15,'Shp 500'!D:D,'Shp 500'!D:D)),"Não","Sim"))</f>
        <v>Sim</v>
      </c>
      <c r="N15" s="21" t="str">
        <f>IF(L15="Fastmoss 500","Sim",IF(ISNA(_xlfn.XLOOKUP(_xlfn.XLOOKUP(C15,'Same Seller Hist'!E:E,'Same Seller Hist'!H:H),'Fastmoss 500'!D:D,'Fastmoss 500'!D:D)),"Não","Sim"))</f>
        <v>Não</v>
      </c>
      <c r="O15" s="21" t="str">
        <f t="shared" si="0"/>
        <v>Não</v>
      </c>
      <c r="P15" s="21" t="str">
        <f t="shared" si="1"/>
        <v>Sim</v>
      </c>
      <c r="Q15" s="21">
        <f t="shared" si="2"/>
        <v>1</v>
      </c>
    </row>
    <row r="16" spans="2:17" x14ac:dyDescent="0.35">
      <c r="C16" s="5">
        <v>299222557</v>
      </c>
      <c r="D16" s="5" t="s">
        <v>1321</v>
      </c>
      <c r="E16" s="5">
        <f>_xlfn.XLOOKUP(C16,'Same Seller Hist'!E:E,'Same Seller Hist'!I:I)</f>
        <v>7.4961791508234496E+18</v>
      </c>
      <c r="F16" s="5" t="str">
        <f>_xlfn.XLOOKUP(C16,'Same Seller Hist'!E:E,'Same Seller Hist'!H:H)</f>
        <v>RIVEN BAZAR</v>
      </c>
      <c r="G16" s="5" t="s">
        <v>1734</v>
      </c>
      <c r="H16" s="19">
        <v>2540.1612903225773</v>
      </c>
      <c r="I16" s="19">
        <v>9178.841669216743</v>
      </c>
      <c r="J16" s="19">
        <f>_xlfn.IFNA(_xlfn.XLOOKUP(F16,'Fastmoss 500'!D:D,'Fastmoss 500'!O:O),0)</f>
        <v>251.61290322580646</v>
      </c>
      <c r="K16" s="19">
        <f>_xlfn.IFNA(_xlfn.XLOOKUP(F16,'Fastmoss 500'!D:D,'Fastmoss 500'!N:N),0)</f>
        <v>10303.225806451614</v>
      </c>
      <c r="L16" s="21" t="s">
        <v>2528</v>
      </c>
      <c r="M16" s="21" t="str">
        <f>IF(L16="Shp 500","Sim",IF(ISNA(_xlfn.XLOOKUP(C16,'Shp 500'!D:D,'Shp 500'!D:D)),"Não","Sim"))</f>
        <v>Sim</v>
      </c>
      <c r="N16" s="21" t="str">
        <f>IF(L16="Fastmoss 500","Sim",IF(ISNA(_xlfn.XLOOKUP(_xlfn.XLOOKUP(C16,'Same Seller Hist'!E:E,'Same Seller Hist'!H:H),'Fastmoss 500'!D:D,'Fastmoss 500'!D:D)),"Não","Sim"))</f>
        <v>Sim</v>
      </c>
      <c r="O16" s="21" t="str">
        <f t="shared" si="0"/>
        <v>Sim</v>
      </c>
      <c r="P16" s="21" t="str">
        <f t="shared" si="1"/>
        <v>Não</v>
      </c>
      <c r="Q16" s="21">
        <f t="shared" si="2"/>
        <v>1</v>
      </c>
    </row>
    <row r="17" spans="3:17" x14ac:dyDescent="0.35">
      <c r="C17" s="5">
        <v>1064041485</v>
      </c>
      <c r="D17" s="5" t="s">
        <v>1294</v>
      </c>
      <c r="E17" s="5">
        <f>_xlfn.XLOOKUP(C17,'Same Seller Hist'!E:E,'Same Seller Hist'!I:I)</f>
        <v>7.4961859146649098E+18</v>
      </c>
      <c r="F17" s="5" t="str">
        <f>_xlfn.XLOOKUP(C17,'Same Seller Hist'!E:E,'Same Seller Hist'!H:H)</f>
        <v>luxeelectra</v>
      </c>
      <c r="G17" s="5" t="s">
        <v>1734</v>
      </c>
      <c r="H17" s="19">
        <v>3451.0967741935483</v>
      </c>
      <c r="I17" s="19">
        <v>33941.769371964197</v>
      </c>
      <c r="J17" s="19">
        <f>_xlfn.IFNA(_xlfn.XLOOKUP(F17,'Fastmoss 500'!D:D,'Fastmoss 500'!O:O),0)</f>
        <v>0</v>
      </c>
      <c r="K17" s="19">
        <f>_xlfn.IFNA(_xlfn.XLOOKUP(F17,'Fastmoss 500'!D:D,'Fastmoss 500'!N:N),0)</f>
        <v>0</v>
      </c>
      <c r="L17" s="21" t="s">
        <v>2528</v>
      </c>
      <c r="M17" s="21" t="str">
        <f>IF(L17="Shp 500","Sim",IF(ISNA(_xlfn.XLOOKUP(C17,'Shp 500'!D:D,'Shp 500'!D:D)),"Não","Sim"))</f>
        <v>Sim</v>
      </c>
      <c r="N17" s="21" t="str">
        <f>IF(L17="Fastmoss 500","Sim",IF(ISNA(_xlfn.XLOOKUP(_xlfn.XLOOKUP(C17,'Same Seller Hist'!E:E,'Same Seller Hist'!H:H),'Fastmoss 500'!D:D,'Fastmoss 500'!D:D)),"Não","Sim"))</f>
        <v>Não</v>
      </c>
      <c r="O17" s="21" t="str">
        <f t="shared" si="0"/>
        <v>Não</v>
      </c>
      <c r="P17" s="21" t="str">
        <f t="shared" si="1"/>
        <v>Sim</v>
      </c>
      <c r="Q17" s="21">
        <f t="shared" si="2"/>
        <v>1</v>
      </c>
    </row>
    <row r="18" spans="3:17" x14ac:dyDescent="0.35">
      <c r="C18" s="5">
        <v>341167297</v>
      </c>
      <c r="D18" s="5" t="s">
        <v>1295</v>
      </c>
      <c r="E18" s="5">
        <f>_xlfn.XLOOKUP(C18,'Same Seller Hist'!E:E,'Same Seller Hist'!I:I)</f>
        <v>0</v>
      </c>
      <c r="F18" s="5">
        <f>_xlfn.XLOOKUP(C18,'Same Seller Hist'!E:E,'Same Seller Hist'!H:H)</f>
        <v>0</v>
      </c>
      <c r="G18" s="5" t="s">
        <v>903</v>
      </c>
      <c r="H18" s="19">
        <v>3346.8709677419356</v>
      </c>
      <c r="I18" s="19">
        <v>37236.535039409035</v>
      </c>
      <c r="J18" s="19">
        <f>_xlfn.IFNA(_xlfn.XLOOKUP(F18,'Fastmoss 500'!D:D,'Fastmoss 500'!O:O),0)</f>
        <v>0</v>
      </c>
      <c r="K18" s="19">
        <f>_xlfn.IFNA(_xlfn.XLOOKUP(F18,'Fastmoss 500'!D:D,'Fastmoss 500'!N:N),0)</f>
        <v>0</v>
      </c>
      <c r="L18" s="21" t="s">
        <v>2528</v>
      </c>
      <c r="M18" s="21" t="str">
        <f>IF(L18="Shp 500","Sim",IF(ISNA(_xlfn.XLOOKUP(C18,'Shp 500'!D:D,'Shp 500'!D:D)),"Não","Sim"))</f>
        <v>Sim</v>
      </c>
      <c r="N18" s="21" t="str">
        <f>IF(L18="Fastmoss 500","Sim",IF(ISNA(_xlfn.XLOOKUP(_xlfn.XLOOKUP(C18,'Same Seller Hist'!E:E,'Same Seller Hist'!H:H),'Fastmoss 500'!D:D,'Fastmoss 500'!D:D)),"Não","Sim"))</f>
        <v>Não</v>
      </c>
      <c r="O18" s="21" t="str">
        <f t="shared" si="0"/>
        <v>Não</v>
      </c>
      <c r="P18" s="21" t="str">
        <f t="shared" si="1"/>
        <v>Sim</v>
      </c>
      <c r="Q18" s="21">
        <f t="shared" si="2"/>
        <v>1</v>
      </c>
    </row>
    <row r="19" spans="3:17" x14ac:dyDescent="0.35">
      <c r="C19" s="5">
        <v>313660590</v>
      </c>
      <c r="D19" s="5" t="s">
        <v>404</v>
      </c>
      <c r="E19" s="5">
        <f>_xlfn.XLOOKUP(C19,'Same Seller Hist'!E:E,'Same Seller Hist'!I:I)</f>
        <v>7.4940983363536404E+18</v>
      </c>
      <c r="F19" s="5" t="str">
        <f>_xlfn.XLOOKUP(C19,'Same Seller Hist'!E:E,'Same Seller Hist'!H:H)</f>
        <v>Nosso Lar Enxovais</v>
      </c>
      <c r="G19" s="5" t="s">
        <v>905</v>
      </c>
      <c r="H19" s="19">
        <v>3313.3225806451615</v>
      </c>
      <c r="I19" s="19">
        <v>29155.731930206646</v>
      </c>
      <c r="J19" s="19">
        <f>_xlfn.IFNA(_xlfn.XLOOKUP(F19,'Fastmoss 500'!D:D,'Fastmoss 500'!O:O),0)</f>
        <v>0</v>
      </c>
      <c r="K19" s="19">
        <f>_xlfn.IFNA(_xlfn.XLOOKUP(F19,'Fastmoss 500'!D:D,'Fastmoss 500'!N:N),0)</f>
        <v>0</v>
      </c>
      <c r="L19" s="21" t="s">
        <v>2528</v>
      </c>
      <c r="M19" s="21" t="str">
        <f>IF(L19="Shp 500","Sim",IF(ISNA(_xlfn.XLOOKUP(C19,'Shp 500'!D:D,'Shp 500'!D:D)),"Não","Sim"))</f>
        <v>Sim</v>
      </c>
      <c r="N19" s="21" t="str">
        <f>IF(L19="Fastmoss 500","Sim",IF(ISNA(_xlfn.XLOOKUP(_xlfn.XLOOKUP(C19,'Same Seller Hist'!E:E,'Same Seller Hist'!H:H),'Fastmoss 500'!D:D,'Fastmoss 500'!D:D)),"Não","Sim"))</f>
        <v>Não</v>
      </c>
      <c r="O19" s="21" t="str">
        <f t="shared" si="0"/>
        <v>Não</v>
      </c>
      <c r="P19" s="21" t="str">
        <f t="shared" si="1"/>
        <v>Sim</v>
      </c>
      <c r="Q19" s="21">
        <f t="shared" si="2"/>
        <v>1</v>
      </c>
    </row>
    <row r="20" spans="3:17" x14ac:dyDescent="0.35">
      <c r="C20" s="5">
        <v>313984108</v>
      </c>
      <c r="D20" s="5" t="s">
        <v>1337</v>
      </c>
      <c r="E20" s="5">
        <f>_xlfn.XLOOKUP(C20,'Same Seller Hist'!E:E,'Same Seller Hist'!I:I)</f>
        <v>7.4940883144375296E+18</v>
      </c>
      <c r="F20" s="5" t="str">
        <f>_xlfn.XLOOKUP(C20,'Same Seller Hist'!E:E,'Same Seller Hist'!H:H)</f>
        <v>Casa Nova Enxovais e Decoração</v>
      </c>
      <c r="G20" s="5" t="s">
        <v>905</v>
      </c>
      <c r="H20" s="19">
        <v>2282.8387096774195</v>
      </c>
      <c r="I20" s="19">
        <v>18438.425774878451</v>
      </c>
      <c r="J20" s="19">
        <f>_xlfn.IFNA(_xlfn.XLOOKUP(F20,'Fastmoss 500'!D:D,'Fastmoss 500'!O:O),0)</f>
        <v>383.87096774193549</v>
      </c>
      <c r="K20" s="19">
        <f>_xlfn.IFNA(_xlfn.XLOOKUP(F20,'Fastmoss 500'!D:D,'Fastmoss 500'!N:N),0)</f>
        <v>9980.645161290322</v>
      </c>
      <c r="L20" s="21" t="s">
        <v>2528</v>
      </c>
      <c r="M20" s="21" t="str">
        <f>IF(L20="Shp 500","Sim",IF(ISNA(_xlfn.XLOOKUP(C20,'Shp 500'!D:D,'Shp 500'!D:D)),"Não","Sim"))</f>
        <v>Sim</v>
      </c>
      <c r="N20" s="21" t="str">
        <f>IF(L20="Fastmoss 500","Sim",IF(ISNA(_xlfn.XLOOKUP(_xlfn.XLOOKUP(C20,'Same Seller Hist'!E:E,'Same Seller Hist'!H:H),'Fastmoss 500'!D:D,'Fastmoss 500'!D:D)),"Não","Sim"))</f>
        <v>Sim</v>
      </c>
      <c r="O20" s="21" t="str">
        <f t="shared" si="0"/>
        <v>Sim</v>
      </c>
      <c r="P20" s="21" t="str">
        <f t="shared" si="1"/>
        <v>Sim</v>
      </c>
      <c r="Q20" s="21">
        <f t="shared" si="2"/>
        <v>1</v>
      </c>
    </row>
    <row r="21" spans="3:17" x14ac:dyDescent="0.35">
      <c r="C21" s="5">
        <v>343246764</v>
      </c>
      <c r="D21" s="5" t="s">
        <v>452</v>
      </c>
      <c r="E21" s="5">
        <f>_xlfn.XLOOKUP(C21,'Same Seller Hist'!E:E,'Same Seller Hist'!I:I)</f>
        <v>7.4961625197861601E+18</v>
      </c>
      <c r="F21" s="5" t="str">
        <f>_xlfn.XLOOKUP(C21,'Same Seller Hist'!E:E,'Same Seller Hist'!H:H)</f>
        <v>Zyoou Market</v>
      </c>
      <c r="G21" s="5" t="s">
        <v>1734</v>
      </c>
      <c r="H21" s="19">
        <v>3018.7419354838707</v>
      </c>
      <c r="I21" s="19">
        <v>12152.887000235289</v>
      </c>
      <c r="J21" s="19">
        <f>_xlfn.IFNA(_xlfn.XLOOKUP(F21,'Fastmoss 500'!D:D,'Fastmoss 500'!O:O),0)</f>
        <v>0</v>
      </c>
      <c r="K21" s="19">
        <f>_xlfn.IFNA(_xlfn.XLOOKUP(F21,'Fastmoss 500'!D:D,'Fastmoss 500'!N:N),0)</f>
        <v>0</v>
      </c>
      <c r="L21" s="21" t="s">
        <v>2528</v>
      </c>
      <c r="M21" s="21" t="str">
        <f>IF(L21="Shp 500","Sim",IF(ISNA(_xlfn.XLOOKUP(C21,'Shp 500'!D:D,'Shp 500'!D:D)),"Não","Sim"))</f>
        <v>Sim</v>
      </c>
      <c r="N21" s="21" t="str">
        <f>IF(L21="Fastmoss 500","Sim",IF(ISNA(_xlfn.XLOOKUP(_xlfn.XLOOKUP(C21,'Same Seller Hist'!E:E,'Same Seller Hist'!H:H),'Fastmoss 500'!D:D,'Fastmoss 500'!D:D)),"Não","Sim"))</f>
        <v>Não</v>
      </c>
      <c r="O21" s="21" t="str">
        <f t="shared" si="0"/>
        <v>Não</v>
      </c>
      <c r="P21" s="21" t="str">
        <f t="shared" si="1"/>
        <v>Sim</v>
      </c>
      <c r="Q21" s="21">
        <f t="shared" si="2"/>
        <v>1</v>
      </c>
    </row>
    <row r="22" spans="3:17" x14ac:dyDescent="0.35">
      <c r="C22" s="5">
        <v>418205294</v>
      </c>
      <c r="D22" s="5" t="s">
        <v>1303</v>
      </c>
      <c r="E22" s="5">
        <f>_xlfn.XLOOKUP(C22,'Same Seller Hist'!E:E,'Same Seller Hist'!I:I)</f>
        <v>7.4961473420166697E+18</v>
      </c>
      <c r="F22" s="5" t="str">
        <f>_xlfn.XLOOKUP(C22,'Same Seller Hist'!E:E,'Same Seller Hist'!H:H)</f>
        <v>ANA1108 SHOP</v>
      </c>
      <c r="G22" s="5" t="s">
        <v>1734</v>
      </c>
      <c r="H22" s="19">
        <v>3015.1290322580644</v>
      </c>
      <c r="I22" s="19">
        <v>11080.647420698031</v>
      </c>
      <c r="J22" s="19">
        <f>_xlfn.IFNA(_xlfn.XLOOKUP(F22,'Fastmoss 500'!D:D,'Fastmoss 500'!O:O),0)</f>
        <v>0</v>
      </c>
      <c r="K22" s="19">
        <f>_xlfn.IFNA(_xlfn.XLOOKUP(F22,'Fastmoss 500'!D:D,'Fastmoss 500'!N:N),0)</f>
        <v>0</v>
      </c>
      <c r="L22" s="21" t="s">
        <v>2528</v>
      </c>
      <c r="M22" s="21" t="str">
        <f>IF(L22="Shp 500","Sim",IF(ISNA(_xlfn.XLOOKUP(C22,'Shp 500'!D:D,'Shp 500'!D:D)),"Não","Sim"))</f>
        <v>Sim</v>
      </c>
      <c r="N22" s="21" t="str">
        <f>IF(L22="Fastmoss 500","Sim",IF(ISNA(_xlfn.XLOOKUP(_xlfn.XLOOKUP(C22,'Same Seller Hist'!E:E,'Same Seller Hist'!H:H),'Fastmoss 500'!D:D,'Fastmoss 500'!D:D)),"Não","Sim"))</f>
        <v>Não</v>
      </c>
      <c r="O22" s="21" t="str">
        <f t="shared" si="0"/>
        <v>Não</v>
      </c>
      <c r="P22" s="21" t="str">
        <f t="shared" si="1"/>
        <v>Sim</v>
      </c>
      <c r="Q22" s="21">
        <f t="shared" si="2"/>
        <v>1</v>
      </c>
    </row>
    <row r="23" spans="3:17" x14ac:dyDescent="0.35">
      <c r="C23" s="5">
        <v>300779622</v>
      </c>
      <c r="D23" s="5" t="s">
        <v>391</v>
      </c>
      <c r="E23" s="5">
        <f>_xlfn.XLOOKUP(C23,'Same Seller Hist'!E:E,'Same Seller Hist'!I:I)</f>
        <v>7.49620233730893E+18</v>
      </c>
      <c r="F23" s="5" t="str">
        <f>_xlfn.XLOOKUP(C23,'Same Seller Hist'!E:E,'Same Seller Hist'!H:H)</f>
        <v>Icasa Ibitinga</v>
      </c>
      <c r="G23" s="5" t="s">
        <v>905</v>
      </c>
      <c r="H23" s="19">
        <v>2956.2903225806454</v>
      </c>
      <c r="I23" s="19">
        <v>25985.607129394903</v>
      </c>
      <c r="J23" s="19">
        <f>_xlfn.IFNA(_xlfn.XLOOKUP(F23,'Fastmoss 500'!D:D,'Fastmoss 500'!O:O),0)</f>
        <v>0</v>
      </c>
      <c r="K23" s="19">
        <f>_xlfn.IFNA(_xlfn.XLOOKUP(F23,'Fastmoss 500'!D:D,'Fastmoss 500'!N:N),0)</f>
        <v>0</v>
      </c>
      <c r="L23" s="21" t="s">
        <v>2528</v>
      </c>
      <c r="M23" s="21" t="str">
        <f>IF(L23="Shp 500","Sim",IF(ISNA(_xlfn.XLOOKUP(C23,'Shp 500'!D:D,'Shp 500'!D:D)),"Não","Sim"))</f>
        <v>Sim</v>
      </c>
      <c r="N23" s="21" t="str">
        <f>IF(L23="Fastmoss 500","Sim",IF(ISNA(_xlfn.XLOOKUP(_xlfn.XLOOKUP(C23,'Same Seller Hist'!E:E,'Same Seller Hist'!H:H),'Fastmoss 500'!D:D,'Fastmoss 500'!D:D)),"Não","Sim"))</f>
        <v>Não</v>
      </c>
      <c r="O23" s="21" t="str">
        <f t="shared" si="0"/>
        <v>Não</v>
      </c>
      <c r="P23" s="21" t="str">
        <f t="shared" si="1"/>
        <v>Sim</v>
      </c>
      <c r="Q23" s="21">
        <f t="shared" si="2"/>
        <v>1</v>
      </c>
    </row>
    <row r="24" spans="3:17" x14ac:dyDescent="0.35">
      <c r="C24" s="5">
        <v>394731864</v>
      </c>
      <c r="D24" s="5" t="s">
        <v>1304</v>
      </c>
      <c r="E24" s="5">
        <f>_xlfn.XLOOKUP(C24,'Same Seller Hist'!E:E,'Same Seller Hist'!I:I)</f>
        <v>7.4961624733090703E+18</v>
      </c>
      <c r="F24" s="5" t="str">
        <f>_xlfn.XLOOKUP(C24,'Same Seller Hist'!E:E,'Same Seller Hist'!H:H)</f>
        <v>Evamia 21</v>
      </c>
      <c r="G24" s="5" t="s">
        <v>1734</v>
      </c>
      <c r="H24" s="19">
        <v>2890.548387096771</v>
      </c>
      <c r="I24" s="19">
        <v>11832.645357715677</v>
      </c>
      <c r="J24" s="19">
        <f>_xlfn.IFNA(_xlfn.XLOOKUP(F24,'Fastmoss 500'!D:D,'Fastmoss 500'!O:O),0)</f>
        <v>0</v>
      </c>
      <c r="K24" s="19">
        <f>_xlfn.IFNA(_xlfn.XLOOKUP(F24,'Fastmoss 500'!D:D,'Fastmoss 500'!N:N),0)</f>
        <v>0</v>
      </c>
      <c r="L24" s="21" t="s">
        <v>2528</v>
      </c>
      <c r="M24" s="21" t="str">
        <f>IF(L24="Shp 500","Sim",IF(ISNA(_xlfn.XLOOKUP(C24,'Shp 500'!D:D,'Shp 500'!D:D)),"Não","Sim"))</f>
        <v>Sim</v>
      </c>
      <c r="N24" s="21" t="str">
        <f>IF(L24="Fastmoss 500","Sim",IF(ISNA(_xlfn.XLOOKUP(_xlfn.XLOOKUP(C24,'Same Seller Hist'!E:E,'Same Seller Hist'!H:H),'Fastmoss 500'!D:D,'Fastmoss 500'!D:D)),"Não","Sim"))</f>
        <v>Não</v>
      </c>
      <c r="O24" s="21" t="str">
        <f t="shared" si="0"/>
        <v>Não</v>
      </c>
      <c r="P24" s="21" t="str">
        <f t="shared" si="1"/>
        <v>Sim</v>
      </c>
      <c r="Q24" s="21">
        <f t="shared" si="2"/>
        <v>1</v>
      </c>
    </row>
    <row r="25" spans="3:17" x14ac:dyDescent="0.35">
      <c r="C25" s="5">
        <v>325008325</v>
      </c>
      <c r="D25" s="5" t="s">
        <v>1374</v>
      </c>
      <c r="E25" s="5">
        <f>_xlfn.XLOOKUP(C25,'Same Seller Hist'!E:E,'Same Seller Hist'!I:I)</f>
        <v>0</v>
      </c>
      <c r="F25" s="5">
        <f>_xlfn.XLOOKUP(C25,'Same Seller Hist'!E:E,'Same Seller Hist'!H:H)</f>
        <v>0</v>
      </c>
      <c r="G25" s="5" t="s">
        <v>905</v>
      </c>
      <c r="H25" s="19">
        <v>1795.6129032258063</v>
      </c>
      <c r="I25" s="19">
        <v>32107.84018673229</v>
      </c>
      <c r="J25" s="19">
        <f>_xlfn.IFNA(_xlfn.XLOOKUP(F25,'Fastmoss 500'!D:D,'Fastmoss 500'!O:O),0)</f>
        <v>0</v>
      </c>
      <c r="K25" s="19">
        <f>_xlfn.IFNA(_xlfn.XLOOKUP(F25,'Fastmoss 500'!D:D,'Fastmoss 500'!N:N),0)</f>
        <v>0</v>
      </c>
      <c r="L25" s="21" t="s">
        <v>2528</v>
      </c>
      <c r="M25" s="21" t="str">
        <f>IF(L25="Shp 500","Sim",IF(ISNA(_xlfn.XLOOKUP(C25,'Shp 500'!D:D,'Shp 500'!D:D)),"Não","Sim"))</f>
        <v>Sim</v>
      </c>
      <c r="N25" s="21" t="str">
        <f>IF(L25="Fastmoss 500","Sim",IF(ISNA(_xlfn.XLOOKUP(_xlfn.XLOOKUP(C25,'Same Seller Hist'!E:E,'Same Seller Hist'!H:H),'Fastmoss 500'!D:D,'Fastmoss 500'!D:D)),"Não","Sim"))</f>
        <v>Sim</v>
      </c>
      <c r="O25" s="21" t="str">
        <f t="shared" si="0"/>
        <v>Sim</v>
      </c>
      <c r="P25" s="21" t="str">
        <f t="shared" si="1"/>
        <v>Sim</v>
      </c>
      <c r="Q25" s="21">
        <f t="shared" si="2"/>
        <v>1</v>
      </c>
    </row>
    <row r="26" spans="3:17" x14ac:dyDescent="0.35">
      <c r="C26" s="5">
        <v>378105312</v>
      </c>
      <c r="D26" s="5" t="s">
        <v>1306</v>
      </c>
      <c r="E26" s="5">
        <f>_xlfn.XLOOKUP(C26,'Same Seller Hist'!E:E,'Same Seller Hist'!I:I)</f>
        <v>7.4961829652639601E+18</v>
      </c>
      <c r="F26" s="5" t="str">
        <f>_xlfn.XLOOKUP(C26,'Same Seller Hist'!E:E,'Same Seller Hist'!H:H)</f>
        <v>Essencial Baby</v>
      </c>
      <c r="G26" s="5" t="s">
        <v>906</v>
      </c>
      <c r="H26" s="19">
        <v>2847.1935483870934</v>
      </c>
      <c r="I26" s="19">
        <v>14097.538356510644</v>
      </c>
      <c r="J26" s="19">
        <f>_xlfn.IFNA(_xlfn.XLOOKUP(F26,'Fastmoss 500'!D:D,'Fastmoss 500'!O:O),0)</f>
        <v>0</v>
      </c>
      <c r="K26" s="19">
        <f>_xlfn.IFNA(_xlfn.XLOOKUP(F26,'Fastmoss 500'!D:D,'Fastmoss 500'!N:N),0)</f>
        <v>0</v>
      </c>
      <c r="L26" s="21" t="s">
        <v>2528</v>
      </c>
      <c r="M26" s="21" t="str">
        <f>IF(L26="Shp 500","Sim",IF(ISNA(_xlfn.XLOOKUP(C26,'Shp 500'!D:D,'Shp 500'!D:D)),"Não","Sim"))</f>
        <v>Sim</v>
      </c>
      <c r="N26" s="21" t="str">
        <f>IF(L26="Fastmoss 500","Sim",IF(ISNA(_xlfn.XLOOKUP(_xlfn.XLOOKUP(C26,'Same Seller Hist'!E:E,'Same Seller Hist'!H:H),'Fastmoss 500'!D:D,'Fastmoss 500'!D:D)),"Não","Sim"))</f>
        <v>Não</v>
      </c>
      <c r="O26" s="21" t="str">
        <f t="shared" si="0"/>
        <v>Não</v>
      </c>
      <c r="P26" s="21" t="str">
        <f t="shared" si="1"/>
        <v>Sim</v>
      </c>
      <c r="Q26" s="21">
        <f t="shared" si="2"/>
        <v>1</v>
      </c>
    </row>
    <row r="27" spans="3:17" x14ac:dyDescent="0.35">
      <c r="C27" s="5">
        <v>328666563</v>
      </c>
      <c r="D27" s="5" t="s">
        <v>1305</v>
      </c>
      <c r="E27" s="5">
        <f>_xlfn.XLOOKUP(C27,'Same Seller Hist'!E:E,'Same Seller Hist'!I:I)</f>
        <v>7.4961464312699597E+18</v>
      </c>
      <c r="F27" s="5" t="str">
        <f>_xlfn.XLOOKUP(C27,'Same Seller Hist'!E:E,'Same Seller Hist'!H:H)</f>
        <v>DAFUSHOP BRASIL</v>
      </c>
      <c r="G27" s="5" t="s">
        <v>1734</v>
      </c>
      <c r="H27" s="19">
        <v>2853.6774193548385</v>
      </c>
      <c r="I27" s="19">
        <v>20794.011596505614</v>
      </c>
      <c r="J27" s="19">
        <f>_xlfn.IFNA(_xlfn.XLOOKUP(F27,'Fastmoss 500'!D:D,'Fastmoss 500'!O:O),0)</f>
        <v>2251.6129032258063</v>
      </c>
      <c r="K27" s="19">
        <f>_xlfn.IFNA(_xlfn.XLOOKUP(F27,'Fastmoss 500'!D:D,'Fastmoss 500'!N:N),0)</f>
        <v>138709.67741935485</v>
      </c>
      <c r="L27" s="21" t="s">
        <v>2528</v>
      </c>
      <c r="M27" s="21" t="str">
        <f>IF(L27="Shp 500","Sim",IF(ISNA(_xlfn.XLOOKUP(C27,'Shp 500'!D:D,'Shp 500'!D:D)),"Não","Sim"))</f>
        <v>Sim</v>
      </c>
      <c r="N27" s="21" t="str">
        <f>IF(L27="Fastmoss 500","Sim",IF(ISNA(_xlfn.XLOOKUP(_xlfn.XLOOKUP(C27,'Same Seller Hist'!E:E,'Same Seller Hist'!H:H),'Fastmoss 500'!D:D,'Fastmoss 500'!D:D)),"Não","Sim"))</f>
        <v>Sim</v>
      </c>
      <c r="O27" s="21" t="str">
        <f t="shared" si="0"/>
        <v>Sim</v>
      </c>
      <c r="P27" s="21" t="str">
        <f t="shared" si="1"/>
        <v>Não</v>
      </c>
      <c r="Q27" s="21">
        <f t="shared" si="2"/>
        <v>1</v>
      </c>
    </row>
    <row r="28" spans="3:17" x14ac:dyDescent="0.35">
      <c r="C28" s="5">
        <v>375201738</v>
      </c>
      <c r="D28" s="5" t="s">
        <v>1316</v>
      </c>
      <c r="E28" s="5">
        <f>_xlfn.XLOOKUP(C28,'Same Seller Hist'!E:E,'Same Seller Hist'!I:I)</f>
        <v>7.4961622961180795E+18</v>
      </c>
      <c r="F28" s="5" t="str">
        <f>_xlfn.XLOOKUP(C28,'Same Seller Hist'!E:E,'Same Seller Hist'!H:H)</f>
        <v>Lucky Bazar</v>
      </c>
      <c r="G28" s="5" t="s">
        <v>1734</v>
      </c>
      <c r="H28" s="19">
        <v>2655.1612903225805</v>
      </c>
      <c r="I28" s="19">
        <v>11185.769324980934</v>
      </c>
      <c r="J28" s="19">
        <f>_xlfn.IFNA(_xlfn.XLOOKUP(F28,'Fastmoss 500'!D:D,'Fastmoss 500'!O:O),0)</f>
        <v>0</v>
      </c>
      <c r="K28" s="19">
        <f>_xlfn.IFNA(_xlfn.XLOOKUP(F28,'Fastmoss 500'!D:D,'Fastmoss 500'!N:N),0)</f>
        <v>0</v>
      </c>
      <c r="L28" s="21" t="s">
        <v>2528</v>
      </c>
      <c r="M28" s="21" t="str">
        <f>IF(L28="Shp 500","Sim",IF(ISNA(_xlfn.XLOOKUP(C28,'Shp 500'!D:D,'Shp 500'!D:D)),"Não","Sim"))</f>
        <v>Sim</v>
      </c>
      <c r="N28" s="21" t="str">
        <f>IF(L28="Fastmoss 500","Sim",IF(ISNA(_xlfn.XLOOKUP(_xlfn.XLOOKUP(C28,'Same Seller Hist'!E:E,'Same Seller Hist'!H:H),'Fastmoss 500'!D:D,'Fastmoss 500'!D:D)),"Não","Sim"))</f>
        <v>Não</v>
      </c>
      <c r="O28" s="21" t="str">
        <f t="shared" si="0"/>
        <v>Não</v>
      </c>
      <c r="P28" s="21" t="str">
        <f t="shared" si="1"/>
        <v>Sim</v>
      </c>
      <c r="Q28" s="21">
        <f t="shared" si="2"/>
        <v>1</v>
      </c>
    </row>
    <row r="29" spans="3:17" x14ac:dyDescent="0.35">
      <c r="C29" s="5">
        <v>290073877</v>
      </c>
      <c r="D29" s="5" t="s">
        <v>1318</v>
      </c>
      <c r="E29" s="5">
        <f>_xlfn.XLOOKUP(C29,'Same Seller Hist'!E:E,'Same Seller Hist'!I:I)</f>
        <v>7.4963023401803796E+18</v>
      </c>
      <c r="F29" s="5" t="str">
        <f>_xlfn.XLOOKUP(C29,'Same Seller Hist'!E:E,'Same Seller Hist'!H:H)</f>
        <v>mypetonebr</v>
      </c>
      <c r="G29" s="5" t="s">
        <v>906</v>
      </c>
      <c r="H29" s="19">
        <v>2629.9677419354839</v>
      </c>
      <c r="I29" s="19">
        <v>19695.02655410668</v>
      </c>
      <c r="J29" s="19">
        <f>_xlfn.IFNA(_xlfn.XLOOKUP(F29,'Fastmoss 500'!D:D,'Fastmoss 500'!O:O),0)</f>
        <v>0</v>
      </c>
      <c r="K29" s="19">
        <f>_xlfn.IFNA(_xlfn.XLOOKUP(F29,'Fastmoss 500'!D:D,'Fastmoss 500'!N:N),0)</f>
        <v>0</v>
      </c>
      <c r="L29" s="21" t="s">
        <v>2528</v>
      </c>
      <c r="M29" s="21" t="str">
        <f>IF(L29="Shp 500","Sim",IF(ISNA(_xlfn.XLOOKUP(C29,'Shp 500'!D:D,'Shp 500'!D:D)),"Não","Sim"))</f>
        <v>Sim</v>
      </c>
      <c r="N29" s="21" t="str">
        <f>IF(L29="Fastmoss 500","Sim",IF(ISNA(_xlfn.XLOOKUP(_xlfn.XLOOKUP(C29,'Same Seller Hist'!E:E,'Same Seller Hist'!H:H),'Fastmoss 500'!D:D,'Fastmoss 500'!D:D)),"Não","Sim"))</f>
        <v>Não</v>
      </c>
      <c r="O29" s="21" t="str">
        <f t="shared" si="0"/>
        <v>Não</v>
      </c>
      <c r="P29" s="21" t="str">
        <f t="shared" si="1"/>
        <v>Sim</v>
      </c>
      <c r="Q29" s="21">
        <f t="shared" si="2"/>
        <v>1</v>
      </c>
    </row>
    <row r="30" spans="3:17" x14ac:dyDescent="0.35">
      <c r="C30" s="5">
        <v>347988064</v>
      </c>
      <c r="D30" s="5" t="s">
        <v>458</v>
      </c>
      <c r="E30" s="5">
        <f>_xlfn.XLOOKUP(C30,'Same Seller Hist'!E:E,'Same Seller Hist'!I:I)</f>
        <v>7.4961622309280502E+18</v>
      </c>
      <c r="F30" s="5" t="str">
        <f>_xlfn.XLOOKUP(C30,'Same Seller Hist'!E:E,'Same Seller Hist'!H:H)</f>
        <v>Soldiers Nutrition</v>
      </c>
      <c r="G30" s="5" t="s">
        <v>903</v>
      </c>
      <c r="H30" s="19">
        <v>931.35483870967425</v>
      </c>
      <c r="I30" s="19">
        <v>10885.50768516145</v>
      </c>
      <c r="J30" s="19">
        <f>_xlfn.IFNA(_xlfn.XLOOKUP(F30,'Fastmoss 500'!D:D,'Fastmoss 500'!O:O),0)</f>
        <v>732.25806451612902</v>
      </c>
      <c r="K30" s="19">
        <f>_xlfn.IFNA(_xlfn.XLOOKUP(F30,'Fastmoss 500'!D:D,'Fastmoss 500'!N:N),0)</f>
        <v>48387.096774193546</v>
      </c>
      <c r="L30" s="21" t="s">
        <v>2528</v>
      </c>
      <c r="M30" s="21" t="str">
        <f>IF(L30="Shp 500","Sim",IF(ISNA(_xlfn.XLOOKUP(C30,'Shp 500'!D:D,'Shp 500'!D:D)),"Não","Sim"))</f>
        <v>Sim</v>
      </c>
      <c r="N30" s="21" t="str">
        <f>IF(L30="Fastmoss 500","Sim",IF(ISNA(_xlfn.XLOOKUP(_xlfn.XLOOKUP(C30,'Same Seller Hist'!E:E,'Same Seller Hist'!H:H),'Fastmoss 500'!D:D,'Fastmoss 500'!D:D)),"Não","Sim"))</f>
        <v>Sim</v>
      </c>
      <c r="O30" s="21" t="str">
        <f t="shared" si="0"/>
        <v>Sim</v>
      </c>
      <c r="P30" s="21" t="str">
        <f t="shared" si="1"/>
        <v>Não</v>
      </c>
      <c r="Q30" s="21">
        <f t="shared" si="2"/>
        <v>1</v>
      </c>
    </row>
    <row r="31" spans="3:17" x14ac:dyDescent="0.35">
      <c r="C31" s="5">
        <v>1388709282</v>
      </c>
      <c r="D31" s="5" t="s">
        <v>1326</v>
      </c>
      <c r="E31" s="5">
        <f>_xlfn.XLOOKUP(C31,'Same Seller Hist'!E:E,'Same Seller Hist'!I:I)</f>
        <v>7.4962906881663601E+18</v>
      </c>
      <c r="F31" s="5" t="str">
        <f>_xlfn.XLOOKUP(C31,'Same Seller Hist'!E:E,'Same Seller Hist'!H:H)</f>
        <v>Belmicro</v>
      </c>
      <c r="G31" s="5" t="s">
        <v>904</v>
      </c>
      <c r="H31" s="19">
        <v>2420.1935483870966</v>
      </c>
      <c r="I31" s="19">
        <v>265042.32304819289</v>
      </c>
      <c r="J31" s="19">
        <f>_xlfn.IFNA(_xlfn.XLOOKUP(F31,'Fastmoss 500'!D:D,'Fastmoss 500'!O:O),0)</f>
        <v>0</v>
      </c>
      <c r="K31" s="19">
        <f>_xlfn.IFNA(_xlfn.XLOOKUP(F31,'Fastmoss 500'!D:D,'Fastmoss 500'!N:N),0)</f>
        <v>0</v>
      </c>
      <c r="L31" s="21" t="s">
        <v>2528</v>
      </c>
      <c r="M31" s="21" t="str">
        <f>IF(L31="Shp 500","Sim",IF(ISNA(_xlfn.XLOOKUP(C31,'Shp 500'!D:D,'Shp 500'!D:D)),"Não","Sim"))</f>
        <v>Sim</v>
      </c>
      <c r="N31" s="21" t="str">
        <f>IF(L31="Fastmoss 500","Sim",IF(ISNA(_xlfn.XLOOKUP(_xlfn.XLOOKUP(C31,'Same Seller Hist'!E:E,'Same Seller Hist'!H:H),'Fastmoss 500'!D:D,'Fastmoss 500'!D:D)),"Não","Sim"))</f>
        <v>Não</v>
      </c>
      <c r="O31" s="21" t="str">
        <f t="shared" si="0"/>
        <v>Não</v>
      </c>
      <c r="P31" s="21" t="str">
        <f t="shared" si="1"/>
        <v>Sim</v>
      </c>
      <c r="Q31" s="21">
        <f t="shared" si="2"/>
        <v>1</v>
      </c>
    </row>
    <row r="32" spans="3:17" x14ac:dyDescent="0.35">
      <c r="C32" s="5">
        <v>359168917</v>
      </c>
      <c r="D32" s="5" t="s">
        <v>1418</v>
      </c>
      <c r="E32" s="5">
        <f>_xlfn.XLOOKUP(C32,'Same Seller Hist'!E:E,'Same Seller Hist'!I:I)</f>
        <v>7.4961603685124301E+18</v>
      </c>
      <c r="F32" s="5" t="str">
        <f>_xlfn.XLOOKUP(C32,'Same Seller Hist'!E:E,'Same Seller Hist'!H:H)</f>
        <v>LOi Brasil</v>
      </c>
      <c r="G32" s="5" t="s">
        <v>904</v>
      </c>
      <c r="H32" s="19">
        <v>1513.9354838709678</v>
      </c>
      <c r="I32" s="19">
        <v>44619.584696137099</v>
      </c>
      <c r="J32" s="19">
        <f>_xlfn.IFNA(_xlfn.XLOOKUP(F32,'Fastmoss 500'!D:D,'Fastmoss 500'!O:O),0)</f>
        <v>316.12903225806451</v>
      </c>
      <c r="K32" s="19">
        <f>_xlfn.IFNA(_xlfn.XLOOKUP(F32,'Fastmoss 500'!D:D,'Fastmoss 500'!N:N),0)</f>
        <v>45161.290322580644</v>
      </c>
      <c r="L32" s="21" t="s">
        <v>2528</v>
      </c>
      <c r="M32" s="21" t="str">
        <f>IF(L32="Shp 500","Sim",IF(ISNA(_xlfn.XLOOKUP(C32,'Shp 500'!D:D,'Shp 500'!D:D)),"Não","Sim"))</f>
        <v>Sim</v>
      </c>
      <c r="N32" s="21" t="str">
        <f>IF(L32="Fastmoss 500","Sim",IF(ISNA(_xlfn.XLOOKUP(_xlfn.XLOOKUP(C32,'Same Seller Hist'!E:E,'Same Seller Hist'!H:H),'Fastmoss 500'!D:D,'Fastmoss 500'!D:D)),"Não","Sim"))</f>
        <v>Sim</v>
      </c>
      <c r="O32" s="21" t="str">
        <f t="shared" si="0"/>
        <v>Sim</v>
      </c>
      <c r="P32" s="21" t="str">
        <f t="shared" si="1"/>
        <v>Não</v>
      </c>
      <c r="Q32" s="21">
        <f t="shared" si="2"/>
        <v>1</v>
      </c>
    </row>
    <row r="33" spans="3:17" x14ac:dyDescent="0.35">
      <c r="C33" s="5">
        <v>1360752092</v>
      </c>
      <c r="D33" s="5" t="s">
        <v>1331</v>
      </c>
      <c r="E33" s="5">
        <f>_xlfn.XLOOKUP(C33,'Same Seller Hist'!E:E,'Same Seller Hist'!I:I)</f>
        <v>0</v>
      </c>
      <c r="F33" s="5">
        <f>_xlfn.XLOOKUP(C33,'Same Seller Hist'!E:E,'Same Seller Hist'!H:H)</f>
        <v>0</v>
      </c>
      <c r="G33" s="5" t="s">
        <v>905</v>
      </c>
      <c r="H33" s="19">
        <v>2352.7741935483837</v>
      </c>
      <c r="I33" s="19">
        <v>12036.157265868258</v>
      </c>
      <c r="J33" s="19">
        <f>_xlfn.IFNA(_xlfn.XLOOKUP(F33,'Fastmoss 500'!D:D,'Fastmoss 500'!O:O),0)</f>
        <v>0</v>
      </c>
      <c r="K33" s="19">
        <f>_xlfn.IFNA(_xlfn.XLOOKUP(F33,'Fastmoss 500'!D:D,'Fastmoss 500'!N:N),0)</f>
        <v>0</v>
      </c>
      <c r="L33" s="21" t="s">
        <v>2528</v>
      </c>
      <c r="M33" s="21" t="str">
        <f>IF(L33="Shp 500","Sim",IF(ISNA(_xlfn.XLOOKUP(C33,'Shp 500'!D:D,'Shp 500'!D:D)),"Não","Sim"))</f>
        <v>Sim</v>
      </c>
      <c r="N33" s="21" t="str">
        <f>IF(L33="Fastmoss 500","Sim",IF(ISNA(_xlfn.XLOOKUP(_xlfn.XLOOKUP(C33,'Same Seller Hist'!E:E,'Same Seller Hist'!H:H),'Fastmoss 500'!D:D,'Fastmoss 500'!D:D)),"Não","Sim"))</f>
        <v>Não</v>
      </c>
      <c r="O33" s="21" t="str">
        <f t="shared" si="0"/>
        <v>Não</v>
      </c>
      <c r="P33" s="21" t="str">
        <f t="shared" si="1"/>
        <v>Sim</v>
      </c>
      <c r="Q33" s="21">
        <f t="shared" si="2"/>
        <v>1</v>
      </c>
    </row>
    <row r="34" spans="3:17" x14ac:dyDescent="0.35">
      <c r="C34" s="5">
        <v>526615488</v>
      </c>
      <c r="D34" s="5" t="s">
        <v>619</v>
      </c>
      <c r="E34" s="5">
        <f>_xlfn.XLOOKUP(C34,'Same Seller Hist'!E:E,'Same Seller Hist'!I:I)</f>
        <v>7.4962211813104302E+18</v>
      </c>
      <c r="F34" s="5" t="str">
        <f>_xlfn.XLOOKUP(C34,'Same Seller Hist'!E:E,'Same Seller Hist'!H:H)</f>
        <v>Sus.store</v>
      </c>
      <c r="G34" s="5" t="s">
        <v>1734</v>
      </c>
      <c r="H34" s="19">
        <v>2276.1290322580612</v>
      </c>
      <c r="I34" s="19">
        <v>16653.106645114451</v>
      </c>
      <c r="J34" s="19">
        <f>_xlfn.IFNA(_xlfn.XLOOKUP(F34,'Fastmoss 500'!D:D,'Fastmoss 500'!O:O),0)</f>
        <v>0</v>
      </c>
      <c r="K34" s="19">
        <f>_xlfn.IFNA(_xlfn.XLOOKUP(F34,'Fastmoss 500'!D:D,'Fastmoss 500'!N:N),0)</f>
        <v>0</v>
      </c>
      <c r="L34" s="21" t="s">
        <v>2528</v>
      </c>
      <c r="M34" s="21" t="str">
        <f>IF(L34="Shp 500","Sim",IF(ISNA(_xlfn.XLOOKUP(C34,'Shp 500'!D:D,'Shp 500'!D:D)),"Não","Sim"))</f>
        <v>Sim</v>
      </c>
      <c r="N34" s="21" t="str">
        <f>IF(L34="Fastmoss 500","Sim",IF(ISNA(_xlfn.XLOOKUP(_xlfn.XLOOKUP(C34,'Same Seller Hist'!E:E,'Same Seller Hist'!H:H),'Fastmoss 500'!D:D,'Fastmoss 500'!D:D)),"Não","Sim"))</f>
        <v>Não</v>
      </c>
      <c r="O34" s="21" t="str">
        <f t="shared" si="0"/>
        <v>Não</v>
      </c>
      <c r="P34" s="21" t="str">
        <f t="shared" si="1"/>
        <v>Sim</v>
      </c>
      <c r="Q34" s="21">
        <f t="shared" si="2"/>
        <v>1</v>
      </c>
    </row>
    <row r="35" spans="3:17" x14ac:dyDescent="0.35">
      <c r="C35" s="5">
        <v>367507085</v>
      </c>
      <c r="D35" s="5" t="s">
        <v>474</v>
      </c>
      <c r="E35" s="5">
        <f>_xlfn.XLOOKUP(C35,'Same Seller Hist'!E:E,'Same Seller Hist'!I:I)</f>
        <v>7.4961540713888102E+18</v>
      </c>
      <c r="F35" s="5" t="str">
        <f>_xlfn.XLOOKUP(C35,'Same Seller Hist'!E:E,'Same Seller Hist'!H:H)</f>
        <v>Lóris Shoes</v>
      </c>
      <c r="G35" s="5" t="s">
        <v>903</v>
      </c>
      <c r="H35" s="19">
        <v>1376.8709677419354</v>
      </c>
      <c r="I35" s="19">
        <v>13286.643114568387</v>
      </c>
      <c r="J35" s="19">
        <f>_xlfn.IFNA(_xlfn.XLOOKUP(F35,'Fastmoss 500'!D:D,'Fastmoss 500'!O:O),0)</f>
        <v>622.58064516129036</v>
      </c>
      <c r="K35" s="19">
        <f>_xlfn.IFNA(_xlfn.XLOOKUP(F35,'Fastmoss 500'!D:D,'Fastmoss 500'!N:N),0)</f>
        <v>54838.709677419356</v>
      </c>
      <c r="L35" s="21" t="s">
        <v>2528</v>
      </c>
      <c r="M35" s="21" t="str">
        <f>IF(L35="Shp 500","Sim",IF(ISNA(_xlfn.XLOOKUP(C35,'Shp 500'!D:D,'Shp 500'!D:D)),"Não","Sim"))</f>
        <v>Sim</v>
      </c>
      <c r="N35" s="21" t="str">
        <f>IF(L35="Fastmoss 500","Sim",IF(ISNA(_xlfn.XLOOKUP(_xlfn.XLOOKUP(C35,'Same Seller Hist'!E:E,'Same Seller Hist'!H:H),'Fastmoss 500'!D:D,'Fastmoss 500'!D:D)),"Não","Sim"))</f>
        <v>Sim</v>
      </c>
      <c r="O35" s="21" t="str">
        <f t="shared" si="0"/>
        <v>Sim</v>
      </c>
      <c r="P35" s="21" t="str">
        <f t="shared" si="1"/>
        <v>Não</v>
      </c>
      <c r="Q35" s="21">
        <f t="shared" si="2"/>
        <v>1</v>
      </c>
    </row>
    <row r="36" spans="3:17" x14ac:dyDescent="0.35">
      <c r="C36" s="5">
        <v>373261329</v>
      </c>
      <c r="D36" s="5" t="s">
        <v>1330</v>
      </c>
      <c r="E36" s="5">
        <f>_xlfn.XLOOKUP(C36,'Same Seller Hist'!E:E,'Same Seller Hist'!I:I)</f>
        <v>7.4961538833578998E+18</v>
      </c>
      <c r="F36" s="5" t="str">
        <f>_xlfn.XLOOKUP(C36,'Same Seller Hist'!E:E,'Same Seller Hist'!H:H)</f>
        <v>PRINCIPIA</v>
      </c>
      <c r="G36" s="5" t="s">
        <v>906</v>
      </c>
      <c r="H36" s="19">
        <v>2353.2903225806417</v>
      </c>
      <c r="I36" s="19">
        <v>30442.549893065225</v>
      </c>
      <c r="J36" s="19">
        <f>_xlfn.IFNA(_xlfn.XLOOKUP(F36,'Fastmoss 500'!D:D,'Fastmoss 500'!O:O),0)</f>
        <v>593.54838709677415</v>
      </c>
      <c r="K36" s="19">
        <f>_xlfn.IFNA(_xlfn.XLOOKUP(F36,'Fastmoss 500'!D:D,'Fastmoss 500'!N:N),0)</f>
        <v>48387.096774193546</v>
      </c>
      <c r="L36" s="21" t="s">
        <v>2528</v>
      </c>
      <c r="M36" s="21" t="str">
        <f>IF(L36="Shp 500","Sim",IF(ISNA(_xlfn.XLOOKUP(C36,'Shp 500'!D:D,'Shp 500'!D:D)),"Não","Sim"))</f>
        <v>Sim</v>
      </c>
      <c r="N36" s="21" t="str">
        <f>IF(L36="Fastmoss 500","Sim",IF(ISNA(_xlfn.XLOOKUP(_xlfn.XLOOKUP(C36,'Same Seller Hist'!E:E,'Same Seller Hist'!H:H),'Fastmoss 500'!D:D,'Fastmoss 500'!D:D)),"Não","Sim"))</f>
        <v>Sim</v>
      </c>
      <c r="O36" s="21" t="str">
        <f t="shared" si="0"/>
        <v>Sim</v>
      </c>
      <c r="P36" s="21" t="str">
        <f t="shared" si="1"/>
        <v>Não</v>
      </c>
      <c r="Q36" s="21">
        <f t="shared" si="2"/>
        <v>1</v>
      </c>
    </row>
    <row r="37" spans="3:17" x14ac:dyDescent="0.35">
      <c r="C37" s="5">
        <v>407760070</v>
      </c>
      <c r="D37" s="5" t="s">
        <v>1350</v>
      </c>
      <c r="E37" s="5">
        <f>_xlfn.XLOOKUP(C37,'Same Seller Hist'!E:E,'Same Seller Hist'!I:I)</f>
        <v>7.4962131051790602E+18</v>
      </c>
      <c r="F37" s="5" t="str">
        <f>_xlfn.XLOOKUP(C37,'Same Seller Hist'!E:E,'Same Seller Hist'!H:H)</f>
        <v>Karseellshop-BR</v>
      </c>
      <c r="G37" s="5" t="s">
        <v>906</v>
      </c>
      <c r="H37" s="19">
        <v>2111.9999999999968</v>
      </c>
      <c r="I37" s="19">
        <v>14126.845328852483</v>
      </c>
      <c r="J37" s="19">
        <f>_xlfn.IFNA(_xlfn.XLOOKUP(F37,'Fastmoss 500'!D:D,'Fastmoss 500'!O:O),0)</f>
        <v>0</v>
      </c>
      <c r="K37" s="19">
        <f>_xlfn.IFNA(_xlfn.XLOOKUP(F37,'Fastmoss 500'!D:D,'Fastmoss 500'!N:N),0)</f>
        <v>0</v>
      </c>
      <c r="L37" s="21" t="s">
        <v>2528</v>
      </c>
      <c r="M37" s="21" t="str">
        <f>IF(L37="Shp 500","Sim",IF(ISNA(_xlfn.XLOOKUP(C37,'Shp 500'!D:D,'Shp 500'!D:D)),"Não","Sim"))</f>
        <v>Sim</v>
      </c>
      <c r="N37" s="21" t="str">
        <f>IF(L37="Fastmoss 500","Sim",IF(ISNA(_xlfn.XLOOKUP(_xlfn.XLOOKUP(C37,'Same Seller Hist'!E:E,'Same Seller Hist'!H:H),'Fastmoss 500'!D:D,'Fastmoss 500'!D:D)),"Não","Sim"))</f>
        <v>Não</v>
      </c>
      <c r="O37" s="21" t="str">
        <f t="shared" si="0"/>
        <v>Não</v>
      </c>
      <c r="P37" s="21" t="str">
        <f t="shared" si="1"/>
        <v>Sim</v>
      </c>
      <c r="Q37" s="21">
        <f t="shared" si="2"/>
        <v>1</v>
      </c>
    </row>
    <row r="38" spans="3:17" x14ac:dyDescent="0.35">
      <c r="C38" s="5">
        <v>373745451</v>
      </c>
      <c r="D38" s="5" t="s">
        <v>1664</v>
      </c>
      <c r="E38" s="5">
        <f>_xlfn.XLOOKUP(C38,'Same Seller Hist'!E:E,'Same Seller Hist'!I:I)</f>
        <v>7.4961741309414902E+18</v>
      </c>
      <c r="F38" s="5" t="str">
        <f>_xlfn.XLOOKUP(C38,'Same Seller Hist'!E:E,'Same Seller Hist'!H:H)</f>
        <v>Keedistore</v>
      </c>
      <c r="G38" s="5" t="s">
        <v>1734</v>
      </c>
      <c r="H38" s="19">
        <v>892.8387096774162</v>
      </c>
      <c r="I38" s="19">
        <v>7380.453322225484</v>
      </c>
      <c r="J38" s="19">
        <f>_xlfn.IFNA(_xlfn.XLOOKUP(F38,'Fastmoss 500'!D:D,'Fastmoss 500'!O:O),0)</f>
        <v>261.29032258064518</v>
      </c>
      <c r="K38" s="19">
        <f>_xlfn.IFNA(_xlfn.XLOOKUP(F38,'Fastmoss 500'!D:D,'Fastmoss 500'!N:N),0)</f>
        <v>9780.645161290322</v>
      </c>
      <c r="L38" s="21" t="s">
        <v>2528</v>
      </c>
      <c r="M38" s="21" t="str">
        <f>IF(L38="Shp 500","Sim",IF(ISNA(_xlfn.XLOOKUP(C38,'Shp 500'!D:D,'Shp 500'!D:D)),"Não","Sim"))</f>
        <v>Sim</v>
      </c>
      <c r="N38" s="21" t="str">
        <f>IF(L38="Fastmoss 500","Sim",IF(ISNA(_xlfn.XLOOKUP(_xlfn.XLOOKUP(C38,'Same Seller Hist'!E:E,'Same Seller Hist'!H:H),'Fastmoss 500'!D:D,'Fastmoss 500'!D:D)),"Não","Sim"))</f>
        <v>Sim</v>
      </c>
      <c r="O38" s="21" t="str">
        <f t="shared" si="0"/>
        <v>Sim</v>
      </c>
      <c r="P38" s="21" t="str">
        <f t="shared" si="1"/>
        <v>Não</v>
      </c>
      <c r="Q38" s="21">
        <f t="shared" si="2"/>
        <v>1</v>
      </c>
    </row>
    <row r="39" spans="3:17" x14ac:dyDescent="0.35">
      <c r="C39" s="5">
        <v>1515741369</v>
      </c>
      <c r="D39" s="5" t="s">
        <v>1362</v>
      </c>
      <c r="E39" s="5">
        <f>_xlfn.XLOOKUP(C39,'Same Seller Hist'!E:E,'Same Seller Hist'!I:I)</f>
        <v>7.4961821545348803E+18</v>
      </c>
      <c r="F39" s="5" t="str">
        <f>_xlfn.XLOOKUP(C39,'Same Seller Hist'!E:E,'Same Seller Hist'!H:H)</f>
        <v>HEXUNSHOP</v>
      </c>
      <c r="G39" s="5" t="s">
        <v>1734</v>
      </c>
      <c r="H39" s="19">
        <v>1902.6774193548388</v>
      </c>
      <c r="I39" s="19">
        <v>11655.040640780679</v>
      </c>
      <c r="J39" s="19">
        <f>_xlfn.IFNA(_xlfn.XLOOKUP(F39,'Fastmoss 500'!D:D,'Fastmoss 500'!O:O),0)</f>
        <v>0</v>
      </c>
      <c r="K39" s="19">
        <f>_xlfn.IFNA(_xlfn.XLOOKUP(F39,'Fastmoss 500'!D:D,'Fastmoss 500'!N:N),0)</f>
        <v>0</v>
      </c>
      <c r="L39" s="21" t="s">
        <v>2528</v>
      </c>
      <c r="M39" s="21" t="str">
        <f>IF(L39="Shp 500","Sim",IF(ISNA(_xlfn.XLOOKUP(C39,'Shp 500'!D:D,'Shp 500'!D:D)),"Não","Sim"))</f>
        <v>Sim</v>
      </c>
      <c r="N39" s="21" t="str">
        <f>IF(L39="Fastmoss 500","Sim",IF(ISNA(_xlfn.XLOOKUP(_xlfn.XLOOKUP(C39,'Same Seller Hist'!E:E,'Same Seller Hist'!H:H),'Fastmoss 500'!D:D,'Fastmoss 500'!D:D)),"Não","Sim"))</f>
        <v>Não</v>
      </c>
      <c r="O39" s="21" t="str">
        <f t="shared" si="0"/>
        <v>Não</v>
      </c>
      <c r="P39" s="21" t="str">
        <f t="shared" si="1"/>
        <v>Sim</v>
      </c>
      <c r="Q39" s="21">
        <f t="shared" si="2"/>
        <v>1</v>
      </c>
    </row>
    <row r="40" spans="3:17" x14ac:dyDescent="0.35">
      <c r="C40" s="5">
        <v>322432427</v>
      </c>
      <c r="D40" s="5" t="s">
        <v>1363</v>
      </c>
      <c r="E40" s="5">
        <f>_xlfn.XLOOKUP(C40,'Same Seller Hist'!E:E,'Same Seller Hist'!I:I)</f>
        <v>7.4941559380364104E+18</v>
      </c>
      <c r="F40" s="5" t="str">
        <f>_xlfn.XLOOKUP(C40,'Same Seller Hist'!E:E,'Same Seller Hist'!H:H)</f>
        <v>Amor de Make</v>
      </c>
      <c r="G40" s="5" t="s">
        <v>906</v>
      </c>
      <c r="H40" s="19">
        <v>1889.0645161290322</v>
      </c>
      <c r="I40" s="19">
        <v>13057.062241360903</v>
      </c>
      <c r="J40" s="19">
        <f>_xlfn.IFNA(_xlfn.XLOOKUP(F40,'Fastmoss 500'!D:D,'Fastmoss 500'!O:O),0)</f>
        <v>0</v>
      </c>
      <c r="K40" s="19">
        <f>_xlfn.IFNA(_xlfn.XLOOKUP(F40,'Fastmoss 500'!D:D,'Fastmoss 500'!N:N),0)</f>
        <v>0</v>
      </c>
      <c r="L40" s="21" t="s">
        <v>2528</v>
      </c>
      <c r="M40" s="21" t="str">
        <f>IF(L40="Shp 500","Sim",IF(ISNA(_xlfn.XLOOKUP(C40,'Shp 500'!D:D,'Shp 500'!D:D)),"Não","Sim"))</f>
        <v>Sim</v>
      </c>
      <c r="N40" s="21" t="str">
        <f>IF(L40="Fastmoss 500","Sim",IF(ISNA(_xlfn.XLOOKUP(_xlfn.XLOOKUP(C40,'Same Seller Hist'!E:E,'Same Seller Hist'!H:H),'Fastmoss 500'!D:D,'Fastmoss 500'!D:D)),"Não","Sim"))</f>
        <v>Não</v>
      </c>
      <c r="O40" s="21" t="str">
        <f t="shared" si="0"/>
        <v>Não</v>
      </c>
      <c r="P40" s="21" t="str">
        <f t="shared" si="1"/>
        <v>Sim</v>
      </c>
      <c r="Q40" s="21">
        <f t="shared" si="2"/>
        <v>1</v>
      </c>
    </row>
    <row r="41" spans="3:17" x14ac:dyDescent="0.35">
      <c r="C41" s="5">
        <v>375175329</v>
      </c>
      <c r="D41" s="5" t="s">
        <v>485</v>
      </c>
      <c r="E41" s="5">
        <f>_xlfn.XLOOKUP(C41,'Same Seller Hist'!E:E,'Same Seller Hist'!I:I)</f>
        <v>7.4961550486724598E+18</v>
      </c>
      <c r="F41" s="5" t="str">
        <f>_xlfn.XLOOKUP(C41,'Same Seller Hist'!E:E,'Same Seller Hist'!H:H)</f>
        <v>Shekinah Calçados</v>
      </c>
      <c r="G41" s="5" t="s">
        <v>903</v>
      </c>
      <c r="H41" s="19">
        <v>1047.6129032258034</v>
      </c>
      <c r="I41" s="19">
        <v>10358.654945444225</v>
      </c>
      <c r="J41" s="19">
        <f>_xlfn.IFNA(_xlfn.XLOOKUP(F41,'Fastmoss 500'!D:D,'Fastmoss 500'!O:O),0)</f>
        <v>296.77419354838707</v>
      </c>
      <c r="K41" s="19">
        <f>_xlfn.IFNA(_xlfn.XLOOKUP(F41,'Fastmoss 500'!D:D,'Fastmoss 500'!N:N),0)</f>
        <v>22419.354838709678</v>
      </c>
      <c r="L41" s="21" t="s">
        <v>2528</v>
      </c>
      <c r="M41" s="21" t="str">
        <f>IF(L41="Shp 500","Sim",IF(ISNA(_xlfn.XLOOKUP(C41,'Shp 500'!D:D,'Shp 500'!D:D)),"Não","Sim"))</f>
        <v>Sim</v>
      </c>
      <c r="N41" s="21" t="str">
        <f>IF(L41="Fastmoss 500","Sim",IF(ISNA(_xlfn.XLOOKUP(_xlfn.XLOOKUP(C41,'Same Seller Hist'!E:E,'Same Seller Hist'!H:H),'Fastmoss 500'!D:D,'Fastmoss 500'!D:D)),"Não","Sim"))</f>
        <v>Sim</v>
      </c>
      <c r="O41" s="21" t="str">
        <f t="shared" si="0"/>
        <v>Sim</v>
      </c>
      <c r="P41" s="21" t="str">
        <f t="shared" si="1"/>
        <v>Não</v>
      </c>
      <c r="Q41" s="21">
        <f t="shared" si="2"/>
        <v>1</v>
      </c>
    </row>
    <row r="42" spans="3:17" x14ac:dyDescent="0.35">
      <c r="C42" s="5">
        <v>489001115</v>
      </c>
      <c r="D42" s="5" t="s">
        <v>602</v>
      </c>
      <c r="E42" s="5">
        <f>_xlfn.XLOOKUP(C42,'Same Seller Hist'!E:E,'Same Seller Hist'!I:I)</f>
        <v>7.4961625408964198E+18</v>
      </c>
      <c r="F42" s="5" t="str">
        <f>_xlfn.XLOOKUP(C42,'Same Seller Hist'!E:E,'Same Seller Hist'!H:H)</f>
        <v>Dutra Máquinas</v>
      </c>
      <c r="G42" s="5" t="s">
        <v>904</v>
      </c>
      <c r="H42" s="19">
        <v>1873.2258064516129</v>
      </c>
      <c r="I42" s="19">
        <v>62143.234494641933</v>
      </c>
      <c r="J42" s="19">
        <f>_xlfn.IFNA(_xlfn.XLOOKUP(F42,'Fastmoss 500'!D:D,'Fastmoss 500'!O:O),0)</f>
        <v>0</v>
      </c>
      <c r="K42" s="19">
        <f>_xlfn.IFNA(_xlfn.XLOOKUP(F42,'Fastmoss 500'!D:D,'Fastmoss 500'!N:N),0)</f>
        <v>0</v>
      </c>
      <c r="L42" s="21" t="s">
        <v>2528</v>
      </c>
      <c r="M42" s="21" t="str">
        <f>IF(L42="Shp 500","Sim",IF(ISNA(_xlfn.XLOOKUP(C42,'Shp 500'!D:D,'Shp 500'!D:D)),"Não","Sim"))</f>
        <v>Sim</v>
      </c>
      <c r="N42" s="21" t="str">
        <f>IF(L42="Fastmoss 500","Sim",IF(ISNA(_xlfn.XLOOKUP(_xlfn.XLOOKUP(C42,'Same Seller Hist'!E:E,'Same Seller Hist'!H:H),'Fastmoss 500'!D:D,'Fastmoss 500'!D:D)),"Não","Sim"))</f>
        <v>Não</v>
      </c>
      <c r="O42" s="21" t="str">
        <f t="shared" si="0"/>
        <v>Não</v>
      </c>
      <c r="P42" s="21" t="str">
        <f t="shared" si="1"/>
        <v>Sim</v>
      </c>
      <c r="Q42" s="21">
        <f t="shared" si="2"/>
        <v>1</v>
      </c>
    </row>
    <row r="43" spans="3:17" x14ac:dyDescent="0.35">
      <c r="C43" s="5">
        <v>377126536</v>
      </c>
      <c r="D43" s="5" t="s">
        <v>1369</v>
      </c>
      <c r="E43" s="5">
        <f>_xlfn.XLOOKUP(C43,'Same Seller Hist'!E:E,'Same Seller Hist'!I:I)</f>
        <v>7.4961536508881398E+18</v>
      </c>
      <c r="F43" s="5" t="str">
        <f>_xlfn.XLOOKUP(C43,'Same Seller Hist'!E:E,'Same Seller Hist'!H:H)</f>
        <v>Multineos - Mochila e Bolsa</v>
      </c>
      <c r="G43" s="5" t="s">
        <v>1734</v>
      </c>
      <c r="H43" s="19">
        <v>1853.548387096771</v>
      </c>
      <c r="I43" s="19">
        <v>15479.430712747839</v>
      </c>
      <c r="J43" s="19">
        <f>_xlfn.IFNA(_xlfn.XLOOKUP(F43,'Fastmoss 500'!D:D,'Fastmoss 500'!O:O),0)</f>
        <v>506.45161290322579</v>
      </c>
      <c r="K43" s="19">
        <f>_xlfn.IFNA(_xlfn.XLOOKUP(F43,'Fastmoss 500'!D:D,'Fastmoss 500'!N:N),0)</f>
        <v>32258.064516129034</v>
      </c>
      <c r="L43" s="21" t="s">
        <v>2528</v>
      </c>
      <c r="M43" s="21" t="str">
        <f>IF(L43="Shp 500","Sim",IF(ISNA(_xlfn.XLOOKUP(C43,'Shp 500'!D:D,'Shp 500'!D:D)),"Não","Sim"))</f>
        <v>Sim</v>
      </c>
      <c r="N43" s="21" t="str">
        <f>IF(L43="Fastmoss 500","Sim",IF(ISNA(_xlfn.XLOOKUP(_xlfn.XLOOKUP(C43,'Same Seller Hist'!E:E,'Same Seller Hist'!H:H),'Fastmoss 500'!D:D,'Fastmoss 500'!D:D)),"Não","Sim"))</f>
        <v>Sim</v>
      </c>
      <c r="O43" s="21" t="str">
        <f t="shared" si="0"/>
        <v>Sim</v>
      </c>
      <c r="P43" s="21" t="str">
        <f t="shared" si="1"/>
        <v>Não</v>
      </c>
      <c r="Q43" s="21">
        <f t="shared" si="2"/>
        <v>1</v>
      </c>
    </row>
    <row r="44" spans="3:17" x14ac:dyDescent="0.35">
      <c r="C44" s="5">
        <v>594157579</v>
      </c>
      <c r="D44" s="5" t="s">
        <v>646</v>
      </c>
      <c r="E44" s="5">
        <f>_xlfn.XLOOKUP(C44,'Same Seller Hist'!E:E,'Same Seller Hist'!I:I)</f>
        <v>7.4961820434001705E+18</v>
      </c>
      <c r="F44" s="5" t="str">
        <f>_xlfn.XLOOKUP(C44,'Same Seller Hist'!E:E,'Same Seller Hist'!H:H)</f>
        <v>Eggers Móveis Modulados</v>
      </c>
      <c r="G44" s="5" t="s">
        <v>905</v>
      </c>
      <c r="H44" s="19">
        <v>1773.1290322580646</v>
      </c>
      <c r="I44" s="19">
        <v>15343.421754635614</v>
      </c>
      <c r="J44" s="19">
        <f>_xlfn.IFNA(_xlfn.XLOOKUP(F44,'Fastmoss 500'!D:D,'Fastmoss 500'!O:O),0)</f>
        <v>0</v>
      </c>
      <c r="K44" s="19">
        <f>_xlfn.IFNA(_xlfn.XLOOKUP(F44,'Fastmoss 500'!D:D,'Fastmoss 500'!N:N),0)</f>
        <v>0</v>
      </c>
      <c r="L44" s="21" t="s">
        <v>2528</v>
      </c>
      <c r="M44" s="21" t="str">
        <f>IF(L44="Shp 500","Sim",IF(ISNA(_xlfn.XLOOKUP(C44,'Shp 500'!D:D,'Shp 500'!D:D)),"Não","Sim"))</f>
        <v>Sim</v>
      </c>
      <c r="N44" s="21" t="str">
        <f>IF(L44="Fastmoss 500","Sim",IF(ISNA(_xlfn.XLOOKUP(_xlfn.XLOOKUP(C44,'Same Seller Hist'!E:E,'Same Seller Hist'!H:H),'Fastmoss 500'!D:D,'Fastmoss 500'!D:D)),"Não","Sim"))</f>
        <v>Não</v>
      </c>
      <c r="O44" s="21" t="str">
        <f t="shared" si="0"/>
        <v>Não</v>
      </c>
      <c r="P44" s="21" t="str">
        <f t="shared" si="1"/>
        <v>Sim</v>
      </c>
      <c r="Q44" s="21">
        <f t="shared" si="2"/>
        <v>1</v>
      </c>
    </row>
    <row r="45" spans="3:17" x14ac:dyDescent="0.35">
      <c r="C45" s="5">
        <v>387348115</v>
      </c>
      <c r="D45" s="5" t="s">
        <v>1416</v>
      </c>
      <c r="E45" s="5">
        <f>_xlfn.XLOOKUP(C45,'Same Seller Hist'!E:E,'Same Seller Hist'!I:I)</f>
        <v>7.4961604315664497E+18</v>
      </c>
      <c r="F45" s="5" t="str">
        <f>_xlfn.XLOOKUP(C45,'Same Seller Hist'!E:E,'Same Seller Hist'!H:H)</f>
        <v>GiGiL.</v>
      </c>
      <c r="G45" s="5" t="s">
        <v>903</v>
      </c>
      <c r="H45" s="19">
        <v>1522.5806451612902</v>
      </c>
      <c r="I45" s="19">
        <v>16855.793838075871</v>
      </c>
      <c r="J45" s="19">
        <f>_xlfn.IFNA(_xlfn.XLOOKUP(F45,'Fastmoss 500'!D:D,'Fastmoss 500'!O:O),0)</f>
        <v>470.96774193548384</v>
      </c>
      <c r="K45" s="19">
        <f>_xlfn.IFNA(_xlfn.XLOOKUP(F45,'Fastmoss 500'!D:D,'Fastmoss 500'!N:N),0)</f>
        <v>35483.870967741932</v>
      </c>
      <c r="L45" s="21" t="s">
        <v>2528</v>
      </c>
      <c r="M45" s="21" t="str">
        <f>IF(L45="Shp 500","Sim",IF(ISNA(_xlfn.XLOOKUP(C45,'Shp 500'!D:D,'Shp 500'!D:D)),"Não","Sim"))</f>
        <v>Sim</v>
      </c>
      <c r="N45" s="21" t="str">
        <f>IF(L45="Fastmoss 500","Sim",IF(ISNA(_xlfn.XLOOKUP(_xlfn.XLOOKUP(C45,'Same Seller Hist'!E:E,'Same Seller Hist'!H:H),'Fastmoss 500'!D:D,'Fastmoss 500'!D:D)),"Não","Sim"))</f>
        <v>Sim</v>
      </c>
      <c r="O45" s="21" t="str">
        <f t="shared" si="0"/>
        <v>Sim</v>
      </c>
      <c r="P45" s="21" t="str">
        <f t="shared" si="1"/>
        <v>Não</v>
      </c>
      <c r="Q45" s="21">
        <f t="shared" si="2"/>
        <v>1</v>
      </c>
    </row>
    <row r="46" spans="3:17" x14ac:dyDescent="0.35">
      <c r="C46" s="5">
        <v>346235717</v>
      </c>
      <c r="D46" s="5" t="s">
        <v>1377</v>
      </c>
      <c r="E46" s="5">
        <f>_xlfn.XLOOKUP(C46,'Same Seller Hist'!E:E,'Same Seller Hist'!I:I)</f>
        <v>7.4962835538517299E+18</v>
      </c>
      <c r="F46" s="5" t="str">
        <f>_xlfn.XLOOKUP(C46,'Same Seller Hist'!E:E,'Same Seller Hist'!H:H)</f>
        <v>heybox ??</v>
      </c>
      <c r="G46" s="5" t="s">
        <v>905</v>
      </c>
      <c r="H46" s="19">
        <v>1755.2580645161258</v>
      </c>
      <c r="I46" s="19">
        <v>16349.483724564225</v>
      </c>
      <c r="J46" s="19">
        <f>_xlfn.IFNA(_xlfn.XLOOKUP(F46,'Fastmoss 500'!D:D,'Fastmoss 500'!O:O),0)</f>
        <v>0</v>
      </c>
      <c r="K46" s="19">
        <f>_xlfn.IFNA(_xlfn.XLOOKUP(F46,'Fastmoss 500'!D:D,'Fastmoss 500'!N:N),0)</f>
        <v>0</v>
      </c>
      <c r="L46" s="21" t="s">
        <v>2528</v>
      </c>
      <c r="M46" s="21" t="str">
        <f>IF(L46="Shp 500","Sim",IF(ISNA(_xlfn.XLOOKUP(C46,'Shp 500'!D:D,'Shp 500'!D:D)),"Não","Sim"))</f>
        <v>Sim</v>
      </c>
      <c r="N46" s="21" t="str">
        <f>IF(L46="Fastmoss 500","Sim",IF(ISNA(_xlfn.XLOOKUP(_xlfn.XLOOKUP(C46,'Same Seller Hist'!E:E,'Same Seller Hist'!H:H),'Fastmoss 500'!D:D,'Fastmoss 500'!D:D)),"Não","Sim"))</f>
        <v>Não</v>
      </c>
      <c r="O46" s="21" t="str">
        <f t="shared" si="0"/>
        <v>Não</v>
      </c>
      <c r="P46" s="21" t="str">
        <f t="shared" si="1"/>
        <v>Sim</v>
      </c>
      <c r="Q46" s="21">
        <f t="shared" si="2"/>
        <v>1</v>
      </c>
    </row>
    <row r="47" spans="3:17" x14ac:dyDescent="0.35">
      <c r="C47" s="5">
        <v>225117529</v>
      </c>
      <c r="D47" s="5" t="s">
        <v>354</v>
      </c>
      <c r="E47" s="5">
        <f>_xlfn.XLOOKUP(C47,'Same Seller Hist'!E:E,'Same Seller Hist'!I:I)</f>
        <v>7.4963060441597501E+18</v>
      </c>
      <c r="F47" s="5" t="str">
        <f>_xlfn.XLOOKUP(C47,'Same Seller Hist'!E:E,'Same Seller Hist'!H:H)</f>
        <v>Trissé Acessórios</v>
      </c>
      <c r="G47" s="5" t="s">
        <v>906</v>
      </c>
      <c r="H47" s="19">
        <v>1688.0645161290322</v>
      </c>
      <c r="I47" s="19">
        <v>4998.4763133892902</v>
      </c>
      <c r="J47" s="19">
        <f>_xlfn.IFNA(_xlfn.XLOOKUP(F47,'Fastmoss 500'!D:D,'Fastmoss 500'!O:O),0)</f>
        <v>0</v>
      </c>
      <c r="K47" s="19">
        <f>_xlfn.IFNA(_xlfn.XLOOKUP(F47,'Fastmoss 500'!D:D,'Fastmoss 500'!N:N),0)</f>
        <v>0</v>
      </c>
      <c r="L47" s="21" t="s">
        <v>2528</v>
      </c>
      <c r="M47" s="21" t="str">
        <f>IF(L47="Shp 500","Sim",IF(ISNA(_xlfn.XLOOKUP(C47,'Shp 500'!D:D,'Shp 500'!D:D)),"Não","Sim"))</f>
        <v>Sim</v>
      </c>
      <c r="N47" s="21" t="str">
        <f>IF(L47="Fastmoss 500","Sim",IF(ISNA(_xlfn.XLOOKUP(_xlfn.XLOOKUP(C47,'Same Seller Hist'!E:E,'Same Seller Hist'!H:H),'Fastmoss 500'!D:D,'Fastmoss 500'!D:D)),"Não","Sim"))</f>
        <v>Não</v>
      </c>
      <c r="O47" s="21" t="str">
        <f t="shared" si="0"/>
        <v>Não</v>
      </c>
      <c r="P47" s="21" t="str">
        <f t="shared" si="1"/>
        <v>Sim</v>
      </c>
      <c r="Q47" s="21">
        <f t="shared" si="2"/>
        <v>1</v>
      </c>
    </row>
    <row r="48" spans="3:17" x14ac:dyDescent="0.35">
      <c r="C48" s="5">
        <v>816161995</v>
      </c>
      <c r="D48" s="5" t="s">
        <v>1386</v>
      </c>
      <c r="E48" s="5">
        <f>_xlfn.XLOOKUP(C48,'Same Seller Hist'!E:E,'Same Seller Hist'!I:I)</f>
        <v>7.4961864856271196E+18</v>
      </c>
      <c r="F48" s="5" t="str">
        <f>_xlfn.XLOOKUP(C48,'Same Seller Hist'!E:E,'Same Seller Hist'!H:H)</f>
        <v>MULTI BAZAR</v>
      </c>
      <c r="G48" s="5" t="s">
        <v>1734</v>
      </c>
      <c r="H48" s="19">
        <v>1684.8709677419322</v>
      </c>
      <c r="I48" s="19">
        <v>6098.1941280004512</v>
      </c>
      <c r="J48" s="19">
        <f>_xlfn.IFNA(_xlfn.XLOOKUP(F48,'Fastmoss 500'!D:D,'Fastmoss 500'!O:O),0)</f>
        <v>0</v>
      </c>
      <c r="K48" s="19">
        <f>_xlfn.IFNA(_xlfn.XLOOKUP(F48,'Fastmoss 500'!D:D,'Fastmoss 500'!N:N),0)</f>
        <v>0</v>
      </c>
      <c r="L48" s="21" t="s">
        <v>2528</v>
      </c>
      <c r="M48" s="21" t="str">
        <f>IF(L48="Shp 500","Sim",IF(ISNA(_xlfn.XLOOKUP(C48,'Shp 500'!D:D,'Shp 500'!D:D)),"Não","Sim"))</f>
        <v>Sim</v>
      </c>
      <c r="N48" s="21" t="str">
        <f>IF(L48="Fastmoss 500","Sim",IF(ISNA(_xlfn.XLOOKUP(_xlfn.XLOOKUP(C48,'Same Seller Hist'!E:E,'Same Seller Hist'!H:H),'Fastmoss 500'!D:D,'Fastmoss 500'!D:D)),"Não","Sim"))</f>
        <v>Não</v>
      </c>
      <c r="O48" s="21" t="str">
        <f t="shared" si="0"/>
        <v>Não</v>
      </c>
      <c r="P48" s="21" t="str">
        <f t="shared" si="1"/>
        <v>Sim</v>
      </c>
      <c r="Q48" s="21">
        <f t="shared" si="2"/>
        <v>1</v>
      </c>
    </row>
    <row r="49" spans="3:17" x14ac:dyDescent="0.35">
      <c r="C49" s="5">
        <v>390307022</v>
      </c>
      <c r="D49" s="5" t="s">
        <v>1361</v>
      </c>
      <c r="E49" s="5">
        <f>_xlfn.XLOOKUP(C49,'Same Seller Hist'!E:E,'Same Seller Hist'!I:I)</f>
        <v>7.4961634719360901E+18</v>
      </c>
      <c r="F49" s="5" t="str">
        <f>_xlfn.XLOOKUP(C49,'Same Seller Hist'!E:E,'Same Seller Hist'!H:H)</f>
        <v>ZSZ BRASIL</v>
      </c>
      <c r="G49" s="5" t="s">
        <v>1734</v>
      </c>
      <c r="H49" s="19">
        <v>1902.9354838709644</v>
      </c>
      <c r="I49" s="19">
        <v>9217.4875408550324</v>
      </c>
      <c r="J49" s="19">
        <f>_xlfn.IFNA(_xlfn.XLOOKUP(F49,'Fastmoss 500'!D:D,'Fastmoss 500'!O:O),0)</f>
        <v>1687.0967741935483</v>
      </c>
      <c r="K49" s="19">
        <f>_xlfn.IFNA(_xlfn.XLOOKUP(F49,'Fastmoss 500'!D:D,'Fastmoss 500'!N:N),0)</f>
        <v>27238.709677419356</v>
      </c>
      <c r="L49" s="21" t="s">
        <v>2528</v>
      </c>
      <c r="M49" s="21" t="str">
        <f>IF(L49="Shp 500","Sim",IF(ISNA(_xlfn.XLOOKUP(C49,'Shp 500'!D:D,'Shp 500'!D:D)),"Não","Sim"))</f>
        <v>Sim</v>
      </c>
      <c r="N49" s="21" t="str">
        <f>IF(L49="Fastmoss 500","Sim",IF(ISNA(_xlfn.XLOOKUP(_xlfn.XLOOKUP(C49,'Same Seller Hist'!E:E,'Same Seller Hist'!H:H),'Fastmoss 500'!D:D,'Fastmoss 500'!D:D)),"Não","Sim"))</f>
        <v>Sim</v>
      </c>
      <c r="O49" s="21" t="str">
        <f t="shared" si="0"/>
        <v>Sim</v>
      </c>
      <c r="P49" s="21" t="str">
        <f t="shared" si="1"/>
        <v>Não</v>
      </c>
      <c r="Q49" s="21">
        <f t="shared" si="2"/>
        <v>1</v>
      </c>
    </row>
    <row r="50" spans="3:17" x14ac:dyDescent="0.35">
      <c r="C50" s="5">
        <v>644980753</v>
      </c>
      <c r="D50" s="5" t="s">
        <v>1395</v>
      </c>
      <c r="E50" s="5">
        <f>_xlfn.XLOOKUP(C50,'Same Seller Hist'!E:E,'Same Seller Hist'!I:I)</f>
        <v>7.49627254141986E+18</v>
      </c>
      <c r="F50" s="5" t="str">
        <f>_xlfn.XLOOKUP(C50,'Same Seller Hist'!E:E,'Same Seller Hist'!H:H)</f>
        <v>Encando da Beleza</v>
      </c>
      <c r="G50" s="5" t="s">
        <v>906</v>
      </c>
      <c r="H50" s="19">
        <v>1623.7096774193549</v>
      </c>
      <c r="I50" s="19">
        <v>6583.0182057249676</v>
      </c>
      <c r="J50" s="19">
        <f>_xlfn.IFNA(_xlfn.XLOOKUP(F50,'Fastmoss 500'!D:D,'Fastmoss 500'!O:O),0)</f>
        <v>0</v>
      </c>
      <c r="K50" s="19">
        <f>_xlfn.IFNA(_xlfn.XLOOKUP(F50,'Fastmoss 500'!D:D,'Fastmoss 500'!N:N),0)</f>
        <v>0</v>
      </c>
      <c r="L50" s="21" t="s">
        <v>2528</v>
      </c>
      <c r="M50" s="21" t="str">
        <f>IF(L50="Shp 500","Sim",IF(ISNA(_xlfn.XLOOKUP(C50,'Shp 500'!D:D,'Shp 500'!D:D)),"Não","Sim"))</f>
        <v>Sim</v>
      </c>
      <c r="N50" s="21" t="str">
        <f>IF(L50="Fastmoss 500","Sim",IF(ISNA(_xlfn.XLOOKUP(_xlfn.XLOOKUP(C50,'Same Seller Hist'!E:E,'Same Seller Hist'!H:H),'Fastmoss 500'!D:D,'Fastmoss 500'!D:D)),"Não","Sim"))</f>
        <v>Não</v>
      </c>
      <c r="O50" s="21" t="str">
        <f t="shared" si="0"/>
        <v>Não</v>
      </c>
      <c r="P50" s="21" t="str">
        <f t="shared" si="1"/>
        <v>Sim</v>
      </c>
      <c r="Q50" s="21">
        <f t="shared" si="2"/>
        <v>1</v>
      </c>
    </row>
    <row r="51" spans="3:17" x14ac:dyDescent="0.35">
      <c r="C51" s="5">
        <v>391739739</v>
      </c>
      <c r="D51" s="5" t="s">
        <v>1278</v>
      </c>
      <c r="E51" s="5">
        <f>_xlfn.XLOOKUP(C51,'Same Seller Hist'!E:E,'Same Seller Hist'!I:I)</f>
        <v>7.4961475059922698E+18</v>
      </c>
      <c r="F51" s="5" t="str">
        <f>_xlfn.XLOOKUP(C51,'Same Seller Hist'!E:E,'Same Seller Hist'!H:H)</f>
        <v>ANJGG.STORE</v>
      </c>
      <c r="G51" s="5" t="s">
        <v>1734</v>
      </c>
      <c r="H51" s="19">
        <v>6695.3225806451292</v>
      </c>
      <c r="I51" s="19">
        <v>52809.985030649033</v>
      </c>
      <c r="J51" s="19">
        <f>_xlfn.IFNA(_xlfn.XLOOKUP(F51,'Fastmoss 500'!D:D,'Fastmoss 500'!O:O),0)</f>
        <v>912.90322580645159</v>
      </c>
      <c r="K51" s="19">
        <f>_xlfn.IFNA(_xlfn.XLOOKUP(F51,'Fastmoss 500'!D:D,'Fastmoss 500'!N:N),0)</f>
        <v>41935.483870967742</v>
      </c>
      <c r="L51" s="21" t="s">
        <v>2528</v>
      </c>
      <c r="M51" s="21" t="str">
        <f>IF(L51="Shp 500","Sim",IF(ISNA(_xlfn.XLOOKUP(C51,'Shp 500'!D:D,'Shp 500'!D:D)),"Não","Sim"))</f>
        <v>Sim</v>
      </c>
      <c r="N51" s="21" t="str">
        <f>IF(L51="Fastmoss 500","Sim",IF(ISNA(_xlfn.XLOOKUP(_xlfn.XLOOKUP(C51,'Same Seller Hist'!E:E,'Same Seller Hist'!H:H),'Fastmoss 500'!D:D,'Fastmoss 500'!D:D)),"Não","Sim"))</f>
        <v>Sim</v>
      </c>
      <c r="O51" s="21" t="str">
        <f t="shared" si="0"/>
        <v>Sim</v>
      </c>
      <c r="P51" s="21" t="str">
        <f t="shared" si="1"/>
        <v>Sim</v>
      </c>
      <c r="Q51" s="21">
        <f t="shared" si="2"/>
        <v>1</v>
      </c>
    </row>
    <row r="52" spans="3:17" x14ac:dyDescent="0.35">
      <c r="C52" s="5">
        <v>1005980154</v>
      </c>
      <c r="D52" s="5" t="s">
        <v>1397</v>
      </c>
      <c r="E52" s="5">
        <f>_xlfn.XLOOKUP(C52,'Same Seller Hist'!E:E,'Same Seller Hist'!I:I)</f>
        <v>7.4941692853928202E+18</v>
      </c>
      <c r="F52" s="5" t="str">
        <f>_xlfn.XLOOKUP(C52,'Same Seller Hist'!E:E,'Same Seller Hist'!H:H)</f>
        <v>Arara Store.</v>
      </c>
      <c r="G52" s="5" t="s">
        <v>1734</v>
      </c>
      <c r="H52" s="19">
        <v>1618.1612903225773</v>
      </c>
      <c r="I52" s="19">
        <v>10420.293006465386</v>
      </c>
      <c r="J52" s="19">
        <f>_xlfn.IFNA(_xlfn.XLOOKUP(F52,'Fastmoss 500'!D:D,'Fastmoss 500'!O:O),0)</f>
        <v>0</v>
      </c>
      <c r="K52" s="19">
        <f>_xlfn.IFNA(_xlfn.XLOOKUP(F52,'Fastmoss 500'!D:D,'Fastmoss 500'!N:N),0)</f>
        <v>0</v>
      </c>
      <c r="L52" s="21" t="s">
        <v>2528</v>
      </c>
      <c r="M52" s="21" t="str">
        <f>IF(L52="Shp 500","Sim",IF(ISNA(_xlfn.XLOOKUP(C52,'Shp 500'!D:D,'Shp 500'!D:D)),"Não","Sim"))</f>
        <v>Sim</v>
      </c>
      <c r="N52" s="21" t="str">
        <f>IF(L52="Fastmoss 500","Sim",IF(ISNA(_xlfn.XLOOKUP(_xlfn.XLOOKUP(C52,'Same Seller Hist'!E:E,'Same Seller Hist'!H:H),'Fastmoss 500'!D:D,'Fastmoss 500'!D:D)),"Não","Sim"))</f>
        <v>Não</v>
      </c>
      <c r="O52" s="21" t="str">
        <f t="shared" si="0"/>
        <v>Não</v>
      </c>
      <c r="P52" s="21" t="str">
        <f t="shared" si="1"/>
        <v>Sim</v>
      </c>
      <c r="Q52" s="21">
        <f t="shared" si="2"/>
        <v>1</v>
      </c>
    </row>
    <row r="53" spans="3:17" x14ac:dyDescent="0.35">
      <c r="C53" s="5">
        <v>659435897</v>
      </c>
      <c r="D53" s="5" t="s">
        <v>1398</v>
      </c>
      <c r="E53" s="5">
        <f>_xlfn.XLOOKUP(C53,'Same Seller Hist'!E:E,'Same Seller Hist'!I:I)</f>
        <v>7.4961823047646904E+18</v>
      </c>
      <c r="F53" s="5" t="str">
        <f>_xlfn.XLOOKUP(C53,'Same Seller Hist'!E:E,'Same Seller Hist'!H:H)</f>
        <v>GudBuy</v>
      </c>
      <c r="G53" s="5" t="s">
        <v>1734</v>
      </c>
      <c r="H53" s="19">
        <v>1613.8387096774193</v>
      </c>
      <c r="I53" s="19">
        <v>14152.908208558161</v>
      </c>
      <c r="J53" s="19">
        <f>_xlfn.IFNA(_xlfn.XLOOKUP(F53,'Fastmoss 500'!D:D,'Fastmoss 500'!O:O),0)</f>
        <v>0</v>
      </c>
      <c r="K53" s="19">
        <f>_xlfn.IFNA(_xlfn.XLOOKUP(F53,'Fastmoss 500'!D:D,'Fastmoss 500'!N:N),0)</f>
        <v>0</v>
      </c>
      <c r="L53" s="21" t="s">
        <v>2528</v>
      </c>
      <c r="M53" s="21" t="str">
        <f>IF(L53="Shp 500","Sim",IF(ISNA(_xlfn.XLOOKUP(C53,'Shp 500'!D:D,'Shp 500'!D:D)),"Não","Sim"))</f>
        <v>Sim</v>
      </c>
      <c r="N53" s="21" t="str">
        <f>IF(L53="Fastmoss 500","Sim",IF(ISNA(_xlfn.XLOOKUP(_xlfn.XLOOKUP(C53,'Same Seller Hist'!E:E,'Same Seller Hist'!H:H),'Fastmoss 500'!D:D,'Fastmoss 500'!D:D)),"Não","Sim"))</f>
        <v>Não</v>
      </c>
      <c r="O53" s="21" t="str">
        <f t="shared" si="0"/>
        <v>Não</v>
      </c>
      <c r="P53" s="21" t="str">
        <f t="shared" si="1"/>
        <v>Sim</v>
      </c>
      <c r="Q53" s="21">
        <f t="shared" si="2"/>
        <v>1</v>
      </c>
    </row>
    <row r="54" spans="3:17" x14ac:dyDescent="0.35">
      <c r="C54" s="5">
        <v>984950642</v>
      </c>
      <c r="D54" s="5" t="s">
        <v>768</v>
      </c>
      <c r="E54" s="5">
        <f>_xlfn.XLOOKUP(C54,'Same Seller Hist'!E:E,'Same Seller Hist'!I:I)</f>
        <v>7.49412591350733E+18</v>
      </c>
      <c r="F54" s="5" t="str">
        <f>_xlfn.XLOOKUP(C54,'Same Seller Hist'!E:E,'Same Seller Hist'!H:H)</f>
        <v>Gira Casa</v>
      </c>
      <c r="G54" s="5" t="s">
        <v>905</v>
      </c>
      <c r="H54" s="19">
        <v>1595.8387096774193</v>
      </c>
      <c r="I54" s="19">
        <v>16729.223012628838</v>
      </c>
      <c r="J54" s="19">
        <f>_xlfn.IFNA(_xlfn.XLOOKUP(F54,'Fastmoss 500'!D:D,'Fastmoss 500'!O:O),0)</f>
        <v>0</v>
      </c>
      <c r="K54" s="19">
        <f>_xlfn.IFNA(_xlfn.XLOOKUP(F54,'Fastmoss 500'!D:D,'Fastmoss 500'!N:N),0)</f>
        <v>0</v>
      </c>
      <c r="L54" s="21" t="s">
        <v>2528</v>
      </c>
      <c r="M54" s="21" t="str">
        <f>IF(L54="Shp 500","Sim",IF(ISNA(_xlfn.XLOOKUP(C54,'Shp 500'!D:D,'Shp 500'!D:D)),"Não","Sim"))</f>
        <v>Sim</v>
      </c>
      <c r="N54" s="21" t="str">
        <f>IF(L54="Fastmoss 500","Sim",IF(ISNA(_xlfn.XLOOKUP(_xlfn.XLOOKUP(C54,'Same Seller Hist'!E:E,'Same Seller Hist'!H:H),'Fastmoss 500'!D:D,'Fastmoss 500'!D:D)),"Não","Sim"))</f>
        <v>Não</v>
      </c>
      <c r="O54" s="21" t="str">
        <f t="shared" si="0"/>
        <v>Não</v>
      </c>
      <c r="P54" s="21" t="str">
        <f t="shared" si="1"/>
        <v>Sim</v>
      </c>
      <c r="Q54" s="21">
        <f t="shared" si="2"/>
        <v>1</v>
      </c>
    </row>
    <row r="55" spans="3:17" x14ac:dyDescent="0.35">
      <c r="C55" s="5">
        <v>371656735</v>
      </c>
      <c r="D55" s="5" t="s">
        <v>1402</v>
      </c>
      <c r="E55" s="5">
        <f>_xlfn.XLOOKUP(C55,'Same Seller Hist'!E:E,'Same Seller Hist'!I:I)</f>
        <v>7.4961621614902897E+18</v>
      </c>
      <c r="F55" s="5" t="str">
        <f>_xlfn.XLOOKUP(C55,'Same Seller Hist'!E:E,'Same Seller Hist'!H:H)</f>
        <v>my comercio</v>
      </c>
      <c r="G55" s="5" t="s">
        <v>1734</v>
      </c>
      <c r="H55" s="19">
        <v>1588.1935483870968</v>
      </c>
      <c r="I55" s="19">
        <v>7553.4753508781941</v>
      </c>
      <c r="J55" s="19">
        <f>_xlfn.IFNA(_xlfn.XLOOKUP(F55,'Fastmoss 500'!D:D,'Fastmoss 500'!O:O),0)</f>
        <v>0</v>
      </c>
      <c r="K55" s="19">
        <f>_xlfn.IFNA(_xlfn.XLOOKUP(F55,'Fastmoss 500'!D:D,'Fastmoss 500'!N:N),0)</f>
        <v>0</v>
      </c>
      <c r="L55" s="21" t="s">
        <v>2528</v>
      </c>
      <c r="M55" s="21" t="str">
        <f>IF(L55="Shp 500","Sim",IF(ISNA(_xlfn.XLOOKUP(C55,'Shp 500'!D:D,'Shp 500'!D:D)),"Não","Sim"))</f>
        <v>Sim</v>
      </c>
      <c r="N55" s="21" t="str">
        <f>IF(L55="Fastmoss 500","Sim",IF(ISNA(_xlfn.XLOOKUP(_xlfn.XLOOKUP(C55,'Same Seller Hist'!E:E,'Same Seller Hist'!H:H),'Fastmoss 500'!D:D,'Fastmoss 500'!D:D)),"Não","Sim"))</f>
        <v>Não</v>
      </c>
      <c r="O55" s="21" t="str">
        <f t="shared" si="0"/>
        <v>Não</v>
      </c>
      <c r="P55" s="21" t="str">
        <f t="shared" si="1"/>
        <v>Sim</v>
      </c>
      <c r="Q55" s="21">
        <f t="shared" si="2"/>
        <v>1</v>
      </c>
    </row>
    <row r="56" spans="3:17" x14ac:dyDescent="0.35">
      <c r="C56" s="5">
        <v>397374716</v>
      </c>
      <c r="D56" s="5" t="s">
        <v>1596</v>
      </c>
      <c r="E56" s="5">
        <f>_xlfn.XLOOKUP(C56,'Same Seller Hist'!E:E,'Same Seller Hist'!I:I)</f>
        <v>0</v>
      </c>
      <c r="F56" s="5">
        <f>_xlfn.XLOOKUP(C56,'Same Seller Hist'!E:E,'Same Seller Hist'!H:H)</f>
        <v>0</v>
      </c>
      <c r="G56" s="5" t="s">
        <v>1734</v>
      </c>
      <c r="H56" s="19">
        <v>995.48387096773877</v>
      </c>
      <c r="I56" s="19">
        <v>7664.8528716645478</v>
      </c>
      <c r="J56" s="19">
        <f>_xlfn.IFNA(_xlfn.XLOOKUP(F56,'Fastmoss 500'!D:D,'Fastmoss 500'!O:O),0)</f>
        <v>0</v>
      </c>
      <c r="K56" s="19">
        <f>_xlfn.IFNA(_xlfn.XLOOKUP(F56,'Fastmoss 500'!D:D,'Fastmoss 500'!N:N),0)</f>
        <v>0</v>
      </c>
      <c r="L56" s="21" t="s">
        <v>2528</v>
      </c>
      <c r="M56" s="21" t="str">
        <f>IF(L56="Shp 500","Sim",IF(ISNA(_xlfn.XLOOKUP(C56,'Shp 500'!D:D,'Shp 500'!D:D)),"Não","Sim"))</f>
        <v>Sim</v>
      </c>
      <c r="N56" s="21" t="str">
        <f>IF(L56="Fastmoss 500","Sim",IF(ISNA(_xlfn.XLOOKUP(_xlfn.XLOOKUP(C56,'Same Seller Hist'!E:E,'Same Seller Hist'!H:H),'Fastmoss 500'!D:D,'Fastmoss 500'!D:D)),"Não","Sim"))</f>
        <v>Sim</v>
      </c>
      <c r="O56" s="21" t="str">
        <f t="shared" si="0"/>
        <v>Sim</v>
      </c>
      <c r="P56" s="21" t="str">
        <f t="shared" si="1"/>
        <v>Sim</v>
      </c>
      <c r="Q56" s="21">
        <f t="shared" si="2"/>
        <v>1</v>
      </c>
    </row>
    <row r="57" spans="3:17" x14ac:dyDescent="0.35">
      <c r="C57" s="5">
        <v>400905650</v>
      </c>
      <c r="D57" s="5" t="s">
        <v>531</v>
      </c>
      <c r="E57" s="5">
        <f>_xlfn.XLOOKUP(C57,'Same Seller Hist'!E:E,'Same Seller Hist'!I:I)</f>
        <v>7.4961865761146399E+18</v>
      </c>
      <c r="F57" s="5" t="str">
        <f>_xlfn.XLOOKUP(C57,'Same Seller Hist'!E:E,'Same Seller Hist'!H:H)</f>
        <v>Plenitude Distribuidora</v>
      </c>
      <c r="G57" s="5" t="s">
        <v>906</v>
      </c>
      <c r="H57" s="19">
        <v>1494.1612903225807</v>
      </c>
      <c r="I57" s="19">
        <v>11406.269956249904</v>
      </c>
      <c r="J57" s="19">
        <f>_xlfn.IFNA(_xlfn.XLOOKUP(F57,'Fastmoss 500'!D:D,'Fastmoss 500'!O:O),0)</f>
        <v>241.93548387096774</v>
      </c>
      <c r="K57" s="19">
        <f>_xlfn.IFNA(_xlfn.XLOOKUP(F57,'Fastmoss 500'!D:D,'Fastmoss 500'!N:N),0)</f>
        <v>12609.677419354839</v>
      </c>
      <c r="L57" s="21" t="s">
        <v>2528</v>
      </c>
      <c r="M57" s="21" t="str">
        <f>IF(L57="Shp 500","Sim",IF(ISNA(_xlfn.XLOOKUP(C57,'Shp 500'!D:D,'Shp 500'!D:D)),"Não","Sim"))</f>
        <v>Sim</v>
      </c>
      <c r="N57" s="21" t="str">
        <f>IF(L57="Fastmoss 500","Sim",IF(ISNA(_xlfn.XLOOKUP(_xlfn.XLOOKUP(C57,'Same Seller Hist'!E:E,'Same Seller Hist'!H:H),'Fastmoss 500'!D:D,'Fastmoss 500'!D:D)),"Não","Sim"))</f>
        <v>Sim</v>
      </c>
      <c r="O57" s="21" t="str">
        <f t="shared" si="0"/>
        <v>Sim</v>
      </c>
      <c r="P57" s="21" t="str">
        <f t="shared" si="1"/>
        <v>Não</v>
      </c>
      <c r="Q57" s="21">
        <f t="shared" si="2"/>
        <v>1</v>
      </c>
    </row>
    <row r="58" spans="3:17" x14ac:dyDescent="0.35">
      <c r="C58" s="5">
        <v>371728614</v>
      </c>
      <c r="D58" s="5" t="s">
        <v>1422</v>
      </c>
      <c r="E58" s="5">
        <f>_xlfn.XLOOKUP(C58,'Same Seller Hist'!E:E,'Same Seller Hist'!I:I)</f>
        <v>7.4961675134245601E+18</v>
      </c>
      <c r="F58" s="5" t="str">
        <f>_xlfn.XLOOKUP(C58,'Same Seller Hist'!E:E,'Same Seller Hist'!H:H)</f>
        <v>OSURE</v>
      </c>
      <c r="G58" s="5" t="s">
        <v>1734</v>
      </c>
      <c r="H58" s="19">
        <v>1486.6774193548354</v>
      </c>
      <c r="I58" s="19">
        <v>21942.516724913807</v>
      </c>
      <c r="J58" s="19">
        <f>_xlfn.IFNA(_xlfn.XLOOKUP(F58,'Fastmoss 500'!D:D,'Fastmoss 500'!O:O),0)</f>
        <v>0</v>
      </c>
      <c r="K58" s="19">
        <f>_xlfn.IFNA(_xlfn.XLOOKUP(F58,'Fastmoss 500'!D:D,'Fastmoss 500'!N:N),0)</f>
        <v>0</v>
      </c>
      <c r="L58" s="21" t="s">
        <v>2528</v>
      </c>
      <c r="M58" s="21" t="str">
        <f>IF(L58="Shp 500","Sim",IF(ISNA(_xlfn.XLOOKUP(C58,'Shp 500'!D:D,'Shp 500'!D:D)),"Não","Sim"))</f>
        <v>Sim</v>
      </c>
      <c r="N58" s="21" t="str">
        <f>IF(L58="Fastmoss 500","Sim",IF(ISNA(_xlfn.XLOOKUP(_xlfn.XLOOKUP(C58,'Same Seller Hist'!E:E,'Same Seller Hist'!H:H),'Fastmoss 500'!D:D,'Fastmoss 500'!D:D)),"Não","Sim"))</f>
        <v>Não</v>
      </c>
      <c r="O58" s="21" t="str">
        <f t="shared" si="0"/>
        <v>Não</v>
      </c>
      <c r="P58" s="21" t="str">
        <f t="shared" si="1"/>
        <v>Sim</v>
      </c>
      <c r="Q58" s="21">
        <f t="shared" si="2"/>
        <v>1</v>
      </c>
    </row>
    <row r="59" spans="3:17" x14ac:dyDescent="0.35">
      <c r="C59" s="5">
        <v>305201598</v>
      </c>
      <c r="D59" s="5" t="s">
        <v>1423</v>
      </c>
      <c r="E59" s="5">
        <f>_xlfn.XLOOKUP(C59,'Same Seller Hist'!E:E,'Same Seller Hist'!I:I)</f>
        <v>7.4961809014760704E+18</v>
      </c>
      <c r="F59" s="5" t="str">
        <f>_xlfn.XLOOKUP(C59,'Same Seller Hist'!E:E,'Same Seller Hist'!H:H)</f>
        <v>ONE LIGHT SHOP BR</v>
      </c>
      <c r="G59" s="5" t="s">
        <v>1734</v>
      </c>
      <c r="H59" s="19">
        <v>1486.483870967742</v>
      </c>
      <c r="I59" s="19">
        <v>8039.4133484203221</v>
      </c>
      <c r="J59" s="19">
        <f>_xlfn.IFNA(_xlfn.XLOOKUP(F59,'Fastmoss 500'!D:D,'Fastmoss 500'!O:O),0)</f>
        <v>0</v>
      </c>
      <c r="K59" s="19">
        <f>_xlfn.IFNA(_xlfn.XLOOKUP(F59,'Fastmoss 500'!D:D,'Fastmoss 500'!N:N),0)</f>
        <v>0</v>
      </c>
      <c r="L59" s="21" t="s">
        <v>2528</v>
      </c>
      <c r="M59" s="21" t="str">
        <f>IF(L59="Shp 500","Sim",IF(ISNA(_xlfn.XLOOKUP(C59,'Shp 500'!D:D,'Shp 500'!D:D)),"Não","Sim"))</f>
        <v>Sim</v>
      </c>
      <c r="N59" s="21" t="str">
        <f>IF(L59="Fastmoss 500","Sim",IF(ISNA(_xlfn.XLOOKUP(_xlfn.XLOOKUP(C59,'Same Seller Hist'!E:E,'Same Seller Hist'!H:H),'Fastmoss 500'!D:D,'Fastmoss 500'!D:D)),"Não","Sim"))</f>
        <v>Não</v>
      </c>
      <c r="O59" s="21" t="str">
        <f t="shared" si="0"/>
        <v>Não</v>
      </c>
      <c r="P59" s="21" t="str">
        <f t="shared" si="1"/>
        <v>Sim</v>
      </c>
      <c r="Q59" s="21">
        <f t="shared" si="2"/>
        <v>1</v>
      </c>
    </row>
    <row r="60" spans="3:17" x14ac:dyDescent="0.35">
      <c r="C60" s="5">
        <v>487505431</v>
      </c>
      <c r="D60" s="5" t="s">
        <v>1429</v>
      </c>
      <c r="E60" s="5">
        <f>_xlfn.XLOOKUP(C60,'Same Seller Hist'!E:E,'Same Seller Hist'!I:I)</f>
        <v>7.4961854504681103E+18</v>
      </c>
      <c r="F60" s="5" t="str">
        <f>_xlfn.XLOOKUP(C60,'Same Seller Hist'!E:E,'Same Seller Hist'!H:H)</f>
        <v>FU Moon</v>
      </c>
      <c r="G60" s="5" t="s">
        <v>1734</v>
      </c>
      <c r="H60" s="19">
        <v>1444.4516129032224</v>
      </c>
      <c r="I60" s="19">
        <v>6648.9025738931614</v>
      </c>
      <c r="J60" s="19">
        <f>_xlfn.IFNA(_xlfn.XLOOKUP(F60,'Fastmoss 500'!D:D,'Fastmoss 500'!O:O),0)</f>
        <v>0</v>
      </c>
      <c r="K60" s="19">
        <f>_xlfn.IFNA(_xlfn.XLOOKUP(F60,'Fastmoss 500'!D:D,'Fastmoss 500'!N:N),0)</f>
        <v>0</v>
      </c>
      <c r="L60" s="21" t="s">
        <v>2528</v>
      </c>
      <c r="M60" s="21" t="str">
        <f>IF(L60="Shp 500","Sim",IF(ISNA(_xlfn.XLOOKUP(C60,'Shp 500'!D:D,'Shp 500'!D:D)),"Não","Sim"))</f>
        <v>Sim</v>
      </c>
      <c r="N60" s="21" t="str">
        <f>IF(L60="Fastmoss 500","Sim",IF(ISNA(_xlfn.XLOOKUP(_xlfn.XLOOKUP(C60,'Same Seller Hist'!E:E,'Same Seller Hist'!H:H),'Fastmoss 500'!D:D,'Fastmoss 500'!D:D)),"Não","Sim"))</f>
        <v>Não</v>
      </c>
      <c r="O60" s="21" t="str">
        <f t="shared" si="0"/>
        <v>Não</v>
      </c>
      <c r="P60" s="21" t="str">
        <f t="shared" si="1"/>
        <v>Sim</v>
      </c>
      <c r="Q60" s="21">
        <f t="shared" si="2"/>
        <v>1</v>
      </c>
    </row>
    <row r="61" spans="3:17" x14ac:dyDescent="0.35">
      <c r="C61" s="5">
        <v>294602625</v>
      </c>
      <c r="D61" s="5" t="s">
        <v>1430</v>
      </c>
      <c r="E61" s="5">
        <f>_xlfn.XLOOKUP(C61,'Same Seller Hist'!E:E,'Same Seller Hist'!I:I)</f>
        <v>7.4941680831005604E+18</v>
      </c>
      <c r="F61" s="5" t="str">
        <f>_xlfn.XLOOKUP(C61,'Same Seller Hist'!E:E,'Same Seller Hist'!H:H)</f>
        <v>Colina.shop</v>
      </c>
      <c r="G61" s="5" t="s">
        <v>905</v>
      </c>
      <c r="H61" s="19">
        <v>1437.516129032258</v>
      </c>
      <c r="I61" s="19">
        <v>5645.7252393388071</v>
      </c>
      <c r="J61" s="19">
        <f>_xlfn.IFNA(_xlfn.XLOOKUP(F61,'Fastmoss 500'!D:D,'Fastmoss 500'!O:O),0)</f>
        <v>0</v>
      </c>
      <c r="K61" s="19">
        <f>_xlfn.IFNA(_xlfn.XLOOKUP(F61,'Fastmoss 500'!D:D,'Fastmoss 500'!N:N),0)</f>
        <v>0</v>
      </c>
      <c r="L61" s="21" t="s">
        <v>2528</v>
      </c>
      <c r="M61" s="21" t="str">
        <f>IF(L61="Shp 500","Sim",IF(ISNA(_xlfn.XLOOKUP(C61,'Shp 500'!D:D,'Shp 500'!D:D)),"Não","Sim"))</f>
        <v>Sim</v>
      </c>
      <c r="N61" s="21" t="str">
        <f>IF(L61="Fastmoss 500","Sim",IF(ISNA(_xlfn.XLOOKUP(_xlfn.XLOOKUP(C61,'Same Seller Hist'!E:E,'Same Seller Hist'!H:H),'Fastmoss 500'!D:D,'Fastmoss 500'!D:D)),"Não","Sim"))</f>
        <v>Não</v>
      </c>
      <c r="O61" s="21" t="str">
        <f t="shared" si="0"/>
        <v>Não</v>
      </c>
      <c r="P61" s="21" t="str">
        <f t="shared" si="1"/>
        <v>Sim</v>
      </c>
      <c r="Q61" s="21">
        <f t="shared" si="2"/>
        <v>1</v>
      </c>
    </row>
    <row r="62" spans="3:17" x14ac:dyDescent="0.35">
      <c r="C62" s="5">
        <v>384529520</v>
      </c>
      <c r="D62" s="5" t="s">
        <v>503</v>
      </c>
      <c r="E62" s="5">
        <f>_xlfn.XLOOKUP(C62,'Same Seller Hist'!E:E,'Same Seller Hist'!I:I)</f>
        <v>7.4961818676962601E+18</v>
      </c>
      <c r="F62" s="5" t="str">
        <f>_xlfn.XLOOKUP(C62,'Same Seller Hist'!E:E,'Same Seller Hist'!H:H)</f>
        <v>Ninipink Store</v>
      </c>
      <c r="G62" s="5" t="s">
        <v>1734</v>
      </c>
      <c r="H62" s="19">
        <v>1436.322580645158</v>
      </c>
      <c r="I62" s="19">
        <v>7309.1526937145481</v>
      </c>
      <c r="J62" s="19">
        <f>_xlfn.IFNA(_xlfn.XLOOKUP(F62,'Fastmoss 500'!D:D,'Fastmoss 500'!O:O),0)</f>
        <v>0</v>
      </c>
      <c r="K62" s="19">
        <f>_xlfn.IFNA(_xlfn.XLOOKUP(F62,'Fastmoss 500'!D:D,'Fastmoss 500'!N:N),0)</f>
        <v>0</v>
      </c>
      <c r="L62" s="21" t="s">
        <v>2528</v>
      </c>
      <c r="M62" s="21" t="str">
        <f>IF(L62="Shp 500","Sim",IF(ISNA(_xlfn.XLOOKUP(C62,'Shp 500'!D:D,'Shp 500'!D:D)),"Não","Sim"))</f>
        <v>Sim</v>
      </c>
      <c r="N62" s="21" t="str">
        <f>IF(L62="Fastmoss 500","Sim",IF(ISNA(_xlfn.XLOOKUP(_xlfn.XLOOKUP(C62,'Same Seller Hist'!E:E,'Same Seller Hist'!H:H),'Fastmoss 500'!D:D,'Fastmoss 500'!D:D)),"Não","Sim"))</f>
        <v>Não</v>
      </c>
      <c r="O62" s="21" t="str">
        <f t="shared" si="0"/>
        <v>Não</v>
      </c>
      <c r="P62" s="21" t="str">
        <f t="shared" si="1"/>
        <v>Sim</v>
      </c>
      <c r="Q62" s="21">
        <f t="shared" si="2"/>
        <v>1</v>
      </c>
    </row>
    <row r="63" spans="3:17" x14ac:dyDescent="0.35">
      <c r="C63" s="5">
        <v>1101178064</v>
      </c>
      <c r="D63" s="5" t="s">
        <v>1436</v>
      </c>
      <c r="E63" s="5">
        <f>_xlfn.XLOOKUP(C63,'Same Seller Hist'!E:E,'Same Seller Hist'!I:I)</f>
        <v>7.4961820490297201E+18</v>
      </c>
      <c r="F63" s="5" t="str">
        <f>_xlfn.XLOOKUP(C63,'Same Seller Hist'!E:E,'Same Seller Hist'!H:H)</f>
        <v>JATOBRAZ BRASIL</v>
      </c>
      <c r="G63" s="5" t="s">
        <v>905</v>
      </c>
      <c r="H63" s="19">
        <v>1420.3870967741902</v>
      </c>
      <c r="I63" s="19">
        <v>9179.3450660007748</v>
      </c>
      <c r="J63" s="19">
        <f>_xlfn.IFNA(_xlfn.XLOOKUP(F63,'Fastmoss 500'!D:D,'Fastmoss 500'!O:O),0)</f>
        <v>0</v>
      </c>
      <c r="K63" s="19">
        <f>_xlfn.IFNA(_xlfn.XLOOKUP(F63,'Fastmoss 500'!D:D,'Fastmoss 500'!N:N),0)</f>
        <v>0</v>
      </c>
      <c r="L63" s="21" t="s">
        <v>2528</v>
      </c>
      <c r="M63" s="21" t="str">
        <f>IF(L63="Shp 500","Sim",IF(ISNA(_xlfn.XLOOKUP(C63,'Shp 500'!D:D,'Shp 500'!D:D)),"Não","Sim"))</f>
        <v>Sim</v>
      </c>
      <c r="N63" s="21" t="str">
        <f>IF(L63="Fastmoss 500","Sim",IF(ISNA(_xlfn.XLOOKUP(_xlfn.XLOOKUP(C63,'Same Seller Hist'!E:E,'Same Seller Hist'!H:H),'Fastmoss 500'!D:D,'Fastmoss 500'!D:D)),"Não","Sim"))</f>
        <v>Não</v>
      </c>
      <c r="O63" s="21" t="str">
        <f t="shared" si="0"/>
        <v>Não</v>
      </c>
      <c r="P63" s="21" t="str">
        <f t="shared" si="1"/>
        <v>Sim</v>
      </c>
      <c r="Q63" s="21">
        <f t="shared" si="2"/>
        <v>1</v>
      </c>
    </row>
    <row r="64" spans="3:17" x14ac:dyDescent="0.35">
      <c r="C64" s="5">
        <v>301956567</v>
      </c>
      <c r="D64" s="5" t="s">
        <v>1437</v>
      </c>
      <c r="E64" s="5">
        <f>_xlfn.XLOOKUP(C64,'Same Seller Hist'!E:E,'Same Seller Hist'!I:I)</f>
        <v>7.4961902169755802E+18</v>
      </c>
      <c r="F64" s="5" t="str">
        <f>_xlfn.XLOOKUP(C64,'Same Seller Hist'!E:E,'Same Seller Hist'!H:H)</f>
        <v>KASPRIME</v>
      </c>
      <c r="G64" s="5" t="s">
        <v>1734</v>
      </c>
      <c r="H64" s="19">
        <v>1412.0967741935451</v>
      </c>
      <c r="I64" s="19">
        <v>3936.1361479060001</v>
      </c>
      <c r="J64" s="19">
        <f>_xlfn.IFNA(_xlfn.XLOOKUP(F64,'Fastmoss 500'!D:D,'Fastmoss 500'!O:O),0)</f>
        <v>0</v>
      </c>
      <c r="K64" s="19">
        <f>_xlfn.IFNA(_xlfn.XLOOKUP(F64,'Fastmoss 500'!D:D,'Fastmoss 500'!N:N),0)</f>
        <v>0</v>
      </c>
      <c r="L64" s="21" t="s">
        <v>2528</v>
      </c>
      <c r="M64" s="21" t="str">
        <f>IF(L64="Shp 500","Sim",IF(ISNA(_xlfn.XLOOKUP(C64,'Shp 500'!D:D,'Shp 500'!D:D)),"Não","Sim"))</f>
        <v>Sim</v>
      </c>
      <c r="N64" s="21" t="str">
        <f>IF(L64="Fastmoss 500","Sim",IF(ISNA(_xlfn.XLOOKUP(_xlfn.XLOOKUP(C64,'Same Seller Hist'!E:E,'Same Seller Hist'!H:H),'Fastmoss 500'!D:D,'Fastmoss 500'!D:D)),"Não","Sim"))</f>
        <v>Não</v>
      </c>
      <c r="O64" s="21" t="str">
        <f t="shared" si="0"/>
        <v>Não</v>
      </c>
      <c r="P64" s="21" t="str">
        <f t="shared" si="1"/>
        <v>Sim</v>
      </c>
      <c r="Q64" s="21">
        <f t="shared" si="2"/>
        <v>1</v>
      </c>
    </row>
    <row r="65" spans="3:17" x14ac:dyDescent="0.35">
      <c r="C65" s="5">
        <v>442506479</v>
      </c>
      <c r="D65" s="5" t="s">
        <v>1439</v>
      </c>
      <c r="E65" s="5">
        <f>_xlfn.XLOOKUP(C65,'Same Seller Hist'!E:E,'Same Seller Hist'!I:I)</f>
        <v>7.4961867650095196E+18</v>
      </c>
      <c r="F65" s="5" t="str">
        <f>_xlfn.XLOOKUP(C65,'Same Seller Hist'!E:E,'Same Seller Hist'!H:H)</f>
        <v>Brester Brasil</v>
      </c>
      <c r="G65" s="5" t="s">
        <v>905</v>
      </c>
      <c r="H65" s="19">
        <v>1409.2580645161258</v>
      </c>
      <c r="I65" s="19">
        <v>17888.046600505226</v>
      </c>
      <c r="J65" s="19">
        <f>_xlfn.IFNA(_xlfn.XLOOKUP(F65,'Fastmoss 500'!D:D,'Fastmoss 500'!O:O),0)</f>
        <v>0</v>
      </c>
      <c r="K65" s="19">
        <f>_xlfn.IFNA(_xlfn.XLOOKUP(F65,'Fastmoss 500'!D:D,'Fastmoss 500'!N:N),0)</f>
        <v>0</v>
      </c>
      <c r="L65" s="21" t="s">
        <v>2528</v>
      </c>
      <c r="M65" s="21" t="str">
        <f>IF(L65="Shp 500","Sim",IF(ISNA(_xlfn.XLOOKUP(C65,'Shp 500'!D:D,'Shp 500'!D:D)),"Não","Sim"))</f>
        <v>Sim</v>
      </c>
      <c r="N65" s="21" t="str">
        <f>IF(L65="Fastmoss 500","Sim",IF(ISNA(_xlfn.XLOOKUP(_xlfn.XLOOKUP(C65,'Same Seller Hist'!E:E,'Same Seller Hist'!H:H),'Fastmoss 500'!D:D,'Fastmoss 500'!D:D)),"Não","Sim"))</f>
        <v>Não</v>
      </c>
      <c r="O65" s="21" t="str">
        <f t="shared" si="0"/>
        <v>Não</v>
      </c>
      <c r="P65" s="21" t="str">
        <f t="shared" si="1"/>
        <v>Sim</v>
      </c>
      <c r="Q65" s="21">
        <f t="shared" si="2"/>
        <v>1</v>
      </c>
    </row>
    <row r="66" spans="3:17" x14ac:dyDescent="0.35">
      <c r="C66" s="5">
        <v>394786209</v>
      </c>
      <c r="D66" s="5" t="s">
        <v>524</v>
      </c>
      <c r="E66" s="5">
        <f>_xlfn.XLOOKUP(C66,'Same Seller Hist'!E:E,'Same Seller Hist'!I:I)</f>
        <v>7.49617909530385E+18</v>
      </c>
      <c r="F66" s="5" t="str">
        <f>_xlfn.XLOOKUP(C66,'Same Seller Hist'!E:E,'Same Seller Hist'!H:H)</f>
        <v>big-joia</v>
      </c>
      <c r="G66" s="5" t="s">
        <v>1734</v>
      </c>
      <c r="H66" s="19">
        <v>1387.9354838709678</v>
      </c>
      <c r="I66" s="19">
        <v>4418.7463039849672</v>
      </c>
      <c r="J66" s="19">
        <f>_xlfn.IFNA(_xlfn.XLOOKUP(F66,'Fastmoss 500'!D:D,'Fastmoss 500'!O:O),0)</f>
        <v>0</v>
      </c>
      <c r="K66" s="19">
        <f>_xlfn.IFNA(_xlfn.XLOOKUP(F66,'Fastmoss 500'!D:D,'Fastmoss 500'!N:N),0)</f>
        <v>0</v>
      </c>
      <c r="L66" s="21" t="s">
        <v>2528</v>
      </c>
      <c r="M66" s="21" t="str">
        <f>IF(L66="Shp 500","Sim",IF(ISNA(_xlfn.XLOOKUP(C66,'Shp 500'!D:D,'Shp 500'!D:D)),"Não","Sim"))</f>
        <v>Sim</v>
      </c>
      <c r="N66" s="21" t="str">
        <f>IF(L66="Fastmoss 500","Sim",IF(ISNA(_xlfn.XLOOKUP(_xlfn.XLOOKUP(C66,'Same Seller Hist'!E:E,'Same Seller Hist'!H:H),'Fastmoss 500'!D:D,'Fastmoss 500'!D:D)),"Não","Sim"))</f>
        <v>Não</v>
      </c>
      <c r="O66" s="21" t="str">
        <f t="shared" si="0"/>
        <v>Não</v>
      </c>
      <c r="P66" s="21" t="str">
        <f t="shared" si="1"/>
        <v>Sim</v>
      </c>
      <c r="Q66" s="21">
        <f t="shared" si="2"/>
        <v>1</v>
      </c>
    </row>
    <row r="67" spans="3:17" x14ac:dyDescent="0.35">
      <c r="C67" s="5">
        <v>389806204</v>
      </c>
      <c r="D67" s="5" t="s">
        <v>510</v>
      </c>
      <c r="E67" s="5">
        <f>_xlfn.XLOOKUP(C67,'Same Seller Hist'!E:E,'Same Seller Hist'!I:I)</f>
        <v>7.4942531326721004E+18</v>
      </c>
      <c r="F67" s="5" t="str">
        <f>_xlfn.XLOOKUP(C67,'Same Seller Hist'!E:E,'Same Seller Hist'!H:H)</f>
        <v>Vancron</v>
      </c>
      <c r="G67" s="5" t="s">
        <v>1734</v>
      </c>
      <c r="H67" s="19">
        <v>1380.6774193548354</v>
      </c>
      <c r="I67" s="19">
        <v>13734.0128437</v>
      </c>
      <c r="J67" s="19">
        <f>_xlfn.IFNA(_xlfn.XLOOKUP(F67,'Fastmoss 500'!D:D,'Fastmoss 500'!O:O),0)</f>
        <v>0</v>
      </c>
      <c r="K67" s="19">
        <f>_xlfn.IFNA(_xlfn.XLOOKUP(F67,'Fastmoss 500'!D:D,'Fastmoss 500'!N:N),0)</f>
        <v>0</v>
      </c>
      <c r="L67" s="21" t="s">
        <v>2528</v>
      </c>
      <c r="M67" s="21" t="str">
        <f>IF(L67="Shp 500","Sim",IF(ISNA(_xlfn.XLOOKUP(C67,'Shp 500'!D:D,'Shp 500'!D:D)),"Não","Sim"))</f>
        <v>Sim</v>
      </c>
      <c r="N67" s="21" t="str">
        <f>IF(L67="Fastmoss 500","Sim",IF(ISNA(_xlfn.XLOOKUP(_xlfn.XLOOKUP(C67,'Same Seller Hist'!E:E,'Same Seller Hist'!H:H),'Fastmoss 500'!D:D,'Fastmoss 500'!D:D)),"Não","Sim"))</f>
        <v>Não</v>
      </c>
      <c r="O67" s="21" t="str">
        <f t="shared" si="0"/>
        <v>Não</v>
      </c>
      <c r="P67" s="21" t="str">
        <f t="shared" si="1"/>
        <v>Sim</v>
      </c>
      <c r="Q67" s="21">
        <f t="shared" si="2"/>
        <v>1</v>
      </c>
    </row>
    <row r="68" spans="3:17" x14ac:dyDescent="0.35">
      <c r="C68" s="5">
        <v>1099068336</v>
      </c>
      <c r="D68" s="5" t="s">
        <v>1445</v>
      </c>
      <c r="E68" s="5">
        <f>_xlfn.XLOOKUP(C68,'Same Seller Hist'!E:E,'Same Seller Hist'!I:I)</f>
        <v>7.4961818907543101E+18</v>
      </c>
      <c r="F68" s="5" t="str">
        <f>_xlfn.XLOOKUP(C68,'Same Seller Hist'!E:E,'Same Seller Hist'!H:H)</f>
        <v>Estou Crescendo</v>
      </c>
      <c r="G68" s="5" t="s">
        <v>904</v>
      </c>
      <c r="H68" s="19">
        <v>1371.7096774193515</v>
      </c>
      <c r="I68" s="19">
        <v>7936.3226848881613</v>
      </c>
      <c r="J68" s="19">
        <f>_xlfn.IFNA(_xlfn.XLOOKUP(F68,'Fastmoss 500'!D:D,'Fastmoss 500'!O:O),0)</f>
        <v>0</v>
      </c>
      <c r="K68" s="19">
        <f>_xlfn.IFNA(_xlfn.XLOOKUP(F68,'Fastmoss 500'!D:D,'Fastmoss 500'!N:N),0)</f>
        <v>0</v>
      </c>
      <c r="L68" s="21" t="s">
        <v>2528</v>
      </c>
      <c r="M68" s="21" t="str">
        <f>IF(L68="Shp 500","Sim",IF(ISNA(_xlfn.XLOOKUP(C68,'Shp 500'!D:D,'Shp 500'!D:D)),"Não","Sim"))</f>
        <v>Sim</v>
      </c>
      <c r="N68" s="21" t="str">
        <f>IF(L68="Fastmoss 500","Sim",IF(ISNA(_xlfn.XLOOKUP(_xlfn.XLOOKUP(C68,'Same Seller Hist'!E:E,'Same Seller Hist'!H:H),'Fastmoss 500'!D:D,'Fastmoss 500'!D:D)),"Não","Sim"))</f>
        <v>Não</v>
      </c>
      <c r="O68" s="21" t="str">
        <f t="shared" si="0"/>
        <v>Não</v>
      </c>
      <c r="P68" s="21" t="str">
        <f t="shared" si="1"/>
        <v>Sim</v>
      </c>
      <c r="Q68" s="21">
        <f t="shared" si="2"/>
        <v>1</v>
      </c>
    </row>
    <row r="69" spans="3:17" x14ac:dyDescent="0.35">
      <c r="C69" s="5">
        <v>401609924</v>
      </c>
      <c r="D69" s="5" t="s">
        <v>1618</v>
      </c>
      <c r="E69" s="5">
        <f>_xlfn.XLOOKUP(C69,'Same Seller Hist'!E:E,'Same Seller Hist'!I:I)</f>
        <v>7.4961822006128497E+18</v>
      </c>
      <c r="F69" s="5" t="str">
        <f>_xlfn.XLOOKUP(C69,'Same Seller Hist'!E:E,'Same Seller Hist'!H:H)</f>
        <v>ALICE BEAUTY BR</v>
      </c>
      <c r="G69" s="5" t="s">
        <v>1734</v>
      </c>
      <c r="H69" s="19">
        <v>960.03225806451292</v>
      </c>
      <c r="I69" s="19">
        <v>4019.7777402218712</v>
      </c>
      <c r="J69" s="19">
        <f>_xlfn.IFNA(_xlfn.XLOOKUP(F69,'Fastmoss 500'!D:D,'Fastmoss 500'!O:O),0)</f>
        <v>319.35483870967744</v>
      </c>
      <c r="K69" s="19">
        <f>_xlfn.IFNA(_xlfn.XLOOKUP(F69,'Fastmoss 500'!D:D,'Fastmoss 500'!N:N),0)</f>
        <v>8648.3870967741932</v>
      </c>
      <c r="L69" s="21" t="s">
        <v>2528</v>
      </c>
      <c r="M69" s="21" t="str">
        <f>IF(L69="Shp 500","Sim",IF(ISNA(_xlfn.XLOOKUP(C69,'Shp 500'!D:D,'Shp 500'!D:D)),"Não","Sim"))</f>
        <v>Sim</v>
      </c>
      <c r="N69" s="21" t="str">
        <f>IF(L69="Fastmoss 500","Sim",IF(ISNA(_xlfn.XLOOKUP(_xlfn.XLOOKUP(C69,'Same Seller Hist'!E:E,'Same Seller Hist'!H:H),'Fastmoss 500'!D:D,'Fastmoss 500'!D:D)),"Não","Sim"))</f>
        <v>Sim</v>
      </c>
      <c r="O69" s="21" t="str">
        <f t="shared" si="0"/>
        <v>Sim</v>
      </c>
      <c r="P69" s="21" t="str">
        <f t="shared" si="1"/>
        <v>Não</v>
      </c>
      <c r="Q69" s="21">
        <f t="shared" si="2"/>
        <v>1</v>
      </c>
    </row>
    <row r="70" spans="3:17" x14ac:dyDescent="0.35">
      <c r="C70" s="5">
        <v>1033215079</v>
      </c>
      <c r="D70" s="5" t="s">
        <v>1455</v>
      </c>
      <c r="E70" s="5">
        <f>_xlfn.XLOOKUP(C70,'Same Seller Hist'!E:E,'Same Seller Hist'!I:I)</f>
        <v>7.4961622046494904E+18</v>
      </c>
      <c r="F70" s="5" t="str">
        <f>_xlfn.XLOOKUP(C70,'Same Seller Hist'!E:E,'Same Seller Hist'!H:H)</f>
        <v>HerberT TK</v>
      </c>
      <c r="G70" s="5" t="s">
        <v>1734</v>
      </c>
      <c r="H70" s="19">
        <v>1339.8064516129032</v>
      </c>
      <c r="I70" s="19">
        <v>11320.565129940613</v>
      </c>
      <c r="J70" s="19">
        <f>_xlfn.IFNA(_xlfn.XLOOKUP(F70,'Fastmoss 500'!D:D,'Fastmoss 500'!O:O),0)</f>
        <v>0</v>
      </c>
      <c r="K70" s="19">
        <f>_xlfn.IFNA(_xlfn.XLOOKUP(F70,'Fastmoss 500'!D:D,'Fastmoss 500'!N:N),0)</f>
        <v>0</v>
      </c>
      <c r="L70" s="21" t="s">
        <v>2528</v>
      </c>
      <c r="M70" s="21" t="str">
        <f>IF(L70="Shp 500","Sim",IF(ISNA(_xlfn.XLOOKUP(C70,'Shp 500'!D:D,'Shp 500'!D:D)),"Não","Sim"))</f>
        <v>Sim</v>
      </c>
      <c r="N70" s="21" t="str">
        <f>IF(L70="Fastmoss 500","Sim",IF(ISNA(_xlfn.XLOOKUP(_xlfn.XLOOKUP(C70,'Same Seller Hist'!E:E,'Same Seller Hist'!H:H),'Fastmoss 500'!D:D,'Fastmoss 500'!D:D)),"Não","Sim"))</f>
        <v>Não</v>
      </c>
      <c r="O70" s="21" t="str">
        <f t="shared" si="0"/>
        <v>Não</v>
      </c>
      <c r="P70" s="21" t="str">
        <f t="shared" si="1"/>
        <v>Sim</v>
      </c>
      <c r="Q70" s="21">
        <f t="shared" si="2"/>
        <v>1</v>
      </c>
    </row>
    <row r="71" spans="3:17" x14ac:dyDescent="0.35">
      <c r="C71" s="5">
        <v>359240167</v>
      </c>
      <c r="D71" s="5" t="s">
        <v>1457</v>
      </c>
      <c r="E71" s="5">
        <f>_xlfn.XLOOKUP(C71,'Same Seller Hist'!E:E,'Same Seller Hist'!I:I)</f>
        <v>7.4961820762513398E+18</v>
      </c>
      <c r="F71" s="5" t="str">
        <f>_xlfn.XLOOKUP(C71,'Same Seller Hist'!E:E,'Same Seller Hist'!H:H)</f>
        <v>RIO BAZAR ATACADO</v>
      </c>
      <c r="G71" s="5" t="s">
        <v>1734</v>
      </c>
      <c r="H71" s="19">
        <v>1335.2258064516129</v>
      </c>
      <c r="I71" s="19">
        <v>5283.6509312222252</v>
      </c>
      <c r="J71" s="19">
        <f>_xlfn.IFNA(_xlfn.XLOOKUP(F71,'Fastmoss 500'!D:D,'Fastmoss 500'!O:O),0)</f>
        <v>0</v>
      </c>
      <c r="K71" s="19">
        <f>_xlfn.IFNA(_xlfn.XLOOKUP(F71,'Fastmoss 500'!D:D,'Fastmoss 500'!N:N),0)</f>
        <v>0</v>
      </c>
      <c r="L71" s="21" t="s">
        <v>2528</v>
      </c>
      <c r="M71" s="21" t="str">
        <f>IF(L71="Shp 500","Sim",IF(ISNA(_xlfn.XLOOKUP(C71,'Shp 500'!D:D,'Shp 500'!D:D)),"Não","Sim"))</f>
        <v>Sim</v>
      </c>
      <c r="N71" s="21" t="str">
        <f>IF(L71="Fastmoss 500","Sim",IF(ISNA(_xlfn.XLOOKUP(_xlfn.XLOOKUP(C71,'Same Seller Hist'!E:E,'Same Seller Hist'!H:H),'Fastmoss 500'!D:D,'Fastmoss 500'!D:D)),"Não","Sim"))</f>
        <v>Não</v>
      </c>
      <c r="O71" s="21" t="str">
        <f t="shared" si="0"/>
        <v>Não</v>
      </c>
      <c r="P71" s="21" t="str">
        <f t="shared" si="1"/>
        <v>Sim</v>
      </c>
      <c r="Q71" s="21">
        <f t="shared" si="2"/>
        <v>1</v>
      </c>
    </row>
    <row r="72" spans="3:17" x14ac:dyDescent="0.35">
      <c r="C72" s="5">
        <v>406098813</v>
      </c>
      <c r="D72" s="5" t="s">
        <v>1669</v>
      </c>
      <c r="E72" s="5">
        <f>_xlfn.XLOOKUP(C72,'Same Seller Hist'!E:E,'Same Seller Hist'!I:I)</f>
        <v>7.4962608112056003E+18</v>
      </c>
      <c r="F72" s="5" t="str">
        <f>_xlfn.XLOOKUP(C72,'Same Seller Hist'!E:E,'Same Seller Hist'!H:H)</f>
        <v>Fbo.store</v>
      </c>
      <c r="G72" s="5" t="s">
        <v>1734</v>
      </c>
      <c r="H72" s="19">
        <v>877.67741935483866</v>
      </c>
      <c r="I72" s="19">
        <v>8582.4831771782901</v>
      </c>
      <c r="J72" s="19">
        <f>_xlfn.IFNA(_xlfn.XLOOKUP(F72,'Fastmoss 500'!D:D,'Fastmoss 500'!O:O),0)</f>
        <v>361.29032258064518</v>
      </c>
      <c r="K72" s="19">
        <f>_xlfn.IFNA(_xlfn.XLOOKUP(F72,'Fastmoss 500'!D:D,'Fastmoss 500'!N:N),0)</f>
        <v>12112.903225806451</v>
      </c>
      <c r="L72" s="21" t="s">
        <v>2528</v>
      </c>
      <c r="M72" s="21" t="str">
        <f>IF(L72="Shp 500","Sim",IF(ISNA(_xlfn.XLOOKUP(C72,'Shp 500'!D:D,'Shp 500'!D:D)),"Não","Sim"))</f>
        <v>Sim</v>
      </c>
      <c r="N72" s="21" t="str">
        <f>IF(L72="Fastmoss 500","Sim",IF(ISNA(_xlfn.XLOOKUP(_xlfn.XLOOKUP(C72,'Same Seller Hist'!E:E,'Same Seller Hist'!H:H),'Fastmoss 500'!D:D,'Fastmoss 500'!D:D)),"Não","Sim"))</f>
        <v>Sim</v>
      </c>
      <c r="O72" s="21" t="str">
        <f t="shared" ref="O72:O135" si="3">IF(AND(M72="Sim",N72="Sim"),"Sim","Não")</f>
        <v>Sim</v>
      </c>
      <c r="P72" s="21" t="str">
        <f t="shared" ref="P72:P135" si="4">IF(I72&gt;K72,"Sim","Não")</f>
        <v>Não</v>
      </c>
      <c r="Q72" s="21">
        <f t="shared" ref="Q72:Q135" si="5">COUNTIFS(C:C,C72)</f>
        <v>1</v>
      </c>
    </row>
    <row r="73" spans="3:17" x14ac:dyDescent="0.35">
      <c r="C73" s="5">
        <v>445163047</v>
      </c>
      <c r="D73" s="5" t="s">
        <v>1465</v>
      </c>
      <c r="E73" s="5">
        <f>_xlfn.XLOOKUP(C73,'Same Seller Hist'!E:E,'Same Seller Hist'!I:I)</f>
        <v>7.4941996957521295E+18</v>
      </c>
      <c r="F73" s="5" t="str">
        <f>_xlfn.XLOOKUP(C73,'Same Seller Hist'!E:E,'Same Seller Hist'!H:H)</f>
        <v>Domus Utilidades</v>
      </c>
      <c r="G73" s="5" t="s">
        <v>905</v>
      </c>
      <c r="H73" s="19">
        <v>1289.516129032258</v>
      </c>
      <c r="I73" s="19">
        <v>37754.633073138713</v>
      </c>
      <c r="J73" s="19">
        <f>_xlfn.IFNA(_xlfn.XLOOKUP(F73,'Fastmoss 500'!D:D,'Fastmoss 500'!O:O),0)</f>
        <v>0</v>
      </c>
      <c r="K73" s="19">
        <f>_xlfn.IFNA(_xlfn.XLOOKUP(F73,'Fastmoss 500'!D:D,'Fastmoss 500'!N:N),0)</f>
        <v>0</v>
      </c>
      <c r="L73" s="21" t="s">
        <v>2528</v>
      </c>
      <c r="M73" s="21" t="str">
        <f>IF(L73="Shp 500","Sim",IF(ISNA(_xlfn.XLOOKUP(C73,'Shp 500'!D:D,'Shp 500'!D:D)),"Não","Sim"))</f>
        <v>Sim</v>
      </c>
      <c r="N73" s="21" t="str">
        <f>IF(L73="Fastmoss 500","Sim",IF(ISNA(_xlfn.XLOOKUP(_xlfn.XLOOKUP(C73,'Same Seller Hist'!E:E,'Same Seller Hist'!H:H),'Fastmoss 500'!D:D,'Fastmoss 500'!D:D)),"Não","Sim"))</f>
        <v>Não</v>
      </c>
      <c r="O73" s="21" t="str">
        <f t="shared" si="3"/>
        <v>Não</v>
      </c>
      <c r="P73" s="21" t="str">
        <f t="shared" si="4"/>
        <v>Sim</v>
      </c>
      <c r="Q73" s="21">
        <f t="shared" si="5"/>
        <v>1</v>
      </c>
    </row>
    <row r="74" spans="3:17" x14ac:dyDescent="0.35">
      <c r="C74" s="5">
        <v>1278493331</v>
      </c>
      <c r="D74" s="5" t="s">
        <v>1471</v>
      </c>
      <c r="E74" s="5">
        <f>_xlfn.XLOOKUP(C74,'Same Seller Hist'!E:E,'Same Seller Hist'!I:I)</f>
        <v>7.4941168850322995E+18</v>
      </c>
      <c r="F74" s="5" t="str">
        <f>_xlfn.XLOOKUP(C74,'Same Seller Hist'!E:E,'Same Seller Hist'!H:H)</f>
        <v>Casa Full Utilidades Ltda</v>
      </c>
      <c r="G74" s="5" t="s">
        <v>1734</v>
      </c>
      <c r="H74" s="19">
        <v>1278.1290322580646</v>
      </c>
      <c r="I74" s="19">
        <v>6577.2764696790646</v>
      </c>
      <c r="J74" s="19">
        <f>_xlfn.IFNA(_xlfn.XLOOKUP(F74,'Fastmoss 500'!D:D,'Fastmoss 500'!O:O),0)</f>
        <v>0</v>
      </c>
      <c r="K74" s="19">
        <f>_xlfn.IFNA(_xlfn.XLOOKUP(F74,'Fastmoss 500'!D:D,'Fastmoss 500'!N:N),0)</f>
        <v>0</v>
      </c>
      <c r="L74" s="21" t="s">
        <v>2528</v>
      </c>
      <c r="M74" s="21" t="str">
        <f>IF(L74="Shp 500","Sim",IF(ISNA(_xlfn.XLOOKUP(C74,'Shp 500'!D:D,'Shp 500'!D:D)),"Não","Sim"))</f>
        <v>Sim</v>
      </c>
      <c r="N74" s="21" t="str">
        <f>IF(L74="Fastmoss 500","Sim",IF(ISNA(_xlfn.XLOOKUP(_xlfn.XLOOKUP(C74,'Same Seller Hist'!E:E,'Same Seller Hist'!H:H),'Fastmoss 500'!D:D,'Fastmoss 500'!D:D)),"Não","Sim"))</f>
        <v>Não</v>
      </c>
      <c r="O74" s="21" t="str">
        <f t="shared" si="3"/>
        <v>Não</v>
      </c>
      <c r="P74" s="21" t="str">
        <f t="shared" si="4"/>
        <v>Sim</v>
      </c>
      <c r="Q74" s="21">
        <f t="shared" si="5"/>
        <v>1</v>
      </c>
    </row>
    <row r="75" spans="3:17" x14ac:dyDescent="0.35">
      <c r="C75" s="5">
        <v>570502401</v>
      </c>
      <c r="D75" s="5" t="s">
        <v>1473</v>
      </c>
      <c r="E75" s="5">
        <f>_xlfn.XLOOKUP(C75,'Same Seller Hist'!E:E,'Same Seller Hist'!I:I)</f>
        <v>7.4942185226994596E+18</v>
      </c>
      <c r="F75" s="5" t="str">
        <f>_xlfn.XLOOKUP(C75,'Same Seller Hist'!E:E,'Same Seller Hist'!H:H)</f>
        <v>Bella Veste Moda Shop</v>
      </c>
      <c r="G75" s="5" t="s">
        <v>903</v>
      </c>
      <c r="H75" s="19">
        <v>1266.516129032258</v>
      </c>
      <c r="I75" s="19">
        <v>4357.18500269171</v>
      </c>
      <c r="J75" s="19">
        <f>_xlfn.IFNA(_xlfn.XLOOKUP(F75,'Fastmoss 500'!D:D,'Fastmoss 500'!O:O),0)</f>
        <v>0</v>
      </c>
      <c r="K75" s="19">
        <f>_xlfn.IFNA(_xlfn.XLOOKUP(F75,'Fastmoss 500'!D:D,'Fastmoss 500'!N:N),0)</f>
        <v>0</v>
      </c>
      <c r="L75" s="21" t="s">
        <v>2528</v>
      </c>
      <c r="M75" s="21" t="str">
        <f>IF(L75="Shp 500","Sim",IF(ISNA(_xlfn.XLOOKUP(C75,'Shp 500'!D:D,'Shp 500'!D:D)),"Não","Sim"))</f>
        <v>Sim</v>
      </c>
      <c r="N75" s="21" t="str">
        <f>IF(L75="Fastmoss 500","Sim",IF(ISNA(_xlfn.XLOOKUP(_xlfn.XLOOKUP(C75,'Same Seller Hist'!E:E,'Same Seller Hist'!H:H),'Fastmoss 500'!D:D,'Fastmoss 500'!D:D)),"Não","Sim"))</f>
        <v>Não</v>
      </c>
      <c r="O75" s="21" t="str">
        <f t="shared" si="3"/>
        <v>Não</v>
      </c>
      <c r="P75" s="21" t="str">
        <f t="shared" si="4"/>
        <v>Sim</v>
      </c>
      <c r="Q75" s="21">
        <f t="shared" si="5"/>
        <v>1</v>
      </c>
    </row>
    <row r="76" spans="3:17" x14ac:dyDescent="0.35">
      <c r="C76" s="5">
        <v>436723291</v>
      </c>
      <c r="D76" s="5" t="s">
        <v>1478</v>
      </c>
      <c r="E76" s="5">
        <f>_xlfn.XLOOKUP(C76,'Same Seller Hist'!E:E,'Same Seller Hist'!I:I)</f>
        <v>7.4961819526650604E+18</v>
      </c>
      <c r="F76" s="5" t="str">
        <f>_xlfn.XLOOKUP(C76,'Same Seller Hist'!E:E,'Same Seller Hist'!H:H)</f>
        <v>DUDUSHOP BR</v>
      </c>
      <c r="G76" s="5" t="s">
        <v>906</v>
      </c>
      <c r="H76" s="19">
        <v>1249.516129032258</v>
      </c>
      <c r="I76" s="19">
        <v>7577.0928849943866</v>
      </c>
      <c r="J76" s="19">
        <f>_xlfn.IFNA(_xlfn.XLOOKUP(F76,'Fastmoss 500'!D:D,'Fastmoss 500'!O:O),0)</f>
        <v>0</v>
      </c>
      <c r="K76" s="19">
        <f>_xlfn.IFNA(_xlfn.XLOOKUP(F76,'Fastmoss 500'!D:D,'Fastmoss 500'!N:N),0)</f>
        <v>0</v>
      </c>
      <c r="L76" s="21" t="s">
        <v>2528</v>
      </c>
      <c r="M76" s="21" t="str">
        <f>IF(L76="Shp 500","Sim",IF(ISNA(_xlfn.XLOOKUP(C76,'Shp 500'!D:D,'Shp 500'!D:D)),"Não","Sim"))</f>
        <v>Sim</v>
      </c>
      <c r="N76" s="21" t="str">
        <f>IF(L76="Fastmoss 500","Sim",IF(ISNA(_xlfn.XLOOKUP(_xlfn.XLOOKUP(C76,'Same Seller Hist'!E:E,'Same Seller Hist'!H:H),'Fastmoss 500'!D:D,'Fastmoss 500'!D:D)),"Não","Sim"))</f>
        <v>Não</v>
      </c>
      <c r="O76" s="21" t="str">
        <f t="shared" si="3"/>
        <v>Não</v>
      </c>
      <c r="P76" s="21" t="str">
        <f t="shared" si="4"/>
        <v>Sim</v>
      </c>
      <c r="Q76" s="21">
        <f t="shared" si="5"/>
        <v>1</v>
      </c>
    </row>
    <row r="77" spans="3:17" x14ac:dyDescent="0.35">
      <c r="C77" s="5">
        <v>376022922</v>
      </c>
      <c r="D77" s="5" t="s">
        <v>1481</v>
      </c>
      <c r="E77" s="5">
        <f>_xlfn.XLOOKUP(C77,'Same Seller Hist'!E:E,'Same Seller Hist'!I:I)</f>
        <v>7.4962392185367101E+18</v>
      </c>
      <c r="F77" s="5" t="str">
        <f>_xlfn.XLOOKUP(C77,'Same Seller Hist'!E:E,'Same Seller Hist'!H:H)</f>
        <v>Selfridge.Store.BR</v>
      </c>
      <c r="G77" s="5" t="s">
        <v>1734</v>
      </c>
      <c r="H77" s="19">
        <v>1240.8387096774193</v>
      </c>
      <c r="I77" s="19">
        <v>7320.8880750954841</v>
      </c>
      <c r="J77" s="19">
        <f>_xlfn.IFNA(_xlfn.XLOOKUP(F77,'Fastmoss 500'!D:D,'Fastmoss 500'!O:O),0)</f>
        <v>0</v>
      </c>
      <c r="K77" s="19">
        <f>_xlfn.IFNA(_xlfn.XLOOKUP(F77,'Fastmoss 500'!D:D,'Fastmoss 500'!N:N),0)</f>
        <v>0</v>
      </c>
      <c r="L77" s="21" t="s">
        <v>2528</v>
      </c>
      <c r="M77" s="21" t="str">
        <f>IF(L77="Shp 500","Sim",IF(ISNA(_xlfn.XLOOKUP(C77,'Shp 500'!D:D,'Shp 500'!D:D)),"Não","Sim"))</f>
        <v>Sim</v>
      </c>
      <c r="N77" s="21" t="str">
        <f>IF(L77="Fastmoss 500","Sim",IF(ISNA(_xlfn.XLOOKUP(_xlfn.XLOOKUP(C77,'Same Seller Hist'!E:E,'Same Seller Hist'!H:H),'Fastmoss 500'!D:D,'Fastmoss 500'!D:D)),"Não","Sim"))</f>
        <v>Não</v>
      </c>
      <c r="O77" s="21" t="str">
        <f t="shared" si="3"/>
        <v>Não</v>
      </c>
      <c r="P77" s="21" t="str">
        <f t="shared" si="4"/>
        <v>Sim</v>
      </c>
      <c r="Q77" s="21">
        <f t="shared" si="5"/>
        <v>1</v>
      </c>
    </row>
    <row r="78" spans="3:17" x14ac:dyDescent="0.35">
      <c r="C78" s="5">
        <v>502619181</v>
      </c>
      <c r="D78" s="5" t="s">
        <v>1493</v>
      </c>
      <c r="E78" s="5">
        <f>_xlfn.XLOOKUP(C78,'Same Seller Hist'!E:E,'Same Seller Hist'!I:I)</f>
        <v>7.4961831981512397E+18</v>
      </c>
      <c r="F78" s="5" t="str">
        <f>_xlfn.XLOOKUP(C78,'Same Seller Hist'!E:E,'Same Seller Hist'!H:H)</f>
        <v>NIVEA Brasil</v>
      </c>
      <c r="G78" s="5" t="s">
        <v>906</v>
      </c>
      <c r="H78" s="19">
        <v>1200.4516129032259</v>
      </c>
      <c r="I78" s="19">
        <v>7160.8560336411283</v>
      </c>
      <c r="J78" s="19">
        <f>_xlfn.IFNA(_xlfn.XLOOKUP(F78,'Fastmoss 500'!D:D,'Fastmoss 500'!O:O),0)</f>
        <v>0</v>
      </c>
      <c r="K78" s="19">
        <f>_xlfn.IFNA(_xlfn.XLOOKUP(F78,'Fastmoss 500'!D:D,'Fastmoss 500'!N:N),0)</f>
        <v>0</v>
      </c>
      <c r="L78" s="21" t="s">
        <v>2528</v>
      </c>
      <c r="M78" s="21" t="str">
        <f>IF(L78="Shp 500","Sim",IF(ISNA(_xlfn.XLOOKUP(C78,'Shp 500'!D:D,'Shp 500'!D:D)),"Não","Sim"))</f>
        <v>Sim</v>
      </c>
      <c r="N78" s="21" t="str">
        <f>IF(L78="Fastmoss 500","Sim",IF(ISNA(_xlfn.XLOOKUP(_xlfn.XLOOKUP(C78,'Same Seller Hist'!E:E,'Same Seller Hist'!H:H),'Fastmoss 500'!D:D,'Fastmoss 500'!D:D)),"Não","Sim"))</f>
        <v>Não</v>
      </c>
      <c r="O78" s="21" t="str">
        <f t="shared" si="3"/>
        <v>Não</v>
      </c>
      <c r="P78" s="21" t="str">
        <f t="shared" si="4"/>
        <v>Sim</v>
      </c>
      <c r="Q78" s="21">
        <f t="shared" si="5"/>
        <v>1</v>
      </c>
    </row>
    <row r="79" spans="3:17" x14ac:dyDescent="0.35">
      <c r="C79" s="5">
        <v>298953477</v>
      </c>
      <c r="D79" s="5" t="s">
        <v>1499</v>
      </c>
      <c r="E79" s="5">
        <f>_xlfn.XLOOKUP(C79,'Same Seller Hist'!E:E,'Same Seller Hist'!I:I)</f>
        <v>7.4961872797722501E+18</v>
      </c>
      <c r="F79" s="5" t="str">
        <f>_xlfn.XLOOKUP(C79,'Same Seller Hist'!E:E,'Same Seller Hist'!H:H)</f>
        <v>PALU ECOM</v>
      </c>
      <c r="G79" s="5" t="s">
        <v>906</v>
      </c>
      <c r="H79" s="19">
        <v>1182.2258064516095</v>
      </c>
      <c r="I79" s="19">
        <v>7398.5789810304514</v>
      </c>
      <c r="J79" s="19">
        <f>_xlfn.IFNA(_xlfn.XLOOKUP(F79,'Fastmoss 500'!D:D,'Fastmoss 500'!O:O),0)</f>
        <v>0</v>
      </c>
      <c r="K79" s="19">
        <f>_xlfn.IFNA(_xlfn.XLOOKUP(F79,'Fastmoss 500'!D:D,'Fastmoss 500'!N:N),0)</f>
        <v>0</v>
      </c>
      <c r="L79" s="21" t="s">
        <v>2528</v>
      </c>
      <c r="M79" s="21" t="str">
        <f>IF(L79="Shp 500","Sim",IF(ISNA(_xlfn.XLOOKUP(C79,'Shp 500'!D:D,'Shp 500'!D:D)),"Não","Sim"))</f>
        <v>Sim</v>
      </c>
      <c r="N79" s="21" t="str">
        <f>IF(L79="Fastmoss 500","Sim",IF(ISNA(_xlfn.XLOOKUP(_xlfn.XLOOKUP(C79,'Same Seller Hist'!E:E,'Same Seller Hist'!H:H),'Fastmoss 500'!D:D,'Fastmoss 500'!D:D)),"Não","Sim"))</f>
        <v>Não</v>
      </c>
      <c r="O79" s="21" t="str">
        <f t="shared" si="3"/>
        <v>Não</v>
      </c>
      <c r="P79" s="21" t="str">
        <f t="shared" si="4"/>
        <v>Sim</v>
      </c>
      <c r="Q79" s="21">
        <f t="shared" si="5"/>
        <v>1</v>
      </c>
    </row>
    <row r="80" spans="3:17" x14ac:dyDescent="0.35">
      <c r="C80" s="5">
        <v>1165620003</v>
      </c>
      <c r="D80" s="5" t="s">
        <v>1500</v>
      </c>
      <c r="E80" s="5">
        <f>_xlfn.XLOOKUP(C80,'Same Seller Hist'!E:E,'Same Seller Hist'!I:I)</f>
        <v>0</v>
      </c>
      <c r="F80" s="5">
        <f>_xlfn.XLOOKUP(C80,'Same Seller Hist'!E:E,'Same Seller Hist'!H:H)</f>
        <v>0</v>
      </c>
      <c r="G80" s="5" t="s">
        <v>904</v>
      </c>
      <c r="H80" s="19">
        <v>1178.4516129032224</v>
      </c>
      <c r="I80" s="19">
        <v>6066.472176553968</v>
      </c>
      <c r="J80" s="19">
        <f>_xlfn.IFNA(_xlfn.XLOOKUP(F80,'Fastmoss 500'!D:D,'Fastmoss 500'!O:O),0)</f>
        <v>0</v>
      </c>
      <c r="K80" s="19">
        <f>_xlfn.IFNA(_xlfn.XLOOKUP(F80,'Fastmoss 500'!D:D,'Fastmoss 500'!N:N),0)</f>
        <v>0</v>
      </c>
      <c r="L80" s="21" t="s">
        <v>2528</v>
      </c>
      <c r="M80" s="21" t="str">
        <f>IF(L80="Shp 500","Sim",IF(ISNA(_xlfn.XLOOKUP(C80,'Shp 500'!D:D,'Shp 500'!D:D)),"Não","Sim"))</f>
        <v>Sim</v>
      </c>
      <c r="N80" s="21" t="str">
        <f>IF(L80="Fastmoss 500","Sim",IF(ISNA(_xlfn.XLOOKUP(_xlfn.XLOOKUP(C80,'Same Seller Hist'!E:E,'Same Seller Hist'!H:H),'Fastmoss 500'!D:D,'Fastmoss 500'!D:D)),"Não","Sim"))</f>
        <v>Sim</v>
      </c>
      <c r="O80" s="21" t="str">
        <f t="shared" si="3"/>
        <v>Sim</v>
      </c>
      <c r="P80" s="21" t="str">
        <f t="shared" si="4"/>
        <v>Sim</v>
      </c>
      <c r="Q80" s="21">
        <f t="shared" si="5"/>
        <v>1</v>
      </c>
    </row>
    <row r="81" spans="3:17" x14ac:dyDescent="0.35">
      <c r="C81" s="5">
        <v>352674932</v>
      </c>
      <c r="D81" s="5" t="s">
        <v>460</v>
      </c>
      <c r="E81" s="5">
        <f>_xlfn.XLOOKUP(C81,'Same Seller Hist'!E:E,'Same Seller Hist'!I:I)</f>
        <v>7.49616343596083E+18</v>
      </c>
      <c r="F81" s="5" t="str">
        <f>_xlfn.XLOOKUP(C81,'Same Seller Hist'!E:E,'Same Seller Hist'!H:H)</f>
        <v>LEVE HOME</v>
      </c>
      <c r="G81" s="5" t="s">
        <v>1734</v>
      </c>
      <c r="H81" s="19">
        <v>1174.6451612903227</v>
      </c>
      <c r="I81" s="19">
        <v>6858.6247898428064</v>
      </c>
      <c r="J81" s="19">
        <f>_xlfn.IFNA(_xlfn.XLOOKUP(F81,'Fastmoss 500'!D:D,'Fastmoss 500'!O:O),0)</f>
        <v>0</v>
      </c>
      <c r="K81" s="19">
        <f>_xlfn.IFNA(_xlfn.XLOOKUP(F81,'Fastmoss 500'!D:D,'Fastmoss 500'!N:N),0)</f>
        <v>0</v>
      </c>
      <c r="L81" s="21" t="s">
        <v>2528</v>
      </c>
      <c r="M81" s="21" t="str">
        <f>IF(L81="Shp 500","Sim",IF(ISNA(_xlfn.XLOOKUP(C81,'Shp 500'!D:D,'Shp 500'!D:D)),"Não","Sim"))</f>
        <v>Sim</v>
      </c>
      <c r="N81" s="21" t="str">
        <f>IF(L81="Fastmoss 500","Sim",IF(ISNA(_xlfn.XLOOKUP(_xlfn.XLOOKUP(C81,'Same Seller Hist'!E:E,'Same Seller Hist'!H:H),'Fastmoss 500'!D:D,'Fastmoss 500'!D:D)),"Não","Sim"))</f>
        <v>Não</v>
      </c>
      <c r="O81" s="21" t="str">
        <f t="shared" si="3"/>
        <v>Não</v>
      </c>
      <c r="P81" s="21" t="str">
        <f t="shared" si="4"/>
        <v>Sim</v>
      </c>
      <c r="Q81" s="21">
        <f t="shared" si="5"/>
        <v>1</v>
      </c>
    </row>
    <row r="82" spans="3:17" x14ac:dyDescent="0.35">
      <c r="C82" s="5">
        <v>1541927562</v>
      </c>
      <c r="D82" s="5" t="s">
        <v>1505</v>
      </c>
      <c r="E82" s="5">
        <f>_xlfn.XLOOKUP(C82,'Same Seller Hist'!E:E,'Same Seller Hist'!I:I)</f>
        <v>7.4963107548595098E+18</v>
      </c>
      <c r="F82" s="5" t="str">
        <f>_xlfn.XLOOKUP(C82,'Same Seller Hist'!E:E,'Same Seller Hist'!H:H)</f>
        <v>NeoShop Brasil</v>
      </c>
      <c r="G82" s="5" t="s">
        <v>905</v>
      </c>
      <c r="H82" s="19">
        <v>1172.3225806451612</v>
      </c>
      <c r="I82" s="19">
        <v>5011.8846230191939</v>
      </c>
      <c r="J82" s="19">
        <f>_xlfn.IFNA(_xlfn.XLOOKUP(F82,'Fastmoss 500'!D:D,'Fastmoss 500'!O:O),0)</f>
        <v>0</v>
      </c>
      <c r="K82" s="19">
        <f>_xlfn.IFNA(_xlfn.XLOOKUP(F82,'Fastmoss 500'!D:D,'Fastmoss 500'!N:N),0)</f>
        <v>0</v>
      </c>
      <c r="L82" s="21" t="s">
        <v>2528</v>
      </c>
      <c r="M82" s="21" t="str">
        <f>IF(L82="Shp 500","Sim",IF(ISNA(_xlfn.XLOOKUP(C82,'Shp 500'!D:D,'Shp 500'!D:D)),"Não","Sim"))</f>
        <v>Sim</v>
      </c>
      <c r="N82" s="21" t="str">
        <f>IF(L82="Fastmoss 500","Sim",IF(ISNA(_xlfn.XLOOKUP(_xlfn.XLOOKUP(C82,'Same Seller Hist'!E:E,'Same Seller Hist'!H:H),'Fastmoss 500'!D:D,'Fastmoss 500'!D:D)),"Não","Sim"))</f>
        <v>Não</v>
      </c>
      <c r="O82" s="21" t="str">
        <f t="shared" si="3"/>
        <v>Não</v>
      </c>
      <c r="P82" s="21" t="str">
        <f t="shared" si="4"/>
        <v>Sim</v>
      </c>
      <c r="Q82" s="21">
        <f t="shared" si="5"/>
        <v>1</v>
      </c>
    </row>
    <row r="83" spans="3:17" x14ac:dyDescent="0.35">
      <c r="C83" s="5">
        <v>1307017279</v>
      </c>
      <c r="D83" s="5" t="s">
        <v>1509</v>
      </c>
      <c r="E83" s="5">
        <f>_xlfn.XLOOKUP(C83,'Same Seller Hist'!E:E,'Same Seller Hist'!I:I)</f>
        <v>7.4941890929233398E+18</v>
      </c>
      <c r="F83" s="5" t="str">
        <f>_xlfn.XLOOKUP(C83,'Same Seller Hist'!E:E,'Same Seller Hist'!H:H)</f>
        <v>Zem Acessórios</v>
      </c>
      <c r="G83" s="5" t="s">
        <v>1734</v>
      </c>
      <c r="H83" s="19">
        <v>1161.7741935483839</v>
      </c>
      <c r="I83" s="19">
        <v>6344.4856661400972</v>
      </c>
      <c r="J83" s="19">
        <f>_xlfn.IFNA(_xlfn.XLOOKUP(F83,'Fastmoss 500'!D:D,'Fastmoss 500'!O:O),0)</f>
        <v>0</v>
      </c>
      <c r="K83" s="19">
        <f>_xlfn.IFNA(_xlfn.XLOOKUP(F83,'Fastmoss 500'!D:D,'Fastmoss 500'!N:N),0)</f>
        <v>0</v>
      </c>
      <c r="L83" s="21" t="s">
        <v>2528</v>
      </c>
      <c r="M83" s="21" t="str">
        <f>IF(L83="Shp 500","Sim",IF(ISNA(_xlfn.XLOOKUP(C83,'Shp 500'!D:D,'Shp 500'!D:D)),"Não","Sim"))</f>
        <v>Sim</v>
      </c>
      <c r="N83" s="21" t="str">
        <f>IF(L83="Fastmoss 500","Sim",IF(ISNA(_xlfn.XLOOKUP(_xlfn.XLOOKUP(C83,'Same Seller Hist'!E:E,'Same Seller Hist'!H:H),'Fastmoss 500'!D:D,'Fastmoss 500'!D:D)),"Não","Sim"))</f>
        <v>Não</v>
      </c>
      <c r="O83" s="21" t="str">
        <f t="shared" si="3"/>
        <v>Não</v>
      </c>
      <c r="P83" s="21" t="str">
        <f t="shared" si="4"/>
        <v>Sim</v>
      </c>
      <c r="Q83" s="21">
        <f t="shared" si="5"/>
        <v>1</v>
      </c>
    </row>
    <row r="84" spans="3:17" x14ac:dyDescent="0.35">
      <c r="C84" s="5">
        <v>847598018</v>
      </c>
      <c r="D84" s="5" t="s">
        <v>1514</v>
      </c>
      <c r="E84" s="5">
        <f>_xlfn.XLOOKUP(C84,'Same Seller Hist'!E:E,'Same Seller Hist'!I:I)</f>
        <v>7.4962270927903396E+18</v>
      </c>
      <c r="F84" s="5" t="str">
        <f>_xlfn.XLOOKUP(C84,'Same Seller Hist'!E:E,'Same Seller Hist'!H:H)</f>
        <v>NGKSTORE BR</v>
      </c>
      <c r="G84" s="5" t="s">
        <v>905</v>
      </c>
      <c r="H84" s="19">
        <v>1155.3548387096773</v>
      </c>
      <c r="I84" s="19">
        <v>10260.081055630193</v>
      </c>
      <c r="J84" s="19">
        <f>_xlfn.IFNA(_xlfn.XLOOKUP(F84,'Fastmoss 500'!D:D,'Fastmoss 500'!O:O),0)</f>
        <v>0</v>
      </c>
      <c r="K84" s="19">
        <f>_xlfn.IFNA(_xlfn.XLOOKUP(F84,'Fastmoss 500'!D:D,'Fastmoss 500'!N:N),0)</f>
        <v>0</v>
      </c>
      <c r="L84" s="21" t="s">
        <v>2528</v>
      </c>
      <c r="M84" s="21" t="str">
        <f>IF(L84="Shp 500","Sim",IF(ISNA(_xlfn.XLOOKUP(C84,'Shp 500'!D:D,'Shp 500'!D:D)),"Não","Sim"))</f>
        <v>Sim</v>
      </c>
      <c r="N84" s="21" t="str">
        <f>IF(L84="Fastmoss 500","Sim",IF(ISNA(_xlfn.XLOOKUP(_xlfn.XLOOKUP(C84,'Same Seller Hist'!E:E,'Same Seller Hist'!H:H),'Fastmoss 500'!D:D,'Fastmoss 500'!D:D)),"Não","Sim"))</f>
        <v>Não</v>
      </c>
      <c r="O84" s="21" t="str">
        <f t="shared" si="3"/>
        <v>Não</v>
      </c>
      <c r="P84" s="21" t="str">
        <f t="shared" si="4"/>
        <v>Sim</v>
      </c>
      <c r="Q84" s="21">
        <f t="shared" si="5"/>
        <v>1</v>
      </c>
    </row>
    <row r="85" spans="3:17" x14ac:dyDescent="0.35">
      <c r="C85" s="5">
        <v>323760756</v>
      </c>
      <c r="D85" s="5" t="s">
        <v>1516</v>
      </c>
      <c r="E85" s="5">
        <f>_xlfn.XLOOKUP(C85,'Same Seller Hist'!E:E,'Same Seller Hist'!I:I)</f>
        <v>7.4961612707008E+18</v>
      </c>
      <c r="F85" s="5" t="str">
        <f>_xlfn.XLOOKUP(C85,'Same Seller Hist'!E:E,'Same Seller Hist'!H:H)</f>
        <v>lumiss_br</v>
      </c>
      <c r="G85" s="5" t="s">
        <v>903</v>
      </c>
      <c r="H85" s="19">
        <v>1152.8709677419354</v>
      </c>
      <c r="I85" s="19">
        <v>14427.359179190742</v>
      </c>
      <c r="J85" s="19">
        <f>_xlfn.IFNA(_xlfn.XLOOKUP(F85,'Fastmoss 500'!D:D,'Fastmoss 500'!O:O),0)</f>
        <v>0</v>
      </c>
      <c r="K85" s="19">
        <f>_xlfn.IFNA(_xlfn.XLOOKUP(F85,'Fastmoss 500'!D:D,'Fastmoss 500'!N:N),0)</f>
        <v>0</v>
      </c>
      <c r="L85" s="21" t="s">
        <v>2528</v>
      </c>
      <c r="M85" s="21" t="str">
        <f>IF(L85="Shp 500","Sim",IF(ISNA(_xlfn.XLOOKUP(C85,'Shp 500'!D:D,'Shp 500'!D:D)),"Não","Sim"))</f>
        <v>Sim</v>
      </c>
      <c r="N85" s="21" t="str">
        <f>IF(L85="Fastmoss 500","Sim",IF(ISNA(_xlfn.XLOOKUP(_xlfn.XLOOKUP(C85,'Same Seller Hist'!E:E,'Same Seller Hist'!H:H),'Fastmoss 500'!D:D,'Fastmoss 500'!D:D)),"Não","Sim"))</f>
        <v>Não</v>
      </c>
      <c r="O85" s="21" t="str">
        <f t="shared" si="3"/>
        <v>Não</v>
      </c>
      <c r="P85" s="21" t="str">
        <f t="shared" si="4"/>
        <v>Sim</v>
      </c>
      <c r="Q85" s="21">
        <f t="shared" si="5"/>
        <v>1</v>
      </c>
    </row>
    <row r="86" spans="3:17" x14ac:dyDescent="0.35">
      <c r="C86" s="5">
        <v>463228698</v>
      </c>
      <c r="D86" s="5" t="s">
        <v>586</v>
      </c>
      <c r="E86" s="5">
        <f>_xlfn.XLOOKUP(C86,'Same Seller Hist'!E:E,'Same Seller Hist'!I:I)</f>
        <v>7.4961817642965699E+18</v>
      </c>
      <c r="F86" s="5" t="str">
        <f>_xlfn.XLOOKUP(C86,'Same Seller Hist'!E:E,'Same Seller Hist'!H:H)</f>
        <v>HW Presentes</v>
      </c>
      <c r="G86" s="5" t="s">
        <v>1734</v>
      </c>
      <c r="H86" s="19">
        <v>1143.8709677419354</v>
      </c>
      <c r="I86" s="19">
        <v>4018.9564593441291</v>
      </c>
      <c r="J86" s="19">
        <f>_xlfn.IFNA(_xlfn.XLOOKUP(F86,'Fastmoss 500'!D:D,'Fastmoss 500'!O:O),0)</f>
        <v>0</v>
      </c>
      <c r="K86" s="19">
        <f>_xlfn.IFNA(_xlfn.XLOOKUP(F86,'Fastmoss 500'!D:D,'Fastmoss 500'!N:N),0)</f>
        <v>0</v>
      </c>
      <c r="L86" s="21" t="s">
        <v>2528</v>
      </c>
      <c r="M86" s="21" t="str">
        <f>IF(L86="Shp 500","Sim",IF(ISNA(_xlfn.XLOOKUP(C86,'Shp 500'!D:D,'Shp 500'!D:D)),"Não","Sim"))</f>
        <v>Sim</v>
      </c>
      <c r="N86" s="21" t="str">
        <f>IF(L86="Fastmoss 500","Sim",IF(ISNA(_xlfn.XLOOKUP(_xlfn.XLOOKUP(C86,'Same Seller Hist'!E:E,'Same Seller Hist'!H:H),'Fastmoss 500'!D:D,'Fastmoss 500'!D:D)),"Não","Sim"))</f>
        <v>Não</v>
      </c>
      <c r="O86" s="21" t="str">
        <f t="shared" si="3"/>
        <v>Não</v>
      </c>
      <c r="P86" s="21" t="str">
        <f t="shared" si="4"/>
        <v>Sim</v>
      </c>
      <c r="Q86" s="21">
        <f t="shared" si="5"/>
        <v>1</v>
      </c>
    </row>
    <row r="87" spans="3:17" x14ac:dyDescent="0.35">
      <c r="C87" s="5">
        <v>483838536</v>
      </c>
      <c r="D87" s="5" t="s">
        <v>1524</v>
      </c>
      <c r="E87" s="5">
        <f>_xlfn.XLOOKUP(C87,'Same Seller Hist'!E:E,'Same Seller Hist'!I:I)</f>
        <v>7.4962127754267505E+18</v>
      </c>
      <c r="F87" s="5" t="str">
        <f>_xlfn.XLOOKUP(C87,'Same Seller Hist'!E:E,'Same Seller Hist'!H:H)</f>
        <v>DaffineModas</v>
      </c>
      <c r="G87" s="5" t="s">
        <v>903</v>
      </c>
      <c r="H87" s="19">
        <v>1143.4838709677385</v>
      </c>
      <c r="I87" s="19">
        <v>5690.9660609336452</v>
      </c>
      <c r="J87" s="19">
        <f>_xlfn.IFNA(_xlfn.XLOOKUP(F87,'Fastmoss 500'!D:D,'Fastmoss 500'!O:O),0)</f>
        <v>0</v>
      </c>
      <c r="K87" s="19">
        <f>_xlfn.IFNA(_xlfn.XLOOKUP(F87,'Fastmoss 500'!D:D,'Fastmoss 500'!N:N),0)</f>
        <v>0</v>
      </c>
      <c r="L87" s="21" t="s">
        <v>2528</v>
      </c>
      <c r="M87" s="21" t="str">
        <f>IF(L87="Shp 500","Sim",IF(ISNA(_xlfn.XLOOKUP(C87,'Shp 500'!D:D,'Shp 500'!D:D)),"Não","Sim"))</f>
        <v>Sim</v>
      </c>
      <c r="N87" s="21" t="str">
        <f>IF(L87="Fastmoss 500","Sim",IF(ISNA(_xlfn.XLOOKUP(_xlfn.XLOOKUP(C87,'Same Seller Hist'!E:E,'Same Seller Hist'!H:H),'Fastmoss 500'!D:D,'Fastmoss 500'!D:D)),"Não","Sim"))</f>
        <v>Não</v>
      </c>
      <c r="O87" s="21" t="str">
        <f t="shared" si="3"/>
        <v>Não</v>
      </c>
      <c r="P87" s="21" t="str">
        <f t="shared" si="4"/>
        <v>Sim</v>
      </c>
      <c r="Q87" s="21">
        <f t="shared" si="5"/>
        <v>1</v>
      </c>
    </row>
    <row r="88" spans="3:17" x14ac:dyDescent="0.35">
      <c r="C88" s="5">
        <v>727124919</v>
      </c>
      <c r="D88" s="5" t="s">
        <v>1527</v>
      </c>
      <c r="E88" s="5">
        <f>_xlfn.XLOOKUP(C88,'Same Seller Hist'!E:E,'Same Seller Hist'!I:I)</f>
        <v>7.4961871820405105E+18</v>
      </c>
      <c r="F88" s="5" t="str">
        <f>_xlfn.XLOOKUP(C88,'Same Seller Hist'!E:E,'Same Seller Hist'!H:H)</f>
        <v>Leo Store BR</v>
      </c>
      <c r="G88" s="5" t="s">
        <v>1734</v>
      </c>
      <c r="H88" s="19">
        <v>1140.9677419354839</v>
      </c>
      <c r="I88" s="19">
        <v>5265.9883010669682</v>
      </c>
      <c r="J88" s="19">
        <f>_xlfn.IFNA(_xlfn.XLOOKUP(F88,'Fastmoss 500'!D:D,'Fastmoss 500'!O:O),0)</f>
        <v>0</v>
      </c>
      <c r="K88" s="19">
        <f>_xlfn.IFNA(_xlfn.XLOOKUP(F88,'Fastmoss 500'!D:D,'Fastmoss 500'!N:N),0)</f>
        <v>0</v>
      </c>
      <c r="L88" s="21" t="s">
        <v>2528</v>
      </c>
      <c r="M88" s="21" t="str">
        <f>IF(L88="Shp 500","Sim",IF(ISNA(_xlfn.XLOOKUP(C88,'Shp 500'!D:D,'Shp 500'!D:D)),"Não","Sim"))</f>
        <v>Sim</v>
      </c>
      <c r="N88" s="21" t="str">
        <f>IF(L88="Fastmoss 500","Sim",IF(ISNA(_xlfn.XLOOKUP(_xlfn.XLOOKUP(C88,'Same Seller Hist'!E:E,'Same Seller Hist'!H:H),'Fastmoss 500'!D:D,'Fastmoss 500'!D:D)),"Não","Sim"))</f>
        <v>Não</v>
      </c>
      <c r="O88" s="21" t="str">
        <f t="shared" si="3"/>
        <v>Não</v>
      </c>
      <c r="P88" s="21" t="str">
        <f t="shared" si="4"/>
        <v>Sim</v>
      </c>
      <c r="Q88" s="21">
        <f t="shared" si="5"/>
        <v>1</v>
      </c>
    </row>
    <row r="89" spans="3:17" x14ac:dyDescent="0.35">
      <c r="C89" s="5">
        <v>1023760886</v>
      </c>
      <c r="D89" s="5" t="s">
        <v>1528</v>
      </c>
      <c r="E89" s="5">
        <f>_xlfn.XLOOKUP(C89,'Same Seller Hist'!E:E,'Same Seller Hist'!I:I)</f>
        <v>7.4961864186406195E+18</v>
      </c>
      <c r="F89" s="5" t="str">
        <f>_xlfn.XLOOKUP(C89,'Same Seller Hist'!E:E,'Same Seller Hist'!H:H)</f>
        <v>Petpremier</v>
      </c>
      <c r="G89" s="5" t="s">
        <v>906</v>
      </c>
      <c r="H89" s="19">
        <v>1136.8064516129032</v>
      </c>
      <c r="I89" s="19">
        <v>18020.795680250838</v>
      </c>
      <c r="J89" s="19">
        <f>_xlfn.IFNA(_xlfn.XLOOKUP(F89,'Fastmoss 500'!D:D,'Fastmoss 500'!O:O),0)</f>
        <v>0</v>
      </c>
      <c r="K89" s="19">
        <f>_xlfn.IFNA(_xlfn.XLOOKUP(F89,'Fastmoss 500'!D:D,'Fastmoss 500'!N:N),0)</f>
        <v>0</v>
      </c>
      <c r="L89" s="21" t="s">
        <v>2528</v>
      </c>
      <c r="M89" s="21" t="str">
        <f>IF(L89="Shp 500","Sim",IF(ISNA(_xlfn.XLOOKUP(C89,'Shp 500'!D:D,'Shp 500'!D:D)),"Não","Sim"))</f>
        <v>Sim</v>
      </c>
      <c r="N89" s="21" t="str">
        <f>IF(L89="Fastmoss 500","Sim",IF(ISNA(_xlfn.XLOOKUP(_xlfn.XLOOKUP(C89,'Same Seller Hist'!E:E,'Same Seller Hist'!H:H),'Fastmoss 500'!D:D,'Fastmoss 500'!D:D)),"Não","Sim"))</f>
        <v>Não</v>
      </c>
      <c r="O89" s="21" t="str">
        <f t="shared" si="3"/>
        <v>Não</v>
      </c>
      <c r="P89" s="21" t="str">
        <f t="shared" si="4"/>
        <v>Sim</v>
      </c>
      <c r="Q89" s="21">
        <f t="shared" si="5"/>
        <v>1</v>
      </c>
    </row>
    <row r="90" spans="3:17" x14ac:dyDescent="0.35">
      <c r="C90" s="5">
        <v>409164022</v>
      </c>
      <c r="D90" s="5" t="s">
        <v>1339</v>
      </c>
      <c r="E90" s="5">
        <f>_xlfn.XLOOKUP(C90,'Same Seller Hist'!E:E,'Same Seller Hist'!I:I)</f>
        <v>7.4961531651682796E+18</v>
      </c>
      <c r="F90" s="5" t="str">
        <f>_xlfn.XLOOKUP(C90,'Same Seller Hist'!E:E,'Same Seller Hist'!H:H)</f>
        <v>Neverdie Store.br</v>
      </c>
      <c r="G90" s="5" t="s">
        <v>1734</v>
      </c>
      <c r="H90" s="19">
        <v>2243.4516129032227</v>
      </c>
      <c r="I90" s="19">
        <v>11390.064254643128</v>
      </c>
      <c r="J90" s="19">
        <f>_xlfn.IFNA(_xlfn.XLOOKUP(F90,'Fastmoss 500'!D:D,'Fastmoss 500'!O:O),0)</f>
        <v>1741.9354838709678</v>
      </c>
      <c r="K90" s="19">
        <f>_xlfn.IFNA(_xlfn.XLOOKUP(F90,'Fastmoss 500'!D:D,'Fastmoss 500'!N:N),0)</f>
        <v>32258.064516129034</v>
      </c>
      <c r="L90" s="21" t="s">
        <v>2528</v>
      </c>
      <c r="M90" s="21" t="str">
        <f>IF(L90="Shp 500","Sim",IF(ISNA(_xlfn.XLOOKUP(C90,'Shp 500'!D:D,'Shp 500'!D:D)),"Não","Sim"))</f>
        <v>Sim</v>
      </c>
      <c r="N90" s="21" t="str">
        <f>IF(L90="Fastmoss 500","Sim",IF(ISNA(_xlfn.XLOOKUP(_xlfn.XLOOKUP(C90,'Same Seller Hist'!E:E,'Same Seller Hist'!H:H),'Fastmoss 500'!D:D,'Fastmoss 500'!D:D)),"Não","Sim"))</f>
        <v>Sim</v>
      </c>
      <c r="O90" s="21" t="str">
        <f t="shared" si="3"/>
        <v>Sim</v>
      </c>
      <c r="P90" s="21" t="str">
        <f t="shared" si="4"/>
        <v>Não</v>
      </c>
      <c r="Q90" s="21">
        <f t="shared" si="5"/>
        <v>1</v>
      </c>
    </row>
    <row r="91" spans="3:17" x14ac:dyDescent="0.35">
      <c r="C91" s="5">
        <v>413762733</v>
      </c>
      <c r="D91" s="5" t="s">
        <v>1562</v>
      </c>
      <c r="E91" s="5">
        <f>_xlfn.XLOOKUP(C91,'Same Seller Hist'!E:E,'Same Seller Hist'!I:I)</f>
        <v>7.4961623590013102E+18</v>
      </c>
      <c r="F91" s="5" t="str">
        <f>_xlfn.XLOOKUP(C91,'Same Seller Hist'!E:E,'Same Seller Hist'!H:H)</f>
        <v>ALAN FONTE</v>
      </c>
      <c r="G91" s="5" t="s">
        <v>1734</v>
      </c>
      <c r="H91" s="19">
        <v>1043.1612903225775</v>
      </c>
      <c r="I91" s="19">
        <v>12148.091746551934</v>
      </c>
      <c r="J91" s="19">
        <f>_xlfn.IFNA(_xlfn.XLOOKUP(F91,'Fastmoss 500'!D:D,'Fastmoss 500'!O:O),0)</f>
        <v>280.64516129032256</v>
      </c>
      <c r="K91" s="19">
        <f>_xlfn.IFNA(_xlfn.XLOOKUP(F91,'Fastmoss 500'!D:D,'Fastmoss 500'!N:N),0)</f>
        <v>14412.903225806451</v>
      </c>
      <c r="L91" s="21" t="s">
        <v>2528</v>
      </c>
      <c r="M91" s="21" t="str">
        <f>IF(L91="Shp 500","Sim",IF(ISNA(_xlfn.XLOOKUP(C91,'Shp 500'!D:D,'Shp 500'!D:D)),"Não","Sim"))</f>
        <v>Sim</v>
      </c>
      <c r="N91" s="21" t="str">
        <f>IF(L91="Fastmoss 500","Sim",IF(ISNA(_xlfn.XLOOKUP(_xlfn.XLOOKUP(C91,'Same Seller Hist'!E:E,'Same Seller Hist'!H:H),'Fastmoss 500'!D:D,'Fastmoss 500'!D:D)),"Não","Sim"))</f>
        <v>Sim</v>
      </c>
      <c r="O91" s="21" t="str">
        <f t="shared" si="3"/>
        <v>Sim</v>
      </c>
      <c r="P91" s="21" t="str">
        <f t="shared" si="4"/>
        <v>Não</v>
      </c>
      <c r="Q91" s="21">
        <f t="shared" si="5"/>
        <v>1</v>
      </c>
    </row>
    <row r="92" spans="3:17" x14ac:dyDescent="0.35">
      <c r="C92" s="5">
        <v>875039015</v>
      </c>
      <c r="D92" s="5" t="s">
        <v>740</v>
      </c>
      <c r="E92" s="5">
        <f>_xlfn.XLOOKUP(C92,'Same Seller Hist'!E:E,'Same Seller Hist'!I:I)</f>
        <v>7.4962079188174397E+18</v>
      </c>
      <c r="F92" s="5" t="str">
        <f>_xlfn.XLOOKUP(C92,'Same Seller Hist'!E:E,'Same Seller Hist'!H:H)</f>
        <v>MovicPets</v>
      </c>
      <c r="G92" s="5" t="s">
        <v>905</v>
      </c>
      <c r="H92" s="19">
        <v>1077.6774193548354</v>
      </c>
      <c r="I92" s="19">
        <v>10387.294337103549</v>
      </c>
      <c r="J92" s="19">
        <f>_xlfn.IFNA(_xlfn.XLOOKUP(F92,'Fastmoss 500'!D:D,'Fastmoss 500'!O:O),0)</f>
        <v>0</v>
      </c>
      <c r="K92" s="19">
        <f>_xlfn.IFNA(_xlfn.XLOOKUP(F92,'Fastmoss 500'!D:D,'Fastmoss 500'!N:N),0)</f>
        <v>0</v>
      </c>
      <c r="L92" s="21" t="s">
        <v>2528</v>
      </c>
      <c r="M92" s="21" t="str">
        <f>IF(L92="Shp 500","Sim",IF(ISNA(_xlfn.XLOOKUP(C92,'Shp 500'!D:D,'Shp 500'!D:D)),"Não","Sim"))</f>
        <v>Sim</v>
      </c>
      <c r="N92" s="21" t="str">
        <f>IF(L92="Fastmoss 500","Sim",IF(ISNA(_xlfn.XLOOKUP(_xlfn.XLOOKUP(C92,'Same Seller Hist'!E:E,'Same Seller Hist'!H:H),'Fastmoss 500'!D:D,'Fastmoss 500'!D:D)),"Não","Sim"))</f>
        <v>Não</v>
      </c>
      <c r="O92" s="21" t="str">
        <f t="shared" si="3"/>
        <v>Não</v>
      </c>
      <c r="P92" s="21" t="str">
        <f t="shared" si="4"/>
        <v>Sim</v>
      </c>
      <c r="Q92" s="21">
        <f t="shared" si="5"/>
        <v>1</v>
      </c>
    </row>
    <row r="93" spans="3:17" x14ac:dyDescent="0.35">
      <c r="C93" s="5">
        <v>338558924</v>
      </c>
      <c r="D93" s="5" t="s">
        <v>1554</v>
      </c>
      <c r="E93" s="5">
        <f>_xlfn.XLOOKUP(C93,'Same Seller Hist'!E:E,'Same Seller Hist'!I:I)</f>
        <v>7.4962223508266998E+18</v>
      </c>
      <c r="F93" s="5" t="str">
        <f>_xlfn.XLOOKUP(C93,'Same Seller Hist'!E:E,'Same Seller Hist'!H:H)</f>
        <v>SUAS COMPRAS SHOP</v>
      </c>
      <c r="G93" s="5" t="s">
        <v>905</v>
      </c>
      <c r="H93" s="19">
        <v>1060.4516129032259</v>
      </c>
      <c r="I93" s="19">
        <v>6598.9676599932582</v>
      </c>
      <c r="J93" s="19">
        <f>_xlfn.IFNA(_xlfn.XLOOKUP(F93,'Fastmoss 500'!D:D,'Fastmoss 500'!O:O),0)</f>
        <v>0</v>
      </c>
      <c r="K93" s="19">
        <f>_xlfn.IFNA(_xlfn.XLOOKUP(F93,'Fastmoss 500'!D:D,'Fastmoss 500'!N:N),0)</f>
        <v>0</v>
      </c>
      <c r="L93" s="21" t="s">
        <v>2528</v>
      </c>
      <c r="M93" s="21" t="str">
        <f>IF(L93="Shp 500","Sim",IF(ISNA(_xlfn.XLOOKUP(C93,'Shp 500'!D:D,'Shp 500'!D:D)),"Não","Sim"))</f>
        <v>Sim</v>
      </c>
      <c r="N93" s="21" t="str">
        <f>IF(L93="Fastmoss 500","Sim",IF(ISNA(_xlfn.XLOOKUP(_xlfn.XLOOKUP(C93,'Same Seller Hist'!E:E,'Same Seller Hist'!H:H),'Fastmoss 500'!D:D,'Fastmoss 500'!D:D)),"Não","Sim"))</f>
        <v>Não</v>
      </c>
      <c r="O93" s="21" t="str">
        <f t="shared" si="3"/>
        <v>Não</v>
      </c>
      <c r="P93" s="21" t="str">
        <f t="shared" si="4"/>
        <v>Sim</v>
      </c>
      <c r="Q93" s="21">
        <f t="shared" si="5"/>
        <v>1</v>
      </c>
    </row>
    <row r="94" spans="3:17" x14ac:dyDescent="0.35">
      <c r="C94" s="5">
        <v>403640709</v>
      </c>
      <c r="D94" s="5" t="s">
        <v>1558</v>
      </c>
      <c r="E94" s="5">
        <f>_xlfn.XLOOKUP(C94,'Same Seller Hist'!E:E,'Same Seller Hist'!I:I)</f>
        <v>7.49618198292945E+18</v>
      </c>
      <c r="F94" s="5" t="str">
        <f>_xlfn.XLOOKUP(C94,'Same Seller Hist'!E:E,'Same Seller Hist'!H:H)</f>
        <v>B.w.w</v>
      </c>
      <c r="G94" s="5" t="s">
        <v>905</v>
      </c>
      <c r="H94" s="19">
        <v>1056.1935483870936</v>
      </c>
      <c r="I94" s="19">
        <v>5769.9448312066452</v>
      </c>
      <c r="J94" s="19">
        <f>_xlfn.IFNA(_xlfn.XLOOKUP(F94,'Fastmoss 500'!D:D,'Fastmoss 500'!O:O),0)</f>
        <v>0</v>
      </c>
      <c r="K94" s="19">
        <f>_xlfn.IFNA(_xlfn.XLOOKUP(F94,'Fastmoss 500'!D:D,'Fastmoss 500'!N:N),0)</f>
        <v>0</v>
      </c>
      <c r="L94" s="21" t="s">
        <v>2528</v>
      </c>
      <c r="M94" s="21" t="str">
        <f>IF(L94="Shp 500","Sim",IF(ISNA(_xlfn.XLOOKUP(C94,'Shp 500'!D:D,'Shp 500'!D:D)),"Não","Sim"))</f>
        <v>Sim</v>
      </c>
      <c r="N94" s="21" t="str">
        <f>IF(L94="Fastmoss 500","Sim",IF(ISNA(_xlfn.XLOOKUP(_xlfn.XLOOKUP(C94,'Same Seller Hist'!E:E,'Same Seller Hist'!H:H),'Fastmoss 500'!D:D,'Fastmoss 500'!D:D)),"Não","Sim"))</f>
        <v>Não</v>
      </c>
      <c r="O94" s="21" t="str">
        <f t="shared" si="3"/>
        <v>Não</v>
      </c>
      <c r="P94" s="21" t="str">
        <f t="shared" si="4"/>
        <v>Sim</v>
      </c>
      <c r="Q94" s="21">
        <f t="shared" si="5"/>
        <v>1</v>
      </c>
    </row>
    <row r="95" spans="3:17" x14ac:dyDescent="0.35">
      <c r="C95" s="5">
        <v>342086228</v>
      </c>
      <c r="D95" s="5" t="s">
        <v>451</v>
      </c>
      <c r="E95" s="5">
        <f>_xlfn.XLOOKUP(C95,'Same Seller Hist'!E:E,'Same Seller Hist'!I:I)</f>
        <v>7.4961686312600504E+18</v>
      </c>
      <c r="F95" s="5" t="str">
        <f>_xlfn.XLOOKUP(C95,'Same Seller Hist'!E:E,'Same Seller Hist'!H:H)</f>
        <v>BUMPER MAGAZINE</v>
      </c>
      <c r="G95" s="5" t="s">
        <v>904</v>
      </c>
      <c r="H95" s="19">
        <v>1054.9677419354807</v>
      </c>
      <c r="I95" s="19">
        <v>30696.130171000907</v>
      </c>
      <c r="J95" s="19">
        <f>_xlfn.IFNA(_xlfn.XLOOKUP(F95,'Fastmoss 500'!D:D,'Fastmoss 500'!O:O),0)</f>
        <v>0</v>
      </c>
      <c r="K95" s="19">
        <f>_xlfn.IFNA(_xlfn.XLOOKUP(F95,'Fastmoss 500'!D:D,'Fastmoss 500'!N:N),0)</f>
        <v>0</v>
      </c>
      <c r="L95" s="21" t="s">
        <v>2528</v>
      </c>
      <c r="M95" s="21" t="str">
        <f>IF(L95="Shp 500","Sim",IF(ISNA(_xlfn.XLOOKUP(C95,'Shp 500'!D:D,'Shp 500'!D:D)),"Não","Sim"))</f>
        <v>Sim</v>
      </c>
      <c r="N95" s="21" t="str">
        <f>IF(L95="Fastmoss 500","Sim",IF(ISNA(_xlfn.XLOOKUP(_xlfn.XLOOKUP(C95,'Same Seller Hist'!E:E,'Same Seller Hist'!H:H),'Fastmoss 500'!D:D,'Fastmoss 500'!D:D)),"Não","Sim"))</f>
        <v>Não</v>
      </c>
      <c r="O95" s="21" t="str">
        <f t="shared" si="3"/>
        <v>Não</v>
      </c>
      <c r="P95" s="21" t="str">
        <f t="shared" si="4"/>
        <v>Sim</v>
      </c>
      <c r="Q95" s="21">
        <f t="shared" si="5"/>
        <v>1</v>
      </c>
    </row>
    <row r="96" spans="3:17" x14ac:dyDescent="0.35">
      <c r="C96" s="5">
        <v>415175805</v>
      </c>
      <c r="D96" s="5" t="s">
        <v>1348</v>
      </c>
      <c r="E96" s="5">
        <f>_xlfn.XLOOKUP(C96,'Same Seller Hist'!E:E,'Same Seller Hist'!I:I)</f>
        <v>7.4961617045187103E+18</v>
      </c>
      <c r="F96" s="5" t="str">
        <f>_xlfn.XLOOKUP(C96,'Same Seller Hist'!E:E,'Same Seller Hist'!H:H)</f>
        <v>Isabela top</v>
      </c>
      <c r="G96" s="5" t="s">
        <v>1734</v>
      </c>
      <c r="H96" s="19">
        <v>2126.3225806451615</v>
      </c>
      <c r="I96" s="19">
        <v>12304.551508389968</v>
      </c>
      <c r="J96" s="19">
        <f>_xlfn.IFNA(_xlfn.XLOOKUP(F96,'Fastmoss 500'!D:D,'Fastmoss 500'!O:O),0)</f>
        <v>1116.1290322580646</v>
      </c>
      <c r="K96" s="19">
        <f>_xlfn.IFNA(_xlfn.XLOOKUP(F96,'Fastmoss 500'!D:D,'Fastmoss 500'!N:N),0)</f>
        <v>30035.483870967742</v>
      </c>
      <c r="L96" s="21" t="s">
        <v>2528</v>
      </c>
      <c r="M96" s="21" t="str">
        <f>IF(L96="Shp 500","Sim",IF(ISNA(_xlfn.XLOOKUP(C96,'Shp 500'!D:D,'Shp 500'!D:D)),"Não","Sim"))</f>
        <v>Sim</v>
      </c>
      <c r="N96" s="21" t="str">
        <f>IF(L96="Fastmoss 500","Sim",IF(ISNA(_xlfn.XLOOKUP(_xlfn.XLOOKUP(C96,'Same Seller Hist'!E:E,'Same Seller Hist'!H:H),'Fastmoss 500'!D:D,'Fastmoss 500'!D:D)),"Não","Sim"))</f>
        <v>Sim</v>
      </c>
      <c r="O96" s="21" t="str">
        <f t="shared" si="3"/>
        <v>Sim</v>
      </c>
      <c r="P96" s="21" t="str">
        <f t="shared" si="4"/>
        <v>Não</v>
      </c>
      <c r="Q96" s="21">
        <f t="shared" si="5"/>
        <v>1</v>
      </c>
    </row>
    <row r="97" spans="3:17" x14ac:dyDescent="0.35">
      <c r="C97" s="5">
        <v>790605924</v>
      </c>
      <c r="D97" s="5" t="s">
        <v>1566</v>
      </c>
      <c r="E97" s="5">
        <f>_xlfn.XLOOKUP(C97,'Same Seller Hist'!E:E,'Same Seller Hist'!I:I)</f>
        <v>7.4963009151073997E+18</v>
      </c>
      <c r="F97" s="5" t="str">
        <f>_xlfn.XLOOKUP(C97,'Same Seller Hist'!E:E,'Same Seller Hist'!H:H)</f>
        <v>Adora Reborn</v>
      </c>
      <c r="G97" s="5" t="s">
        <v>905</v>
      </c>
      <c r="H97" s="19">
        <v>1041.0967741935451</v>
      </c>
      <c r="I97" s="19">
        <v>18478.950392067192</v>
      </c>
      <c r="J97" s="19">
        <f>_xlfn.IFNA(_xlfn.XLOOKUP(F97,'Fastmoss 500'!D:D,'Fastmoss 500'!O:O),0)</f>
        <v>0</v>
      </c>
      <c r="K97" s="19">
        <f>_xlfn.IFNA(_xlfn.XLOOKUP(F97,'Fastmoss 500'!D:D,'Fastmoss 500'!N:N),0)</f>
        <v>0</v>
      </c>
      <c r="L97" s="21" t="s">
        <v>2528</v>
      </c>
      <c r="M97" s="21" t="str">
        <f>IF(L97="Shp 500","Sim",IF(ISNA(_xlfn.XLOOKUP(C97,'Shp 500'!D:D,'Shp 500'!D:D)),"Não","Sim"))</f>
        <v>Sim</v>
      </c>
      <c r="N97" s="21" t="str">
        <f>IF(L97="Fastmoss 500","Sim",IF(ISNA(_xlfn.XLOOKUP(_xlfn.XLOOKUP(C97,'Same Seller Hist'!E:E,'Same Seller Hist'!H:H),'Fastmoss 500'!D:D,'Fastmoss 500'!D:D)),"Não","Sim"))</f>
        <v>Não</v>
      </c>
      <c r="O97" s="21" t="str">
        <f t="shared" si="3"/>
        <v>Não</v>
      </c>
      <c r="P97" s="21" t="str">
        <f t="shared" si="4"/>
        <v>Sim</v>
      </c>
      <c r="Q97" s="21">
        <f t="shared" si="5"/>
        <v>1</v>
      </c>
    </row>
    <row r="98" spans="3:17" x14ac:dyDescent="0.35">
      <c r="C98" s="5">
        <v>378982950</v>
      </c>
      <c r="D98" s="5" t="s">
        <v>495</v>
      </c>
      <c r="E98" s="5">
        <f>_xlfn.XLOOKUP(C98,'Same Seller Hist'!E:E,'Same Seller Hist'!I:I)</f>
        <v>7.4962139404399698E+18</v>
      </c>
      <c r="F98" s="5" t="str">
        <f>_xlfn.XLOOKUP(C98,'Same Seller Hist'!E:E,'Same Seller Hist'!H:H)</f>
        <v>Brasil Casa</v>
      </c>
      <c r="G98" s="5" t="s">
        <v>905</v>
      </c>
      <c r="H98" s="19">
        <v>1040.0967741935451</v>
      </c>
      <c r="I98" s="19">
        <v>2251.2986944728482</v>
      </c>
      <c r="J98" s="19">
        <f>_xlfn.IFNA(_xlfn.XLOOKUP(F98,'Fastmoss 500'!D:D,'Fastmoss 500'!O:O),0)</f>
        <v>0</v>
      </c>
      <c r="K98" s="19">
        <f>_xlfn.IFNA(_xlfn.XLOOKUP(F98,'Fastmoss 500'!D:D,'Fastmoss 500'!N:N),0)</f>
        <v>0</v>
      </c>
      <c r="L98" s="21" t="s">
        <v>2528</v>
      </c>
      <c r="M98" s="21" t="str">
        <f>IF(L98="Shp 500","Sim",IF(ISNA(_xlfn.XLOOKUP(C98,'Shp 500'!D:D,'Shp 500'!D:D)),"Não","Sim"))</f>
        <v>Sim</v>
      </c>
      <c r="N98" s="21" t="str">
        <f>IF(L98="Fastmoss 500","Sim",IF(ISNA(_xlfn.XLOOKUP(_xlfn.XLOOKUP(C98,'Same Seller Hist'!E:E,'Same Seller Hist'!H:H),'Fastmoss 500'!D:D,'Fastmoss 500'!D:D)),"Não","Sim"))</f>
        <v>Não</v>
      </c>
      <c r="O98" s="21" t="str">
        <f t="shared" si="3"/>
        <v>Não</v>
      </c>
      <c r="P98" s="21" t="str">
        <f t="shared" si="4"/>
        <v>Sim</v>
      </c>
      <c r="Q98" s="21">
        <f t="shared" si="5"/>
        <v>1</v>
      </c>
    </row>
    <row r="99" spans="3:17" x14ac:dyDescent="0.35">
      <c r="C99" s="5">
        <v>1262603742</v>
      </c>
      <c r="D99" s="5" t="s">
        <v>1569</v>
      </c>
      <c r="E99" s="5">
        <f>_xlfn.XLOOKUP(C99,'Same Seller Hist'!E:E,'Same Seller Hist'!I:I)</f>
        <v>7.4962024628752497E+18</v>
      </c>
      <c r="F99" s="5" t="str">
        <f>_xlfn.XLOOKUP(C99,'Same Seller Hist'!E:E,'Same Seller Hist'!H:H)</f>
        <v>Cosméticos São Paulo</v>
      </c>
      <c r="G99" s="5" t="s">
        <v>906</v>
      </c>
      <c r="H99" s="19">
        <v>1035.258064516129</v>
      </c>
      <c r="I99" s="19">
        <v>7727.9425591420322</v>
      </c>
      <c r="J99" s="19">
        <f>_xlfn.IFNA(_xlfn.XLOOKUP(F99,'Fastmoss 500'!D:D,'Fastmoss 500'!O:O),0)</f>
        <v>0</v>
      </c>
      <c r="K99" s="19">
        <f>_xlfn.IFNA(_xlfn.XLOOKUP(F99,'Fastmoss 500'!D:D,'Fastmoss 500'!N:N),0)</f>
        <v>0</v>
      </c>
      <c r="L99" s="21" t="s">
        <v>2528</v>
      </c>
      <c r="M99" s="21" t="str">
        <f>IF(L99="Shp 500","Sim",IF(ISNA(_xlfn.XLOOKUP(C99,'Shp 500'!D:D,'Shp 500'!D:D)),"Não","Sim"))</f>
        <v>Sim</v>
      </c>
      <c r="N99" s="21" t="str">
        <f>IF(L99="Fastmoss 500","Sim",IF(ISNA(_xlfn.XLOOKUP(_xlfn.XLOOKUP(C99,'Same Seller Hist'!E:E,'Same Seller Hist'!H:H),'Fastmoss 500'!D:D,'Fastmoss 500'!D:D)),"Não","Sim"))</f>
        <v>Não</v>
      </c>
      <c r="O99" s="21" t="str">
        <f t="shared" si="3"/>
        <v>Não</v>
      </c>
      <c r="P99" s="21" t="str">
        <f t="shared" si="4"/>
        <v>Sim</v>
      </c>
      <c r="Q99" s="21">
        <f t="shared" si="5"/>
        <v>1</v>
      </c>
    </row>
    <row r="100" spans="3:17" x14ac:dyDescent="0.35">
      <c r="C100" s="5">
        <v>284901819</v>
      </c>
      <c r="D100" s="5" t="s">
        <v>1571</v>
      </c>
      <c r="E100" s="5">
        <f>_xlfn.XLOOKUP(C100,'Same Seller Hist'!E:E,'Same Seller Hist'!I:I)</f>
        <v>7.49620383353553E+18</v>
      </c>
      <c r="F100" s="5" t="str">
        <f>_xlfn.XLOOKUP(C100,'Same Seller Hist'!E:E,'Same Seller Hist'!H:H)</f>
        <v>ZemshopBR</v>
      </c>
      <c r="G100" s="5" t="s">
        <v>1734</v>
      </c>
      <c r="H100" s="19">
        <v>1030.6129032258034</v>
      </c>
      <c r="I100" s="19">
        <v>5586.8543845695485</v>
      </c>
      <c r="J100" s="19">
        <f>_xlfn.IFNA(_xlfn.XLOOKUP(F100,'Fastmoss 500'!D:D,'Fastmoss 500'!O:O),0)</f>
        <v>0</v>
      </c>
      <c r="K100" s="19">
        <f>_xlfn.IFNA(_xlfn.XLOOKUP(F100,'Fastmoss 500'!D:D,'Fastmoss 500'!N:N),0)</f>
        <v>0</v>
      </c>
      <c r="L100" s="21" t="s">
        <v>2528</v>
      </c>
      <c r="M100" s="21" t="str">
        <f>IF(L100="Shp 500","Sim",IF(ISNA(_xlfn.XLOOKUP(C100,'Shp 500'!D:D,'Shp 500'!D:D)),"Não","Sim"))</f>
        <v>Sim</v>
      </c>
      <c r="N100" s="21" t="str">
        <f>IF(L100="Fastmoss 500","Sim",IF(ISNA(_xlfn.XLOOKUP(_xlfn.XLOOKUP(C100,'Same Seller Hist'!E:E,'Same Seller Hist'!H:H),'Fastmoss 500'!D:D,'Fastmoss 500'!D:D)),"Não","Sim"))</f>
        <v>Não</v>
      </c>
      <c r="O100" s="21" t="str">
        <f t="shared" si="3"/>
        <v>Não</v>
      </c>
      <c r="P100" s="21" t="str">
        <f t="shared" si="4"/>
        <v>Sim</v>
      </c>
      <c r="Q100" s="21">
        <f t="shared" si="5"/>
        <v>1</v>
      </c>
    </row>
    <row r="101" spans="3:17" x14ac:dyDescent="0.35">
      <c r="C101" s="5">
        <v>379994163</v>
      </c>
      <c r="D101" s="5" t="s">
        <v>497</v>
      </c>
      <c r="E101" s="5">
        <f>_xlfn.XLOOKUP(C101,'Same Seller Hist'!E:E,'Same Seller Hist'!I:I)</f>
        <v>7.4961622817423698E+18</v>
      </c>
      <c r="F101" s="5" t="str">
        <f>_xlfn.XLOOKUP(C101,'Same Seller Hist'!E:E,'Same Seller Hist'!H:H)</f>
        <v>Supreo</v>
      </c>
      <c r="G101" s="5" t="s">
        <v>1734</v>
      </c>
      <c r="H101" s="19">
        <v>1025.1290322580614</v>
      </c>
      <c r="I101" s="19">
        <v>7773.840839249774</v>
      </c>
      <c r="J101" s="19">
        <f>_xlfn.IFNA(_xlfn.XLOOKUP(F101,'Fastmoss 500'!D:D,'Fastmoss 500'!O:O),0)</f>
        <v>0</v>
      </c>
      <c r="K101" s="19">
        <f>_xlfn.IFNA(_xlfn.XLOOKUP(F101,'Fastmoss 500'!D:D,'Fastmoss 500'!N:N),0)</f>
        <v>0</v>
      </c>
      <c r="L101" s="21" t="s">
        <v>2528</v>
      </c>
      <c r="M101" s="21" t="str">
        <f>IF(L101="Shp 500","Sim",IF(ISNA(_xlfn.XLOOKUP(C101,'Shp 500'!D:D,'Shp 500'!D:D)),"Não","Sim"))</f>
        <v>Sim</v>
      </c>
      <c r="N101" s="21" t="str">
        <f>IF(L101="Fastmoss 500","Sim",IF(ISNA(_xlfn.XLOOKUP(_xlfn.XLOOKUP(C101,'Same Seller Hist'!E:E,'Same Seller Hist'!H:H),'Fastmoss 500'!D:D,'Fastmoss 500'!D:D)),"Não","Sim"))</f>
        <v>Não</v>
      </c>
      <c r="O101" s="21" t="str">
        <f t="shared" si="3"/>
        <v>Não</v>
      </c>
      <c r="P101" s="21" t="str">
        <f t="shared" si="4"/>
        <v>Sim</v>
      </c>
      <c r="Q101" s="21">
        <f t="shared" si="5"/>
        <v>1</v>
      </c>
    </row>
    <row r="102" spans="3:17" x14ac:dyDescent="0.35">
      <c r="C102" s="5">
        <v>845996343</v>
      </c>
      <c r="D102" s="5" t="s">
        <v>1577</v>
      </c>
      <c r="E102" s="5">
        <f>_xlfn.XLOOKUP(C102,'Same Seller Hist'!E:E,'Same Seller Hist'!I:I)</f>
        <v>7.4962177346133996E+18</v>
      </c>
      <c r="F102" s="5" t="str">
        <f>_xlfn.XLOOKUP(C102,'Same Seller Hist'!E:E,'Same Seller Hist'!H:H)</f>
        <v>UNI ECOMMERCE</v>
      </c>
      <c r="G102" s="5" t="s">
        <v>1734</v>
      </c>
      <c r="H102" s="19">
        <v>1021.1612903225806</v>
      </c>
      <c r="I102" s="19">
        <v>7722.0030794325812</v>
      </c>
      <c r="J102" s="19">
        <f>_xlfn.IFNA(_xlfn.XLOOKUP(F102,'Fastmoss 500'!D:D,'Fastmoss 500'!O:O),0)</f>
        <v>0</v>
      </c>
      <c r="K102" s="19">
        <f>_xlfn.IFNA(_xlfn.XLOOKUP(F102,'Fastmoss 500'!D:D,'Fastmoss 500'!N:N),0)</f>
        <v>0</v>
      </c>
      <c r="L102" s="21" t="s">
        <v>2528</v>
      </c>
      <c r="M102" s="21" t="str">
        <f>IF(L102="Shp 500","Sim",IF(ISNA(_xlfn.XLOOKUP(C102,'Shp 500'!D:D,'Shp 500'!D:D)),"Não","Sim"))</f>
        <v>Sim</v>
      </c>
      <c r="N102" s="21" t="str">
        <f>IF(L102="Fastmoss 500","Sim",IF(ISNA(_xlfn.XLOOKUP(_xlfn.XLOOKUP(C102,'Same Seller Hist'!E:E,'Same Seller Hist'!H:H),'Fastmoss 500'!D:D,'Fastmoss 500'!D:D)),"Não","Sim"))</f>
        <v>Não</v>
      </c>
      <c r="O102" s="21" t="str">
        <f t="shared" si="3"/>
        <v>Não</v>
      </c>
      <c r="P102" s="21" t="str">
        <f t="shared" si="4"/>
        <v>Sim</v>
      </c>
      <c r="Q102" s="21">
        <f t="shared" si="5"/>
        <v>1</v>
      </c>
    </row>
    <row r="103" spans="3:17" x14ac:dyDescent="0.35">
      <c r="C103" s="5">
        <v>468703210</v>
      </c>
      <c r="D103" s="5" t="s">
        <v>591</v>
      </c>
      <c r="E103" s="5">
        <f>_xlfn.XLOOKUP(C103,'Same Seller Hist'!E:E,'Same Seller Hist'!I:I)</f>
        <v>7.4961825098024499E+18</v>
      </c>
      <c r="F103" s="5" t="str">
        <f>_xlfn.XLOOKUP(C103,'Same Seller Hist'!E:E,'Same Seller Hist'!H:H)</f>
        <v>Luxo Real</v>
      </c>
      <c r="G103" s="5" t="s">
        <v>903</v>
      </c>
      <c r="H103" s="19">
        <v>1019.8387096774194</v>
      </c>
      <c r="I103" s="19">
        <v>4070.708542290613</v>
      </c>
      <c r="J103" s="19">
        <f>_xlfn.IFNA(_xlfn.XLOOKUP(F103,'Fastmoss 500'!D:D,'Fastmoss 500'!O:O),0)</f>
        <v>0</v>
      </c>
      <c r="K103" s="19">
        <f>_xlfn.IFNA(_xlfn.XLOOKUP(F103,'Fastmoss 500'!D:D,'Fastmoss 500'!N:N),0)</f>
        <v>0</v>
      </c>
      <c r="L103" s="21" t="s">
        <v>2528</v>
      </c>
      <c r="M103" s="21" t="str">
        <f>IF(L103="Shp 500","Sim",IF(ISNA(_xlfn.XLOOKUP(C103,'Shp 500'!D:D,'Shp 500'!D:D)),"Não","Sim"))</f>
        <v>Sim</v>
      </c>
      <c r="N103" s="21" t="str">
        <f>IF(L103="Fastmoss 500","Sim",IF(ISNA(_xlfn.XLOOKUP(_xlfn.XLOOKUP(C103,'Same Seller Hist'!E:E,'Same Seller Hist'!H:H),'Fastmoss 500'!D:D,'Fastmoss 500'!D:D)),"Não","Sim"))</f>
        <v>Não</v>
      </c>
      <c r="O103" s="21" t="str">
        <f t="shared" si="3"/>
        <v>Não</v>
      </c>
      <c r="P103" s="21" t="str">
        <f t="shared" si="4"/>
        <v>Sim</v>
      </c>
      <c r="Q103" s="21">
        <f t="shared" si="5"/>
        <v>1</v>
      </c>
    </row>
    <row r="104" spans="3:17" x14ac:dyDescent="0.35">
      <c r="C104" s="5">
        <v>504894896</v>
      </c>
      <c r="D104" s="5" t="s">
        <v>1583</v>
      </c>
      <c r="E104" s="5">
        <f>_xlfn.XLOOKUP(C104,'Same Seller Hist'!E:E,'Same Seller Hist'!I:I)</f>
        <v>7.4961862859874304E+18</v>
      </c>
      <c r="F104" s="5" t="str">
        <f>_xlfn.XLOOKUP(C104,'Same Seller Hist'!E:E,'Same Seller Hist'!H:H)</f>
        <v>Phils Ecom</v>
      </c>
      <c r="G104" s="5" t="s">
        <v>906</v>
      </c>
      <c r="H104" s="19">
        <v>1006.8387096774162</v>
      </c>
      <c r="I104" s="19">
        <v>5318.063750942807</v>
      </c>
      <c r="J104" s="19">
        <f>_xlfn.IFNA(_xlfn.XLOOKUP(F104,'Fastmoss 500'!D:D,'Fastmoss 500'!O:O),0)</f>
        <v>0</v>
      </c>
      <c r="K104" s="19">
        <f>_xlfn.IFNA(_xlfn.XLOOKUP(F104,'Fastmoss 500'!D:D,'Fastmoss 500'!N:N),0)</f>
        <v>0</v>
      </c>
      <c r="L104" s="21" t="s">
        <v>2528</v>
      </c>
      <c r="M104" s="21" t="str">
        <f>IF(L104="Shp 500","Sim",IF(ISNA(_xlfn.XLOOKUP(C104,'Shp 500'!D:D,'Shp 500'!D:D)),"Não","Sim"))</f>
        <v>Sim</v>
      </c>
      <c r="N104" s="21" t="str">
        <f>IF(L104="Fastmoss 500","Sim",IF(ISNA(_xlfn.XLOOKUP(_xlfn.XLOOKUP(C104,'Same Seller Hist'!E:E,'Same Seller Hist'!H:H),'Fastmoss 500'!D:D,'Fastmoss 500'!D:D)),"Não","Sim"))</f>
        <v>Não</v>
      </c>
      <c r="O104" s="21" t="str">
        <f t="shared" si="3"/>
        <v>Não</v>
      </c>
      <c r="P104" s="21" t="str">
        <f t="shared" si="4"/>
        <v>Sim</v>
      </c>
      <c r="Q104" s="21">
        <f t="shared" si="5"/>
        <v>1</v>
      </c>
    </row>
    <row r="105" spans="3:17" x14ac:dyDescent="0.35">
      <c r="C105" s="5">
        <v>427289175</v>
      </c>
      <c r="D105" s="5" t="s">
        <v>1672</v>
      </c>
      <c r="E105" s="5">
        <f>_xlfn.XLOOKUP(C105,'Same Seller Hist'!E:E,'Same Seller Hist'!I:I)</f>
        <v>7.4962925231117701E+18</v>
      </c>
      <c r="F105" s="5" t="str">
        <f>_xlfn.XLOOKUP(C105,'Same Seller Hist'!E:E,'Same Seller Hist'!H:H)</f>
        <v>Luv.intimus</v>
      </c>
      <c r="G105" s="5" t="s">
        <v>903</v>
      </c>
      <c r="H105" s="19">
        <v>874.8064516129001</v>
      </c>
      <c r="I105" s="19">
        <v>5802.9562135131609</v>
      </c>
      <c r="J105" s="19">
        <f>_xlfn.IFNA(_xlfn.XLOOKUP(F105,'Fastmoss 500'!D:D,'Fastmoss 500'!O:O),0)</f>
        <v>422.58064516129031</v>
      </c>
      <c r="K105" s="19">
        <f>_xlfn.IFNA(_xlfn.XLOOKUP(F105,'Fastmoss 500'!D:D,'Fastmoss 500'!N:N),0)</f>
        <v>10264.516129032258</v>
      </c>
      <c r="L105" s="21" t="s">
        <v>2528</v>
      </c>
      <c r="M105" s="21" t="str">
        <f>IF(L105="Shp 500","Sim",IF(ISNA(_xlfn.XLOOKUP(C105,'Shp 500'!D:D,'Shp 500'!D:D)),"Não","Sim"))</f>
        <v>Sim</v>
      </c>
      <c r="N105" s="21" t="str">
        <f>IF(L105="Fastmoss 500","Sim",IF(ISNA(_xlfn.XLOOKUP(_xlfn.XLOOKUP(C105,'Same Seller Hist'!E:E,'Same Seller Hist'!H:H),'Fastmoss 500'!D:D,'Fastmoss 500'!D:D)),"Não","Sim"))</f>
        <v>Sim</v>
      </c>
      <c r="O105" s="21" t="str">
        <f t="shared" si="3"/>
        <v>Sim</v>
      </c>
      <c r="P105" s="21" t="str">
        <f t="shared" si="4"/>
        <v>Não</v>
      </c>
      <c r="Q105" s="21">
        <f t="shared" si="5"/>
        <v>1</v>
      </c>
    </row>
    <row r="106" spans="3:17" x14ac:dyDescent="0.35">
      <c r="C106" s="5">
        <v>436773535</v>
      </c>
      <c r="D106" s="5" t="s">
        <v>573</v>
      </c>
      <c r="E106" s="5">
        <f>_xlfn.XLOOKUP(C106,'Same Seller Hist'!E:E,'Same Seller Hist'!I:I)</f>
        <v>7.4941445783934996E+18</v>
      </c>
      <c r="F106" s="5" t="str">
        <f>_xlfn.XLOOKUP(C106,'Same Seller Hist'!E:E,'Same Seller Hist'!H:H)</f>
        <v>Balloon Kids</v>
      </c>
      <c r="G106" s="5" t="s">
        <v>903</v>
      </c>
      <c r="H106" s="19">
        <v>920.83870967741939</v>
      </c>
      <c r="I106" s="19">
        <v>8706.8130283091286</v>
      </c>
      <c r="J106" s="19">
        <f>_xlfn.IFNA(_xlfn.XLOOKUP(F106,'Fastmoss 500'!D:D,'Fastmoss 500'!O:O),0)</f>
        <v>225.80645161290323</v>
      </c>
      <c r="K106" s="19">
        <f>_xlfn.IFNA(_xlfn.XLOOKUP(F106,'Fastmoss 500'!D:D,'Fastmoss 500'!N:N),0)</f>
        <v>12780.645161290322</v>
      </c>
      <c r="L106" s="21" t="s">
        <v>2528</v>
      </c>
      <c r="M106" s="21" t="str">
        <f>IF(L106="Shp 500","Sim",IF(ISNA(_xlfn.XLOOKUP(C106,'Shp 500'!D:D,'Shp 500'!D:D)),"Não","Sim"))</f>
        <v>Sim</v>
      </c>
      <c r="N106" s="21" t="str">
        <f>IF(L106="Fastmoss 500","Sim",IF(ISNA(_xlfn.XLOOKUP(_xlfn.XLOOKUP(C106,'Same Seller Hist'!E:E,'Same Seller Hist'!H:H),'Fastmoss 500'!D:D,'Fastmoss 500'!D:D)),"Não","Sim"))</f>
        <v>Sim</v>
      </c>
      <c r="O106" s="21" t="str">
        <f t="shared" si="3"/>
        <v>Sim</v>
      </c>
      <c r="P106" s="21" t="str">
        <f t="shared" si="4"/>
        <v>Não</v>
      </c>
      <c r="Q106" s="21">
        <f t="shared" si="5"/>
        <v>1</v>
      </c>
    </row>
    <row r="107" spans="3:17" x14ac:dyDescent="0.35">
      <c r="C107" s="5">
        <v>422903557</v>
      </c>
      <c r="D107" s="5" t="s">
        <v>1600</v>
      </c>
      <c r="E107" s="5">
        <f>_xlfn.XLOOKUP(C107,'Same Seller Hist'!E:E,'Same Seller Hist'!I:I)</f>
        <v>7.4961469634047795E+18</v>
      </c>
      <c r="F107" s="5" t="str">
        <f>_xlfn.XLOOKUP(C107,'Same Seller Hist'!E:E,'Same Seller Hist'!H:H)</f>
        <v>Comprou, Chegou Distribuidora</v>
      </c>
      <c r="G107" s="5" t="s">
        <v>906</v>
      </c>
      <c r="H107" s="19">
        <v>990.29032258064194</v>
      </c>
      <c r="I107" s="19">
        <v>3479.3616651460966</v>
      </c>
      <c r="J107" s="19">
        <f>_xlfn.IFNA(_xlfn.XLOOKUP(F107,'Fastmoss 500'!D:D,'Fastmoss 500'!O:O),0)</f>
        <v>0</v>
      </c>
      <c r="K107" s="19">
        <f>_xlfn.IFNA(_xlfn.XLOOKUP(F107,'Fastmoss 500'!D:D,'Fastmoss 500'!N:N),0)</f>
        <v>0</v>
      </c>
      <c r="L107" s="21" t="s">
        <v>2528</v>
      </c>
      <c r="M107" s="21" t="str">
        <f>IF(L107="Shp 500","Sim",IF(ISNA(_xlfn.XLOOKUP(C107,'Shp 500'!D:D,'Shp 500'!D:D)),"Não","Sim"))</f>
        <v>Sim</v>
      </c>
      <c r="N107" s="21" t="str">
        <f>IF(L107="Fastmoss 500","Sim",IF(ISNA(_xlfn.XLOOKUP(_xlfn.XLOOKUP(C107,'Same Seller Hist'!E:E,'Same Seller Hist'!H:H),'Fastmoss 500'!D:D,'Fastmoss 500'!D:D)),"Não","Sim"))</f>
        <v>Não</v>
      </c>
      <c r="O107" s="21" t="str">
        <f t="shared" si="3"/>
        <v>Não</v>
      </c>
      <c r="P107" s="21" t="str">
        <f t="shared" si="4"/>
        <v>Sim</v>
      </c>
      <c r="Q107" s="21">
        <f t="shared" si="5"/>
        <v>1</v>
      </c>
    </row>
    <row r="108" spans="3:17" x14ac:dyDescent="0.35">
      <c r="C108" s="5">
        <v>1383463294</v>
      </c>
      <c r="D108" s="5" t="s">
        <v>230</v>
      </c>
      <c r="E108" s="5">
        <f>_xlfn.XLOOKUP(C108,'Same Seller Hist'!E:E,'Same Seller Hist'!I:I)</f>
        <v>7.4961821525006397E+18</v>
      </c>
      <c r="F108" s="5" t="str">
        <f>_xlfn.XLOOKUP(C108,'Same Seller Hist'!E:E,'Same Seller Hist'!H:H)</f>
        <v>Lemon Seleção</v>
      </c>
      <c r="G108" s="5" t="s">
        <v>905</v>
      </c>
      <c r="H108" s="19">
        <v>984.70967741935488</v>
      </c>
      <c r="I108" s="19">
        <v>4845.5200848058712</v>
      </c>
      <c r="J108" s="19">
        <f>_xlfn.IFNA(_xlfn.XLOOKUP(F108,'Fastmoss 500'!D:D,'Fastmoss 500'!O:O),0)</f>
        <v>0</v>
      </c>
      <c r="K108" s="19">
        <f>_xlfn.IFNA(_xlfn.XLOOKUP(F108,'Fastmoss 500'!D:D,'Fastmoss 500'!N:N),0)</f>
        <v>0</v>
      </c>
      <c r="L108" s="21" t="s">
        <v>2528</v>
      </c>
      <c r="M108" s="21" t="str">
        <f>IF(L108="Shp 500","Sim",IF(ISNA(_xlfn.XLOOKUP(C108,'Shp 500'!D:D,'Shp 500'!D:D)),"Não","Sim"))</f>
        <v>Sim</v>
      </c>
      <c r="N108" s="21" t="str">
        <f>IF(L108="Fastmoss 500","Sim",IF(ISNA(_xlfn.XLOOKUP(_xlfn.XLOOKUP(C108,'Same Seller Hist'!E:E,'Same Seller Hist'!H:H),'Fastmoss 500'!D:D,'Fastmoss 500'!D:D)),"Não","Sim"))</f>
        <v>Não</v>
      </c>
      <c r="O108" s="21" t="str">
        <f t="shared" si="3"/>
        <v>Não</v>
      </c>
      <c r="P108" s="21" t="str">
        <f t="shared" si="4"/>
        <v>Sim</v>
      </c>
      <c r="Q108" s="21">
        <f t="shared" si="5"/>
        <v>1</v>
      </c>
    </row>
    <row r="109" spans="3:17" x14ac:dyDescent="0.35">
      <c r="C109" s="5">
        <v>331517678</v>
      </c>
      <c r="D109" s="5" t="s">
        <v>1613</v>
      </c>
      <c r="E109" s="5">
        <f>_xlfn.XLOOKUP(C109,'Same Seller Hist'!E:E,'Same Seller Hist'!I:I)</f>
        <v>0</v>
      </c>
      <c r="F109" s="5">
        <f>_xlfn.XLOOKUP(C109,'Same Seller Hist'!E:E,'Same Seller Hist'!H:H)</f>
        <v>0</v>
      </c>
      <c r="G109" s="5" t="s">
        <v>1734</v>
      </c>
      <c r="H109" s="19">
        <v>967.16129032257743</v>
      </c>
      <c r="I109" s="19">
        <v>3994.9900721395161</v>
      </c>
      <c r="J109" s="19">
        <f>_xlfn.IFNA(_xlfn.XLOOKUP(F109,'Fastmoss 500'!D:D,'Fastmoss 500'!O:O),0)</f>
        <v>0</v>
      </c>
      <c r="K109" s="19">
        <f>_xlfn.IFNA(_xlfn.XLOOKUP(F109,'Fastmoss 500'!D:D,'Fastmoss 500'!N:N),0)</f>
        <v>0</v>
      </c>
      <c r="L109" s="21" t="s">
        <v>2528</v>
      </c>
      <c r="M109" s="21" t="str">
        <f>IF(L109="Shp 500","Sim",IF(ISNA(_xlfn.XLOOKUP(C109,'Shp 500'!D:D,'Shp 500'!D:D)),"Não","Sim"))</f>
        <v>Sim</v>
      </c>
      <c r="N109" s="21" t="str">
        <f>IF(L109="Fastmoss 500","Sim",IF(ISNA(_xlfn.XLOOKUP(_xlfn.XLOOKUP(C109,'Same Seller Hist'!E:E,'Same Seller Hist'!H:H),'Fastmoss 500'!D:D,'Fastmoss 500'!D:D)),"Não","Sim"))</f>
        <v>Sim</v>
      </c>
      <c r="O109" s="21" t="str">
        <f t="shared" si="3"/>
        <v>Sim</v>
      </c>
      <c r="P109" s="21" t="str">
        <f t="shared" si="4"/>
        <v>Sim</v>
      </c>
      <c r="Q109" s="21">
        <f t="shared" si="5"/>
        <v>1</v>
      </c>
    </row>
    <row r="110" spans="3:17" x14ac:dyDescent="0.35">
      <c r="C110" s="5">
        <v>961638733</v>
      </c>
      <c r="D110" s="5" t="s">
        <v>761</v>
      </c>
      <c r="E110" s="5">
        <f>_xlfn.XLOOKUP(C110,'Same Seller Hist'!E:E,'Same Seller Hist'!I:I)</f>
        <v>7.4961820935382897E+18</v>
      </c>
      <c r="F110" s="5" t="str">
        <f>_xlfn.XLOOKUP(C110,'Same Seller Hist'!E:E,'Same Seller Hist'!H:H)</f>
        <v>ROMALIZ</v>
      </c>
      <c r="G110" s="5" t="s">
        <v>905</v>
      </c>
      <c r="H110" s="19">
        <v>962.32258064515815</v>
      </c>
      <c r="I110" s="19">
        <v>9882.1833985151607</v>
      </c>
      <c r="J110" s="19">
        <f>_xlfn.IFNA(_xlfn.XLOOKUP(F110,'Fastmoss 500'!D:D,'Fastmoss 500'!O:O),0)</f>
        <v>0</v>
      </c>
      <c r="K110" s="19">
        <f>_xlfn.IFNA(_xlfn.XLOOKUP(F110,'Fastmoss 500'!D:D,'Fastmoss 500'!N:N),0)</f>
        <v>0</v>
      </c>
      <c r="L110" s="21" t="s">
        <v>2528</v>
      </c>
      <c r="M110" s="21" t="str">
        <f>IF(L110="Shp 500","Sim",IF(ISNA(_xlfn.XLOOKUP(C110,'Shp 500'!D:D,'Shp 500'!D:D)),"Não","Sim"))</f>
        <v>Sim</v>
      </c>
      <c r="N110" s="21" t="str">
        <f>IF(L110="Fastmoss 500","Sim",IF(ISNA(_xlfn.XLOOKUP(_xlfn.XLOOKUP(C110,'Same Seller Hist'!E:E,'Same Seller Hist'!H:H),'Fastmoss 500'!D:D,'Fastmoss 500'!D:D)),"Não","Sim"))</f>
        <v>Não</v>
      </c>
      <c r="O110" s="21" t="str">
        <f t="shared" si="3"/>
        <v>Não</v>
      </c>
      <c r="P110" s="21" t="str">
        <f t="shared" si="4"/>
        <v>Sim</v>
      </c>
      <c r="Q110" s="21">
        <f t="shared" si="5"/>
        <v>1</v>
      </c>
    </row>
    <row r="111" spans="3:17" x14ac:dyDescent="0.35">
      <c r="C111" s="5">
        <v>465623800</v>
      </c>
      <c r="D111" s="5" t="s">
        <v>588</v>
      </c>
      <c r="E111" s="5">
        <f>_xlfn.XLOOKUP(C111,'Same Seller Hist'!E:E,'Same Seller Hist'!I:I)</f>
        <v>7.4961616350850202E+18</v>
      </c>
      <c r="F111" s="5" t="str">
        <f>_xlfn.XLOOKUP(C111,'Same Seller Hist'!E:E,'Same Seller Hist'!H:H)</f>
        <v>M&amp;D Brasil Atacadista</v>
      </c>
      <c r="G111" s="5" t="s">
        <v>1734</v>
      </c>
      <c r="H111" s="19">
        <v>2708.6451612903224</v>
      </c>
      <c r="I111" s="19">
        <v>7044.0811110540972</v>
      </c>
      <c r="J111" s="19">
        <f>_xlfn.IFNA(_xlfn.XLOOKUP(F111,'Fastmoss 500'!D:D,'Fastmoss 500'!O:O),0)</f>
        <v>329.03225806451616</v>
      </c>
      <c r="K111" s="19">
        <f>_xlfn.IFNA(_xlfn.XLOOKUP(F111,'Fastmoss 500'!D:D,'Fastmoss 500'!N:N),0)</f>
        <v>8577.4193548387102</v>
      </c>
      <c r="L111" s="21" t="s">
        <v>2528</v>
      </c>
      <c r="M111" s="21" t="str">
        <f>IF(L111="Shp 500","Sim",IF(ISNA(_xlfn.XLOOKUP(C111,'Shp 500'!D:D,'Shp 500'!D:D)),"Não","Sim"))</f>
        <v>Sim</v>
      </c>
      <c r="N111" s="21" t="str">
        <f>IF(L111="Fastmoss 500","Sim",IF(ISNA(_xlfn.XLOOKUP(_xlfn.XLOOKUP(C111,'Same Seller Hist'!E:E,'Same Seller Hist'!H:H),'Fastmoss 500'!D:D,'Fastmoss 500'!D:D)),"Não","Sim"))</f>
        <v>Sim</v>
      </c>
      <c r="O111" s="21" t="str">
        <f t="shared" si="3"/>
        <v>Sim</v>
      </c>
      <c r="P111" s="21" t="str">
        <f t="shared" si="4"/>
        <v>Não</v>
      </c>
      <c r="Q111" s="21">
        <f t="shared" si="5"/>
        <v>1</v>
      </c>
    </row>
    <row r="112" spans="3:17" x14ac:dyDescent="0.35">
      <c r="C112" s="5">
        <v>398944029</v>
      </c>
      <c r="D112" s="5" t="s">
        <v>529</v>
      </c>
      <c r="E112" s="5">
        <f>_xlfn.XLOOKUP(C112,'Same Seller Hist'!E:E,'Same Seller Hist'!I:I)</f>
        <v>7.4962388703206697E+18</v>
      </c>
      <c r="F112" s="5" t="str">
        <f>_xlfn.XLOOKUP(C112,'Same Seller Hist'!E:E,'Same Seller Hist'!H:H)</f>
        <v>Popular Pet</v>
      </c>
      <c r="G112" s="5" t="s">
        <v>906</v>
      </c>
      <c r="H112" s="19">
        <v>944.54838709677415</v>
      </c>
      <c r="I112" s="19">
        <v>12389.453972633743</v>
      </c>
      <c r="J112" s="19">
        <f>_xlfn.IFNA(_xlfn.XLOOKUP(F112,'Fastmoss 500'!D:D,'Fastmoss 500'!O:O),0)</f>
        <v>0</v>
      </c>
      <c r="K112" s="19">
        <f>_xlfn.IFNA(_xlfn.XLOOKUP(F112,'Fastmoss 500'!D:D,'Fastmoss 500'!N:N),0)</f>
        <v>0</v>
      </c>
      <c r="L112" s="21" t="s">
        <v>2528</v>
      </c>
      <c r="M112" s="21" t="str">
        <f>IF(L112="Shp 500","Sim",IF(ISNA(_xlfn.XLOOKUP(C112,'Shp 500'!D:D,'Shp 500'!D:D)),"Não","Sim"))</f>
        <v>Sim</v>
      </c>
      <c r="N112" s="21" t="str">
        <f>IF(L112="Fastmoss 500","Sim",IF(ISNA(_xlfn.XLOOKUP(_xlfn.XLOOKUP(C112,'Same Seller Hist'!E:E,'Same Seller Hist'!H:H),'Fastmoss 500'!D:D,'Fastmoss 500'!D:D)),"Não","Sim"))</f>
        <v>Não</v>
      </c>
      <c r="O112" s="21" t="str">
        <f t="shared" si="3"/>
        <v>Não</v>
      </c>
      <c r="P112" s="21" t="str">
        <f t="shared" si="4"/>
        <v>Sim</v>
      </c>
      <c r="Q112" s="21">
        <f t="shared" si="5"/>
        <v>1</v>
      </c>
    </row>
    <row r="113" spans="3:17" x14ac:dyDescent="0.35">
      <c r="C113" s="5">
        <v>300863563</v>
      </c>
      <c r="D113" s="5" t="s">
        <v>1628</v>
      </c>
      <c r="E113" s="5">
        <f>_xlfn.XLOOKUP(C113,'Same Seller Hist'!E:E,'Same Seller Hist'!I:I)</f>
        <v>7.4961816175501302E+18</v>
      </c>
      <c r="F113" s="5" t="str">
        <f>_xlfn.XLOOKUP(C113,'Same Seller Hist'!E:E,'Same Seller Hist'!H:H)</f>
        <v>karseen</v>
      </c>
      <c r="G113" s="5" t="s">
        <v>906</v>
      </c>
      <c r="H113" s="19">
        <v>939.54838709677415</v>
      </c>
      <c r="I113" s="19">
        <v>7697.8130406582895</v>
      </c>
      <c r="J113" s="19">
        <f>_xlfn.IFNA(_xlfn.XLOOKUP(F113,'Fastmoss 500'!D:D,'Fastmoss 500'!O:O),0)</f>
        <v>0</v>
      </c>
      <c r="K113" s="19">
        <f>_xlfn.IFNA(_xlfn.XLOOKUP(F113,'Fastmoss 500'!D:D,'Fastmoss 500'!N:N),0)</f>
        <v>0</v>
      </c>
      <c r="L113" s="21" t="s">
        <v>2528</v>
      </c>
      <c r="M113" s="21" t="str">
        <f>IF(L113="Shp 500","Sim",IF(ISNA(_xlfn.XLOOKUP(C113,'Shp 500'!D:D,'Shp 500'!D:D)),"Não","Sim"))</f>
        <v>Sim</v>
      </c>
      <c r="N113" s="21" t="str">
        <f>IF(L113="Fastmoss 500","Sim",IF(ISNA(_xlfn.XLOOKUP(_xlfn.XLOOKUP(C113,'Same Seller Hist'!E:E,'Same Seller Hist'!H:H),'Fastmoss 500'!D:D,'Fastmoss 500'!D:D)),"Não","Sim"))</f>
        <v>Não</v>
      </c>
      <c r="O113" s="21" t="str">
        <f t="shared" si="3"/>
        <v>Não</v>
      </c>
      <c r="P113" s="21" t="str">
        <f t="shared" si="4"/>
        <v>Sim</v>
      </c>
      <c r="Q113" s="21">
        <f t="shared" si="5"/>
        <v>1</v>
      </c>
    </row>
    <row r="114" spans="3:17" x14ac:dyDescent="0.35">
      <c r="C114" s="5">
        <v>710045240</v>
      </c>
      <c r="D114" s="5" t="s">
        <v>1632</v>
      </c>
      <c r="E114" s="5">
        <f>_xlfn.XLOOKUP(C114,'Same Seller Hist'!E:E,'Same Seller Hist'!I:I)</f>
        <v>7.49631209462114E+18</v>
      </c>
      <c r="F114" s="5" t="str">
        <f>_xlfn.XLOOKUP(C114,'Same Seller Hist'!E:E,'Same Seller Hist'!H:H)</f>
        <v>Infinity Brasil Shopping</v>
      </c>
      <c r="G114" s="5" t="s">
        <v>905</v>
      </c>
      <c r="H114" s="19">
        <v>932.35483870967425</v>
      </c>
      <c r="I114" s="19">
        <v>7005.6743754767422</v>
      </c>
      <c r="J114" s="19">
        <f>_xlfn.IFNA(_xlfn.XLOOKUP(F114,'Fastmoss 500'!D:D,'Fastmoss 500'!O:O),0)</f>
        <v>0</v>
      </c>
      <c r="K114" s="19">
        <f>_xlfn.IFNA(_xlfn.XLOOKUP(F114,'Fastmoss 500'!D:D,'Fastmoss 500'!N:N),0)</f>
        <v>0</v>
      </c>
      <c r="L114" s="21" t="s">
        <v>2528</v>
      </c>
      <c r="M114" s="21" t="str">
        <f>IF(L114="Shp 500","Sim",IF(ISNA(_xlfn.XLOOKUP(C114,'Shp 500'!D:D,'Shp 500'!D:D)),"Não","Sim"))</f>
        <v>Sim</v>
      </c>
      <c r="N114" s="21" t="str">
        <f>IF(L114="Fastmoss 500","Sim",IF(ISNA(_xlfn.XLOOKUP(_xlfn.XLOOKUP(C114,'Same Seller Hist'!E:E,'Same Seller Hist'!H:H),'Fastmoss 500'!D:D,'Fastmoss 500'!D:D)),"Não","Sim"))</f>
        <v>Não</v>
      </c>
      <c r="O114" s="21" t="str">
        <f t="shared" si="3"/>
        <v>Não</v>
      </c>
      <c r="P114" s="21" t="str">
        <f t="shared" si="4"/>
        <v>Sim</v>
      </c>
      <c r="Q114" s="21">
        <f t="shared" si="5"/>
        <v>1</v>
      </c>
    </row>
    <row r="115" spans="3:17" x14ac:dyDescent="0.35">
      <c r="C115" s="5">
        <v>1553736756</v>
      </c>
      <c r="D115" s="5" t="s">
        <v>318</v>
      </c>
      <c r="E115" s="5">
        <f>_xlfn.XLOOKUP(C115,'Same Seller Hist'!E:E,'Same Seller Hist'!I:I)</f>
        <v>7.4962439492078397E+18</v>
      </c>
      <c r="F115" s="5" t="str">
        <f>_xlfn.XLOOKUP(C115,'Same Seller Hist'!E:E,'Same Seller Hist'!H:H)</f>
        <v>EletroTop Store</v>
      </c>
      <c r="G115" s="5" t="s">
        <v>1734</v>
      </c>
      <c r="H115" s="19">
        <v>928.16129032257743</v>
      </c>
      <c r="I115" s="19">
        <v>8733.3390571761938</v>
      </c>
      <c r="J115" s="19">
        <f>_xlfn.IFNA(_xlfn.XLOOKUP(F115,'Fastmoss 500'!D:D,'Fastmoss 500'!O:O),0)</f>
        <v>0</v>
      </c>
      <c r="K115" s="19">
        <f>_xlfn.IFNA(_xlfn.XLOOKUP(F115,'Fastmoss 500'!D:D,'Fastmoss 500'!N:N),0)</f>
        <v>0</v>
      </c>
      <c r="L115" s="21" t="s">
        <v>2528</v>
      </c>
      <c r="M115" s="21" t="str">
        <f>IF(L115="Shp 500","Sim",IF(ISNA(_xlfn.XLOOKUP(C115,'Shp 500'!D:D,'Shp 500'!D:D)),"Não","Sim"))</f>
        <v>Sim</v>
      </c>
      <c r="N115" s="21" t="str">
        <f>IF(L115="Fastmoss 500","Sim",IF(ISNA(_xlfn.XLOOKUP(_xlfn.XLOOKUP(C115,'Same Seller Hist'!E:E,'Same Seller Hist'!H:H),'Fastmoss 500'!D:D,'Fastmoss 500'!D:D)),"Não","Sim"))</f>
        <v>Não</v>
      </c>
      <c r="O115" s="21" t="str">
        <f t="shared" si="3"/>
        <v>Não</v>
      </c>
      <c r="P115" s="21" t="str">
        <f t="shared" si="4"/>
        <v>Sim</v>
      </c>
      <c r="Q115" s="21">
        <f t="shared" si="5"/>
        <v>1</v>
      </c>
    </row>
    <row r="116" spans="3:17" x14ac:dyDescent="0.35">
      <c r="C116" s="5">
        <v>1155571749</v>
      </c>
      <c r="D116" s="5" t="s">
        <v>1640</v>
      </c>
      <c r="E116" s="5">
        <f>_xlfn.XLOOKUP(C116,'Same Seller Hist'!E:E,'Same Seller Hist'!I:I)</f>
        <v>7.4961549366529495E+18</v>
      </c>
      <c r="F116" s="5" t="str">
        <f>_xlfn.XLOOKUP(C116,'Same Seller Hist'!E:E,'Same Seller Hist'!H:H)</f>
        <v>H'maston</v>
      </c>
      <c r="G116" s="5" t="s">
        <v>1734</v>
      </c>
      <c r="H116" s="19">
        <v>922.06451612903231</v>
      </c>
      <c r="I116" s="19">
        <v>6409.7796351124516</v>
      </c>
      <c r="J116" s="19">
        <f>_xlfn.IFNA(_xlfn.XLOOKUP(F116,'Fastmoss 500'!D:D,'Fastmoss 500'!O:O),0)</f>
        <v>0</v>
      </c>
      <c r="K116" s="19">
        <f>_xlfn.IFNA(_xlfn.XLOOKUP(F116,'Fastmoss 500'!D:D,'Fastmoss 500'!N:N),0)</f>
        <v>0</v>
      </c>
      <c r="L116" s="21" t="s">
        <v>2528</v>
      </c>
      <c r="M116" s="21" t="str">
        <f>IF(L116="Shp 500","Sim",IF(ISNA(_xlfn.XLOOKUP(C116,'Shp 500'!D:D,'Shp 500'!D:D)),"Não","Sim"))</f>
        <v>Sim</v>
      </c>
      <c r="N116" s="21" t="str">
        <f>IF(L116="Fastmoss 500","Sim",IF(ISNA(_xlfn.XLOOKUP(_xlfn.XLOOKUP(C116,'Same Seller Hist'!E:E,'Same Seller Hist'!H:H),'Fastmoss 500'!D:D,'Fastmoss 500'!D:D)),"Não","Sim"))</f>
        <v>Não</v>
      </c>
      <c r="O116" s="21" t="str">
        <f t="shared" si="3"/>
        <v>Não</v>
      </c>
      <c r="P116" s="21" t="str">
        <f t="shared" si="4"/>
        <v>Sim</v>
      </c>
      <c r="Q116" s="21">
        <f t="shared" si="5"/>
        <v>1</v>
      </c>
    </row>
    <row r="117" spans="3:17" x14ac:dyDescent="0.35">
      <c r="C117" s="5">
        <v>1117805526</v>
      </c>
      <c r="D117" s="5" t="s">
        <v>1641</v>
      </c>
      <c r="E117" s="5">
        <f>_xlfn.XLOOKUP(C117,'Same Seller Hist'!E:E,'Same Seller Hist'!I:I)</f>
        <v>7.4961622409073398E+18</v>
      </c>
      <c r="F117" s="5" t="str">
        <f>_xlfn.XLOOKUP(C117,'Same Seller Hist'!E:E,'Same Seller Hist'!H:H)</f>
        <v>LUCKY PLUS STORE</v>
      </c>
      <c r="G117" s="5" t="s">
        <v>1734</v>
      </c>
      <c r="H117" s="19">
        <v>921.58064516129036</v>
      </c>
      <c r="I117" s="19">
        <v>4470.0202352863553</v>
      </c>
      <c r="J117" s="19">
        <f>_xlfn.IFNA(_xlfn.XLOOKUP(F117,'Fastmoss 500'!D:D,'Fastmoss 500'!O:O),0)</f>
        <v>0</v>
      </c>
      <c r="K117" s="19">
        <f>_xlfn.IFNA(_xlfn.XLOOKUP(F117,'Fastmoss 500'!D:D,'Fastmoss 500'!N:N),0)</f>
        <v>0</v>
      </c>
      <c r="L117" s="21" t="s">
        <v>2528</v>
      </c>
      <c r="M117" s="21" t="str">
        <f>IF(L117="Shp 500","Sim",IF(ISNA(_xlfn.XLOOKUP(C117,'Shp 500'!D:D,'Shp 500'!D:D)),"Não","Sim"))</f>
        <v>Sim</v>
      </c>
      <c r="N117" s="21" t="str">
        <f>IF(L117="Fastmoss 500","Sim",IF(ISNA(_xlfn.XLOOKUP(_xlfn.XLOOKUP(C117,'Same Seller Hist'!E:E,'Same Seller Hist'!H:H),'Fastmoss 500'!D:D,'Fastmoss 500'!D:D)),"Não","Sim"))</f>
        <v>Não</v>
      </c>
      <c r="O117" s="21" t="str">
        <f t="shared" si="3"/>
        <v>Não</v>
      </c>
      <c r="P117" s="21" t="str">
        <f t="shared" si="4"/>
        <v>Sim</v>
      </c>
      <c r="Q117" s="21">
        <f t="shared" si="5"/>
        <v>1</v>
      </c>
    </row>
    <row r="118" spans="3:17" x14ac:dyDescent="0.35">
      <c r="C118" s="5">
        <v>482840775</v>
      </c>
      <c r="D118" s="5" t="s">
        <v>1293</v>
      </c>
      <c r="E118" s="5">
        <f>_xlfn.XLOOKUP(C118,'Same Seller Hist'!E:E,'Same Seller Hist'!I:I)</f>
        <v>7.49625409808128E+18</v>
      </c>
      <c r="F118" s="5" t="str">
        <f>_xlfn.XLOOKUP(C118,'Same Seller Hist'!E:E,'Same Seller Hist'!H:H)</f>
        <v>Grupo On Line Editora</v>
      </c>
      <c r="G118" s="5" t="s">
        <v>906</v>
      </c>
      <c r="H118" s="19">
        <v>3633.5161290322258</v>
      </c>
      <c r="I118" s="19">
        <v>17517.281572933676</v>
      </c>
      <c r="J118" s="19">
        <f>_xlfn.IFNA(_xlfn.XLOOKUP(F118,'Fastmoss 500'!D:D,'Fastmoss 500'!O:O),0)</f>
        <v>3567.7419354838707</v>
      </c>
      <c r="K118" s="19">
        <f>_xlfn.IFNA(_xlfn.XLOOKUP(F118,'Fastmoss 500'!D:D,'Fastmoss 500'!N:N),0)</f>
        <v>106451.6129032258</v>
      </c>
      <c r="L118" s="21" t="s">
        <v>2528</v>
      </c>
      <c r="M118" s="21" t="str">
        <f>IF(L118="Shp 500","Sim",IF(ISNA(_xlfn.XLOOKUP(C118,'Shp 500'!D:D,'Shp 500'!D:D)),"Não","Sim"))</f>
        <v>Sim</v>
      </c>
      <c r="N118" s="21" t="str">
        <f>IF(L118="Fastmoss 500","Sim",IF(ISNA(_xlfn.XLOOKUP(_xlfn.XLOOKUP(C118,'Same Seller Hist'!E:E,'Same Seller Hist'!H:H),'Fastmoss 500'!D:D,'Fastmoss 500'!D:D)),"Não","Sim"))</f>
        <v>Sim</v>
      </c>
      <c r="O118" s="21" t="str">
        <f t="shared" si="3"/>
        <v>Sim</v>
      </c>
      <c r="P118" s="21" t="str">
        <f t="shared" si="4"/>
        <v>Não</v>
      </c>
      <c r="Q118" s="21">
        <f t="shared" si="5"/>
        <v>1</v>
      </c>
    </row>
    <row r="119" spans="3:17" x14ac:dyDescent="0.35">
      <c r="C119" s="5">
        <v>805449066</v>
      </c>
      <c r="D119" s="5" t="s">
        <v>711</v>
      </c>
      <c r="E119" s="5">
        <f>_xlfn.XLOOKUP(C119,'Same Seller Hist'!E:E,'Same Seller Hist'!I:I)</f>
        <v>7.49415756973103E+18</v>
      </c>
      <c r="F119" s="5" t="str">
        <f>_xlfn.XLOOKUP(C119,'Same Seller Hist'!E:E,'Same Seller Hist'!H:H)</f>
        <v>Casa e Garagem</v>
      </c>
      <c r="G119" s="5" t="s">
        <v>905</v>
      </c>
      <c r="H119" s="19">
        <v>918.45161290322585</v>
      </c>
      <c r="I119" s="19">
        <v>21187.664579271161</v>
      </c>
      <c r="J119" s="19">
        <f>_xlfn.IFNA(_xlfn.XLOOKUP(F119,'Fastmoss 500'!D:D,'Fastmoss 500'!O:O),0)</f>
        <v>0</v>
      </c>
      <c r="K119" s="19">
        <f>_xlfn.IFNA(_xlfn.XLOOKUP(F119,'Fastmoss 500'!D:D,'Fastmoss 500'!N:N),0)</f>
        <v>0</v>
      </c>
      <c r="L119" s="21" t="s">
        <v>2528</v>
      </c>
      <c r="M119" s="21" t="str">
        <f>IF(L119="Shp 500","Sim",IF(ISNA(_xlfn.XLOOKUP(C119,'Shp 500'!D:D,'Shp 500'!D:D)),"Não","Sim"))</f>
        <v>Sim</v>
      </c>
      <c r="N119" s="21" t="str">
        <f>IF(L119="Fastmoss 500","Sim",IF(ISNA(_xlfn.XLOOKUP(_xlfn.XLOOKUP(C119,'Same Seller Hist'!E:E,'Same Seller Hist'!H:H),'Fastmoss 500'!D:D,'Fastmoss 500'!D:D)),"Não","Sim"))</f>
        <v>Não</v>
      </c>
      <c r="O119" s="21" t="str">
        <f t="shared" si="3"/>
        <v>Não</v>
      </c>
      <c r="P119" s="21" t="str">
        <f t="shared" si="4"/>
        <v>Sim</v>
      </c>
      <c r="Q119" s="21">
        <f t="shared" si="5"/>
        <v>1</v>
      </c>
    </row>
    <row r="120" spans="3:17" x14ac:dyDescent="0.35">
      <c r="C120" s="5">
        <v>1049584869</v>
      </c>
      <c r="D120" s="5" t="s">
        <v>1651</v>
      </c>
      <c r="E120" s="5">
        <f>_xlfn.XLOOKUP(C120,'Same Seller Hist'!E:E,'Same Seller Hist'!I:I)</f>
        <v>7.4961549850134702E+18</v>
      </c>
      <c r="F120" s="5" t="str">
        <f>_xlfn.XLOOKUP(C120,'Same Seller Hist'!E:E,'Same Seller Hist'!H:H)</f>
        <v>GINKGO TRAVELER</v>
      </c>
      <c r="G120" s="5" t="s">
        <v>1734</v>
      </c>
      <c r="H120" s="19">
        <v>911.48387096774195</v>
      </c>
      <c r="I120" s="19">
        <v>7991.6441554059029</v>
      </c>
      <c r="J120" s="19">
        <f>_xlfn.IFNA(_xlfn.XLOOKUP(F120,'Fastmoss 500'!D:D,'Fastmoss 500'!O:O),0)</f>
        <v>0</v>
      </c>
      <c r="K120" s="19">
        <f>_xlfn.IFNA(_xlfn.XLOOKUP(F120,'Fastmoss 500'!D:D,'Fastmoss 500'!N:N),0)</f>
        <v>0</v>
      </c>
      <c r="L120" s="21" t="s">
        <v>2528</v>
      </c>
      <c r="M120" s="21" t="str">
        <f>IF(L120="Shp 500","Sim",IF(ISNA(_xlfn.XLOOKUP(C120,'Shp 500'!D:D,'Shp 500'!D:D)),"Não","Sim"))</f>
        <v>Sim</v>
      </c>
      <c r="N120" s="21" t="str">
        <f>IF(L120="Fastmoss 500","Sim",IF(ISNA(_xlfn.XLOOKUP(_xlfn.XLOOKUP(C120,'Same Seller Hist'!E:E,'Same Seller Hist'!H:H),'Fastmoss 500'!D:D,'Fastmoss 500'!D:D)),"Não","Sim"))</f>
        <v>Não</v>
      </c>
      <c r="O120" s="21" t="str">
        <f t="shared" si="3"/>
        <v>Não</v>
      </c>
      <c r="P120" s="21" t="str">
        <f t="shared" si="4"/>
        <v>Sim</v>
      </c>
      <c r="Q120" s="21">
        <f t="shared" si="5"/>
        <v>1</v>
      </c>
    </row>
    <row r="121" spans="3:17" x14ac:dyDescent="0.35">
      <c r="C121" s="5">
        <v>1271897145</v>
      </c>
      <c r="D121" s="5" t="s">
        <v>1658</v>
      </c>
      <c r="E121" s="5">
        <f>_xlfn.XLOOKUP(C121,'Same Seller Hist'!E:E,'Same Seller Hist'!I:I)</f>
        <v>7.4941601108744899E+18</v>
      </c>
      <c r="F121" s="5" t="str">
        <f>_xlfn.XLOOKUP(C121,'Same Seller Hist'!E:E,'Same Seller Hist'!H:H)</f>
        <v>Friburgo Lingerie</v>
      </c>
      <c r="G121" s="5" t="s">
        <v>903</v>
      </c>
      <c r="H121" s="19">
        <v>900.48387096773877</v>
      </c>
      <c r="I121" s="19">
        <v>5726.3503069325488</v>
      </c>
      <c r="J121" s="19">
        <f>_xlfn.IFNA(_xlfn.XLOOKUP(F121,'Fastmoss 500'!D:D,'Fastmoss 500'!O:O),0)</f>
        <v>0</v>
      </c>
      <c r="K121" s="19">
        <f>_xlfn.IFNA(_xlfn.XLOOKUP(F121,'Fastmoss 500'!D:D,'Fastmoss 500'!N:N),0)</f>
        <v>0</v>
      </c>
      <c r="L121" s="21" t="s">
        <v>2528</v>
      </c>
      <c r="M121" s="21" t="str">
        <f>IF(L121="Shp 500","Sim",IF(ISNA(_xlfn.XLOOKUP(C121,'Shp 500'!D:D,'Shp 500'!D:D)),"Não","Sim"))</f>
        <v>Sim</v>
      </c>
      <c r="N121" s="21" t="str">
        <f>IF(L121="Fastmoss 500","Sim",IF(ISNA(_xlfn.XLOOKUP(_xlfn.XLOOKUP(C121,'Same Seller Hist'!E:E,'Same Seller Hist'!H:H),'Fastmoss 500'!D:D,'Fastmoss 500'!D:D)),"Não","Sim"))</f>
        <v>Não</v>
      </c>
      <c r="O121" s="21" t="str">
        <f t="shared" si="3"/>
        <v>Não</v>
      </c>
      <c r="P121" s="21" t="str">
        <f t="shared" si="4"/>
        <v>Sim</v>
      </c>
      <c r="Q121" s="21">
        <f t="shared" si="5"/>
        <v>1</v>
      </c>
    </row>
    <row r="122" spans="3:17" x14ac:dyDescent="0.35">
      <c r="C122" s="5">
        <v>660511511</v>
      </c>
      <c r="D122" s="5" t="s">
        <v>1666</v>
      </c>
      <c r="E122" s="5">
        <f>_xlfn.XLOOKUP(C122,'Same Seller Hist'!E:E,'Same Seller Hist'!I:I)</f>
        <v>7.49618387273472E+18</v>
      </c>
      <c r="F122" s="5" t="str">
        <f>_xlfn.XLOOKUP(C122,'Same Seller Hist'!E:E,'Same Seller Hist'!H:H)</f>
        <v>Atacado Vencedor</v>
      </c>
      <c r="G122" s="5" t="s">
        <v>905</v>
      </c>
      <c r="H122" s="19">
        <v>882.74193548386779</v>
      </c>
      <c r="I122" s="19">
        <v>7099.6946179955812</v>
      </c>
      <c r="J122" s="19">
        <f>_xlfn.IFNA(_xlfn.XLOOKUP(F122,'Fastmoss 500'!D:D,'Fastmoss 500'!O:O),0)</f>
        <v>0</v>
      </c>
      <c r="K122" s="19">
        <f>_xlfn.IFNA(_xlfn.XLOOKUP(F122,'Fastmoss 500'!D:D,'Fastmoss 500'!N:N),0)</f>
        <v>0</v>
      </c>
      <c r="L122" s="21" t="s">
        <v>2528</v>
      </c>
      <c r="M122" s="21" t="str">
        <f>IF(L122="Shp 500","Sim",IF(ISNA(_xlfn.XLOOKUP(C122,'Shp 500'!D:D,'Shp 500'!D:D)),"Não","Sim"))</f>
        <v>Sim</v>
      </c>
      <c r="N122" s="21" t="str">
        <f>IF(L122="Fastmoss 500","Sim",IF(ISNA(_xlfn.XLOOKUP(_xlfn.XLOOKUP(C122,'Same Seller Hist'!E:E,'Same Seller Hist'!H:H),'Fastmoss 500'!D:D,'Fastmoss 500'!D:D)),"Não","Sim"))</f>
        <v>Não</v>
      </c>
      <c r="O122" s="21" t="str">
        <f t="shared" si="3"/>
        <v>Não</v>
      </c>
      <c r="P122" s="21" t="str">
        <f t="shared" si="4"/>
        <v>Sim</v>
      </c>
      <c r="Q122" s="21">
        <f t="shared" si="5"/>
        <v>1</v>
      </c>
    </row>
    <row r="123" spans="3:17" x14ac:dyDescent="0.35">
      <c r="C123" s="5">
        <v>512962451</v>
      </c>
      <c r="D123" s="5" t="s">
        <v>1320</v>
      </c>
      <c r="E123" s="5">
        <f>_xlfn.XLOOKUP(C123,'Same Seller Hist'!E:E,'Same Seller Hist'!I:I)</f>
        <v>7.4941319986122895E+18</v>
      </c>
      <c r="F123" s="5" t="str">
        <f>_xlfn.XLOOKUP(C123,'Same Seller Hist'!E:E,'Same Seller Hist'!H:H)</f>
        <v>ANS Grupo</v>
      </c>
      <c r="G123" s="5" t="s">
        <v>906</v>
      </c>
      <c r="H123" s="19">
        <v>2575.4193548387098</v>
      </c>
      <c r="I123" s="19">
        <v>9109.7456837035497</v>
      </c>
      <c r="J123" s="19">
        <f>_xlfn.IFNA(_xlfn.XLOOKUP(F123,'Fastmoss 500'!D:D,'Fastmoss 500'!O:O),0)</f>
        <v>751.61290322580646</v>
      </c>
      <c r="K123" s="19">
        <f>_xlfn.IFNA(_xlfn.XLOOKUP(F123,'Fastmoss 500'!D:D,'Fastmoss 500'!N:N),0)</f>
        <v>9748.3870967741932</v>
      </c>
      <c r="L123" s="21" t="s">
        <v>2528</v>
      </c>
      <c r="M123" s="21" t="str">
        <f>IF(L123="Shp 500","Sim",IF(ISNA(_xlfn.XLOOKUP(C123,'Shp 500'!D:D,'Shp 500'!D:D)),"Não","Sim"))</f>
        <v>Sim</v>
      </c>
      <c r="N123" s="21" t="str">
        <f>IF(L123="Fastmoss 500","Sim",IF(ISNA(_xlfn.XLOOKUP(_xlfn.XLOOKUP(C123,'Same Seller Hist'!E:E,'Same Seller Hist'!H:H),'Fastmoss 500'!D:D,'Fastmoss 500'!D:D)),"Não","Sim"))</f>
        <v>Sim</v>
      </c>
      <c r="O123" s="21" t="str">
        <f t="shared" si="3"/>
        <v>Sim</v>
      </c>
      <c r="P123" s="21" t="str">
        <f t="shared" si="4"/>
        <v>Não</v>
      </c>
      <c r="Q123" s="21">
        <f t="shared" si="5"/>
        <v>1</v>
      </c>
    </row>
    <row r="124" spans="3:17" x14ac:dyDescent="0.35">
      <c r="C124" s="5">
        <v>508218945</v>
      </c>
      <c r="D124" s="5" t="s">
        <v>1673</v>
      </c>
      <c r="E124" s="5">
        <f>_xlfn.XLOOKUP(C124,'Same Seller Hist'!E:E,'Same Seller Hist'!I:I)</f>
        <v>7.4961828865769103E+18</v>
      </c>
      <c r="F124" s="5" t="str">
        <f>_xlfn.XLOOKUP(C124,'Same Seller Hist'!E:E,'Same Seller Hist'!H:H)</f>
        <v>ARCO IRIS MODA</v>
      </c>
      <c r="G124" s="5" t="s">
        <v>1734</v>
      </c>
      <c r="H124" s="19">
        <v>873.99999999999682</v>
      </c>
      <c r="I124" s="19">
        <v>6364.3530598000316</v>
      </c>
      <c r="J124" s="19">
        <f>_xlfn.IFNA(_xlfn.XLOOKUP(F124,'Fastmoss 500'!D:D,'Fastmoss 500'!O:O),0)</f>
        <v>0</v>
      </c>
      <c r="K124" s="19">
        <f>_xlfn.IFNA(_xlfn.XLOOKUP(F124,'Fastmoss 500'!D:D,'Fastmoss 500'!N:N),0)</f>
        <v>0</v>
      </c>
      <c r="L124" s="21" t="s">
        <v>2528</v>
      </c>
      <c r="M124" s="21" t="str">
        <f>IF(L124="Shp 500","Sim",IF(ISNA(_xlfn.XLOOKUP(C124,'Shp 500'!D:D,'Shp 500'!D:D)),"Não","Sim"))</f>
        <v>Sim</v>
      </c>
      <c r="N124" s="21" t="str">
        <f>IF(L124="Fastmoss 500","Sim",IF(ISNA(_xlfn.XLOOKUP(_xlfn.XLOOKUP(C124,'Same Seller Hist'!E:E,'Same Seller Hist'!H:H),'Fastmoss 500'!D:D,'Fastmoss 500'!D:D)),"Não","Sim"))</f>
        <v>Não</v>
      </c>
      <c r="O124" s="21" t="str">
        <f t="shared" si="3"/>
        <v>Não</v>
      </c>
      <c r="P124" s="21" t="str">
        <f t="shared" si="4"/>
        <v>Sim</v>
      </c>
      <c r="Q124" s="21">
        <f t="shared" si="5"/>
        <v>1</v>
      </c>
    </row>
    <row r="125" spans="3:17" x14ac:dyDescent="0.35">
      <c r="C125" s="5">
        <v>1197145594</v>
      </c>
      <c r="D125" s="5" t="s">
        <v>1676</v>
      </c>
      <c r="E125" s="5">
        <f>_xlfn.XLOOKUP(C125,'Same Seller Hist'!E:E,'Same Seller Hist'!I:I)</f>
        <v>7.4942489534707405E+18</v>
      </c>
      <c r="F125" s="5" t="str">
        <f>_xlfn.XLOOKUP(C125,'Same Seller Hist'!E:E,'Same Seller Hist'!H:H)</f>
        <v>Hagra Agricola Comércio</v>
      </c>
      <c r="G125" s="5" t="s">
        <v>905</v>
      </c>
      <c r="H125" s="19">
        <v>870.67741935483559</v>
      </c>
      <c r="I125" s="19">
        <v>9973.5144597804192</v>
      </c>
      <c r="J125" s="19">
        <f>_xlfn.IFNA(_xlfn.XLOOKUP(F125,'Fastmoss 500'!D:D,'Fastmoss 500'!O:O),0)</f>
        <v>0</v>
      </c>
      <c r="K125" s="19">
        <f>_xlfn.IFNA(_xlfn.XLOOKUP(F125,'Fastmoss 500'!D:D,'Fastmoss 500'!N:N),0)</f>
        <v>0</v>
      </c>
      <c r="L125" s="21" t="s">
        <v>2528</v>
      </c>
      <c r="M125" s="21" t="str">
        <f>IF(L125="Shp 500","Sim",IF(ISNA(_xlfn.XLOOKUP(C125,'Shp 500'!D:D,'Shp 500'!D:D)),"Não","Sim"))</f>
        <v>Sim</v>
      </c>
      <c r="N125" s="21" t="str">
        <f>IF(L125="Fastmoss 500","Sim",IF(ISNA(_xlfn.XLOOKUP(_xlfn.XLOOKUP(C125,'Same Seller Hist'!E:E,'Same Seller Hist'!H:H),'Fastmoss 500'!D:D,'Fastmoss 500'!D:D)),"Não","Sim"))</f>
        <v>Não</v>
      </c>
      <c r="O125" s="21" t="str">
        <f t="shared" si="3"/>
        <v>Não</v>
      </c>
      <c r="P125" s="21" t="str">
        <f t="shared" si="4"/>
        <v>Sim</v>
      </c>
      <c r="Q125" s="21">
        <f t="shared" si="5"/>
        <v>1</v>
      </c>
    </row>
    <row r="126" spans="3:17" x14ac:dyDescent="0.35">
      <c r="C126" s="5">
        <v>739972532</v>
      </c>
      <c r="D126" s="5" t="s">
        <v>691</v>
      </c>
      <c r="E126" s="5">
        <f>_xlfn.XLOOKUP(C126,'Same Seller Hist'!E:E,'Same Seller Hist'!I:I)</f>
        <v>7.49618013493713E+18</v>
      </c>
      <c r="F126" s="5" t="str">
        <f>_xlfn.XLOOKUP(C126,'Same Seller Hist'!E:E,'Same Seller Hist'!H:H)</f>
        <v>BBQalegre</v>
      </c>
      <c r="G126" s="5" t="s">
        <v>903</v>
      </c>
      <c r="H126" s="19">
        <v>869.12903225806451</v>
      </c>
      <c r="I126" s="19">
        <v>4704.2194050862909</v>
      </c>
      <c r="J126" s="19">
        <f>_xlfn.IFNA(_xlfn.XLOOKUP(F126,'Fastmoss 500'!D:D,'Fastmoss 500'!O:O),0)</f>
        <v>0</v>
      </c>
      <c r="K126" s="19">
        <f>_xlfn.IFNA(_xlfn.XLOOKUP(F126,'Fastmoss 500'!D:D,'Fastmoss 500'!N:N),0)</f>
        <v>0</v>
      </c>
      <c r="L126" s="21" t="s">
        <v>2528</v>
      </c>
      <c r="M126" s="21" t="str">
        <f>IF(L126="Shp 500","Sim",IF(ISNA(_xlfn.XLOOKUP(C126,'Shp 500'!D:D,'Shp 500'!D:D)),"Não","Sim"))</f>
        <v>Sim</v>
      </c>
      <c r="N126" s="21" t="str">
        <f>IF(L126="Fastmoss 500","Sim",IF(ISNA(_xlfn.XLOOKUP(_xlfn.XLOOKUP(C126,'Same Seller Hist'!E:E,'Same Seller Hist'!H:H),'Fastmoss 500'!D:D,'Fastmoss 500'!D:D)),"Não","Sim"))</f>
        <v>Não</v>
      </c>
      <c r="O126" s="21" t="str">
        <f t="shared" si="3"/>
        <v>Não</v>
      </c>
      <c r="P126" s="21" t="str">
        <f t="shared" si="4"/>
        <v>Sim</v>
      </c>
      <c r="Q126" s="21">
        <f t="shared" si="5"/>
        <v>1</v>
      </c>
    </row>
    <row r="127" spans="3:17" x14ac:dyDescent="0.35">
      <c r="C127" s="5">
        <v>821115255</v>
      </c>
      <c r="D127" s="5" t="s">
        <v>1679</v>
      </c>
      <c r="E127" s="5">
        <f>_xlfn.XLOOKUP(C127,'Same Seller Hist'!E:E,'Same Seller Hist'!I:I)</f>
        <v>7.4962029460321403E+18</v>
      </c>
      <c r="F127" s="5" t="str">
        <f>_xlfn.XLOOKUP(C127,'Same Seller Hist'!E:E,'Same Seller Hist'!H:H)</f>
        <v>MEUCHECKOUT</v>
      </c>
      <c r="G127" s="5" t="s">
        <v>906</v>
      </c>
      <c r="H127" s="19">
        <v>867.12903225806451</v>
      </c>
      <c r="I127" s="19">
        <v>4182.7564152970326</v>
      </c>
      <c r="J127" s="19">
        <f>_xlfn.IFNA(_xlfn.XLOOKUP(F127,'Fastmoss 500'!D:D,'Fastmoss 500'!O:O),0)</f>
        <v>0</v>
      </c>
      <c r="K127" s="19">
        <f>_xlfn.IFNA(_xlfn.XLOOKUP(F127,'Fastmoss 500'!D:D,'Fastmoss 500'!N:N),0)</f>
        <v>0</v>
      </c>
      <c r="L127" s="21" t="s">
        <v>2528</v>
      </c>
      <c r="M127" s="21" t="str">
        <f>IF(L127="Shp 500","Sim",IF(ISNA(_xlfn.XLOOKUP(C127,'Shp 500'!D:D,'Shp 500'!D:D)),"Não","Sim"))</f>
        <v>Sim</v>
      </c>
      <c r="N127" s="21" t="str">
        <f>IF(L127="Fastmoss 500","Sim",IF(ISNA(_xlfn.XLOOKUP(_xlfn.XLOOKUP(C127,'Same Seller Hist'!E:E,'Same Seller Hist'!H:H),'Fastmoss 500'!D:D,'Fastmoss 500'!D:D)),"Não","Sim"))</f>
        <v>Não</v>
      </c>
      <c r="O127" s="21" t="str">
        <f t="shared" si="3"/>
        <v>Não</v>
      </c>
      <c r="P127" s="21" t="str">
        <f t="shared" si="4"/>
        <v>Sim</v>
      </c>
      <c r="Q127" s="21">
        <f t="shared" si="5"/>
        <v>1</v>
      </c>
    </row>
    <row r="128" spans="3:17" x14ac:dyDescent="0.35">
      <c r="C128" s="5">
        <v>542974007</v>
      </c>
      <c r="D128" s="5" t="s">
        <v>1298</v>
      </c>
      <c r="E128" s="5">
        <f>_xlfn.XLOOKUP(C128,'Same Seller Hist'!E:E,'Same Seller Hist'!I:I)</f>
        <v>7.4961608419157903E+18</v>
      </c>
      <c r="F128" s="5" t="str">
        <f>_xlfn.XLOOKUP(C128,'Same Seller Hist'!E:E,'Same Seller Hist'!H:H)</f>
        <v>Globilia Casa DIY</v>
      </c>
      <c r="G128" s="5" t="s">
        <v>1734</v>
      </c>
      <c r="H128" s="19">
        <v>3238.8064516129034</v>
      </c>
      <c r="I128" s="19">
        <v>45253.596244435488</v>
      </c>
      <c r="J128" s="19">
        <f>_xlfn.IFNA(_xlfn.XLOOKUP(F128,'Fastmoss 500'!D:D,'Fastmoss 500'!O:O),0)</f>
        <v>238.70967741935485</v>
      </c>
      <c r="K128" s="19">
        <f>_xlfn.IFNA(_xlfn.XLOOKUP(F128,'Fastmoss 500'!D:D,'Fastmoss 500'!N:N),0)</f>
        <v>11838.709677419354</v>
      </c>
      <c r="L128" s="21" t="s">
        <v>2528</v>
      </c>
      <c r="M128" s="21" t="str">
        <f>IF(L128="Shp 500","Sim",IF(ISNA(_xlfn.XLOOKUP(C128,'Shp 500'!D:D,'Shp 500'!D:D)),"Não","Sim"))</f>
        <v>Sim</v>
      </c>
      <c r="N128" s="21" t="str">
        <f>IF(L128="Fastmoss 500","Sim",IF(ISNA(_xlfn.XLOOKUP(_xlfn.XLOOKUP(C128,'Same Seller Hist'!E:E,'Same Seller Hist'!H:H),'Fastmoss 500'!D:D,'Fastmoss 500'!D:D)),"Não","Sim"))</f>
        <v>Sim</v>
      </c>
      <c r="O128" s="21" t="str">
        <f t="shared" si="3"/>
        <v>Sim</v>
      </c>
      <c r="P128" s="21" t="str">
        <f t="shared" si="4"/>
        <v>Sim</v>
      </c>
      <c r="Q128" s="21">
        <f t="shared" si="5"/>
        <v>1</v>
      </c>
    </row>
    <row r="129" spans="3:17" x14ac:dyDescent="0.35">
      <c r="C129" s="5">
        <v>293435711</v>
      </c>
      <c r="D129" s="5" t="s">
        <v>1684</v>
      </c>
      <c r="E129" s="5">
        <f>_xlfn.XLOOKUP(C129,'Same Seller Hist'!E:E,'Same Seller Hist'!I:I)</f>
        <v>7.4961820802946499E+18</v>
      </c>
      <c r="F129" s="5" t="str">
        <f>_xlfn.XLOOKUP(C129,'Same Seller Hist'!E:E,'Same Seller Hist'!H:H)</f>
        <v>ONTIMEBR</v>
      </c>
      <c r="G129" s="5" t="s">
        <v>1734</v>
      </c>
      <c r="H129" s="19">
        <v>860.41935483870964</v>
      </c>
      <c r="I129" s="19">
        <v>3502.6126926498387</v>
      </c>
      <c r="J129" s="19">
        <f>_xlfn.IFNA(_xlfn.XLOOKUP(F129,'Fastmoss 500'!D:D,'Fastmoss 500'!O:O),0)</f>
        <v>0</v>
      </c>
      <c r="K129" s="19">
        <f>_xlfn.IFNA(_xlfn.XLOOKUP(F129,'Fastmoss 500'!D:D,'Fastmoss 500'!N:N),0)</f>
        <v>0</v>
      </c>
      <c r="L129" s="21" t="s">
        <v>2528</v>
      </c>
      <c r="M129" s="21" t="str">
        <f>IF(L129="Shp 500","Sim",IF(ISNA(_xlfn.XLOOKUP(C129,'Shp 500'!D:D,'Shp 500'!D:D)),"Não","Sim"))</f>
        <v>Sim</v>
      </c>
      <c r="N129" s="21" t="str">
        <f>IF(L129="Fastmoss 500","Sim",IF(ISNA(_xlfn.XLOOKUP(_xlfn.XLOOKUP(C129,'Same Seller Hist'!E:E,'Same Seller Hist'!H:H),'Fastmoss 500'!D:D,'Fastmoss 500'!D:D)),"Não","Sim"))</f>
        <v>Não</v>
      </c>
      <c r="O129" s="21" t="str">
        <f t="shared" si="3"/>
        <v>Não</v>
      </c>
      <c r="P129" s="21" t="str">
        <f t="shared" si="4"/>
        <v>Sim</v>
      </c>
      <c r="Q129" s="21">
        <f t="shared" si="5"/>
        <v>1</v>
      </c>
    </row>
    <row r="130" spans="3:17" x14ac:dyDescent="0.35">
      <c r="C130" s="5">
        <v>419809235</v>
      </c>
      <c r="D130" s="5" t="s">
        <v>557</v>
      </c>
      <c r="E130" s="5">
        <f>_xlfn.XLOOKUP(C130,'Same Seller Hist'!E:E,'Same Seller Hist'!I:I)</f>
        <v>7.4962090497122304E+18</v>
      </c>
      <c r="F130" s="5" t="str">
        <f>_xlfn.XLOOKUP(C130,'Same Seller Hist'!E:E,'Same Seller Hist'!H:H)</f>
        <v>Monamor Cosméticos</v>
      </c>
      <c r="G130" s="5" t="s">
        <v>906</v>
      </c>
      <c r="H130" s="19">
        <v>855.51612903225805</v>
      </c>
      <c r="I130" s="19">
        <v>3433.4911004828709</v>
      </c>
      <c r="J130" s="19">
        <f>_xlfn.IFNA(_xlfn.XLOOKUP(F130,'Fastmoss 500'!D:D,'Fastmoss 500'!O:O),0)</f>
        <v>0</v>
      </c>
      <c r="K130" s="19">
        <f>_xlfn.IFNA(_xlfn.XLOOKUP(F130,'Fastmoss 500'!D:D,'Fastmoss 500'!N:N),0)</f>
        <v>0</v>
      </c>
      <c r="L130" s="21" t="s">
        <v>2528</v>
      </c>
      <c r="M130" s="21" t="str">
        <f>IF(L130="Shp 500","Sim",IF(ISNA(_xlfn.XLOOKUP(C130,'Shp 500'!D:D,'Shp 500'!D:D)),"Não","Sim"))</f>
        <v>Sim</v>
      </c>
      <c r="N130" s="21" t="str">
        <f>IF(L130="Fastmoss 500","Sim",IF(ISNA(_xlfn.XLOOKUP(_xlfn.XLOOKUP(C130,'Same Seller Hist'!E:E,'Same Seller Hist'!H:H),'Fastmoss 500'!D:D,'Fastmoss 500'!D:D)),"Não","Sim"))</f>
        <v>Não</v>
      </c>
      <c r="O130" s="21" t="str">
        <f t="shared" si="3"/>
        <v>Não</v>
      </c>
      <c r="P130" s="21" t="str">
        <f t="shared" si="4"/>
        <v>Sim</v>
      </c>
      <c r="Q130" s="21">
        <f t="shared" si="5"/>
        <v>1</v>
      </c>
    </row>
    <row r="131" spans="3:17" x14ac:dyDescent="0.35">
      <c r="C131" s="5">
        <v>1082769865</v>
      </c>
      <c r="D131" s="5" t="s">
        <v>105</v>
      </c>
      <c r="E131" s="5">
        <f>_xlfn.XLOOKUP(C131,'Same Seller Hist'!E:E,'Same Seller Hist'!I:I)</f>
        <v>7.4961797415698104E+18</v>
      </c>
      <c r="F131" s="5" t="str">
        <f>_xlfn.XLOOKUP(C131,'Same Seller Hist'!E:E,'Same Seller Hist'!H:H)</f>
        <v>Casa do Condi</v>
      </c>
      <c r="G131" s="5" t="s">
        <v>906</v>
      </c>
      <c r="H131" s="19">
        <v>848.80645161290317</v>
      </c>
      <c r="I131" s="19">
        <v>1867.9941158927743</v>
      </c>
      <c r="J131" s="19">
        <f>_xlfn.IFNA(_xlfn.XLOOKUP(F131,'Fastmoss 500'!D:D,'Fastmoss 500'!O:O),0)</f>
        <v>0</v>
      </c>
      <c r="K131" s="19">
        <f>_xlfn.IFNA(_xlfn.XLOOKUP(F131,'Fastmoss 500'!D:D,'Fastmoss 500'!N:N),0)</f>
        <v>0</v>
      </c>
      <c r="L131" s="21" t="s">
        <v>2528</v>
      </c>
      <c r="M131" s="21" t="str">
        <f>IF(L131="Shp 500","Sim",IF(ISNA(_xlfn.XLOOKUP(C131,'Shp 500'!D:D,'Shp 500'!D:D)),"Não","Sim"))</f>
        <v>Sim</v>
      </c>
      <c r="N131" s="21" t="str">
        <f>IF(L131="Fastmoss 500","Sim",IF(ISNA(_xlfn.XLOOKUP(_xlfn.XLOOKUP(C131,'Same Seller Hist'!E:E,'Same Seller Hist'!H:H),'Fastmoss 500'!D:D,'Fastmoss 500'!D:D)),"Não","Sim"))</f>
        <v>Não</v>
      </c>
      <c r="O131" s="21" t="str">
        <f t="shared" si="3"/>
        <v>Não</v>
      </c>
      <c r="P131" s="21" t="str">
        <f t="shared" si="4"/>
        <v>Sim</v>
      </c>
      <c r="Q131" s="21">
        <f t="shared" si="5"/>
        <v>1</v>
      </c>
    </row>
    <row r="132" spans="3:17" x14ac:dyDescent="0.35">
      <c r="C132" s="5">
        <v>379659209</v>
      </c>
      <c r="D132" s="5" t="s">
        <v>496</v>
      </c>
      <c r="E132" s="5">
        <f>_xlfn.XLOOKUP(C132,'Same Seller Hist'!E:E,'Same Seller Hist'!I:I)</f>
        <v>7.4961853594266798E+18</v>
      </c>
      <c r="F132" s="5" t="str">
        <f>_xlfn.XLOOKUP(C132,'Same Seller Hist'!E:E,'Same Seller Hist'!H:H)</f>
        <v>magiaworld</v>
      </c>
      <c r="G132" s="5" t="s">
        <v>1734</v>
      </c>
      <c r="H132" s="19">
        <v>847.45161290322585</v>
      </c>
      <c r="I132" s="19">
        <v>8976.2438886699019</v>
      </c>
      <c r="J132" s="19">
        <f>_xlfn.IFNA(_xlfn.XLOOKUP(F132,'Fastmoss 500'!D:D,'Fastmoss 500'!O:O),0)</f>
        <v>0</v>
      </c>
      <c r="K132" s="19">
        <f>_xlfn.IFNA(_xlfn.XLOOKUP(F132,'Fastmoss 500'!D:D,'Fastmoss 500'!N:N),0)</f>
        <v>0</v>
      </c>
      <c r="L132" s="21" t="s">
        <v>2528</v>
      </c>
      <c r="M132" s="21" t="str">
        <f>IF(L132="Shp 500","Sim",IF(ISNA(_xlfn.XLOOKUP(C132,'Shp 500'!D:D,'Shp 500'!D:D)),"Não","Sim"))</f>
        <v>Sim</v>
      </c>
      <c r="N132" s="21" t="str">
        <f>IF(L132="Fastmoss 500","Sim",IF(ISNA(_xlfn.XLOOKUP(_xlfn.XLOOKUP(C132,'Same Seller Hist'!E:E,'Same Seller Hist'!H:H),'Fastmoss 500'!D:D,'Fastmoss 500'!D:D)),"Não","Sim"))</f>
        <v>Não</v>
      </c>
      <c r="O132" s="21" t="str">
        <f t="shared" si="3"/>
        <v>Não</v>
      </c>
      <c r="P132" s="21" t="str">
        <f t="shared" si="4"/>
        <v>Sim</v>
      </c>
      <c r="Q132" s="21">
        <f t="shared" si="5"/>
        <v>1</v>
      </c>
    </row>
    <row r="133" spans="3:17" x14ac:dyDescent="0.35">
      <c r="C133" s="5">
        <v>357239640</v>
      </c>
      <c r="D133" s="5" t="s">
        <v>1692</v>
      </c>
      <c r="E133" s="5">
        <f>_xlfn.XLOOKUP(C133,'Same Seller Hist'!E:E,'Same Seller Hist'!I:I)</f>
        <v>7.4961633473773199E+18</v>
      </c>
      <c r="F133" s="5" t="str">
        <f>_xlfn.XLOOKUP(C133,'Same Seller Hist'!E:E,'Same Seller Hist'!H:H)</f>
        <v>Palacio das Ferramentas</v>
      </c>
      <c r="G133" s="5" t="s">
        <v>905</v>
      </c>
      <c r="H133" s="19">
        <v>847.32258064515815</v>
      </c>
      <c r="I133" s="19">
        <v>44762.956080963551</v>
      </c>
      <c r="J133" s="19">
        <f>_xlfn.IFNA(_xlfn.XLOOKUP(F133,'Fastmoss 500'!D:D,'Fastmoss 500'!O:O),0)</f>
        <v>0</v>
      </c>
      <c r="K133" s="19">
        <f>_xlfn.IFNA(_xlfn.XLOOKUP(F133,'Fastmoss 500'!D:D,'Fastmoss 500'!N:N),0)</f>
        <v>0</v>
      </c>
      <c r="L133" s="21" t="s">
        <v>2528</v>
      </c>
      <c r="M133" s="21" t="str">
        <f>IF(L133="Shp 500","Sim",IF(ISNA(_xlfn.XLOOKUP(C133,'Shp 500'!D:D,'Shp 500'!D:D)),"Não","Sim"))</f>
        <v>Sim</v>
      </c>
      <c r="N133" s="21" t="str">
        <f>IF(L133="Fastmoss 500","Sim",IF(ISNA(_xlfn.XLOOKUP(_xlfn.XLOOKUP(C133,'Same Seller Hist'!E:E,'Same Seller Hist'!H:H),'Fastmoss 500'!D:D,'Fastmoss 500'!D:D)),"Não","Sim"))</f>
        <v>Não</v>
      </c>
      <c r="O133" s="21" t="str">
        <f t="shared" si="3"/>
        <v>Não</v>
      </c>
      <c r="P133" s="21" t="str">
        <f t="shared" si="4"/>
        <v>Sim</v>
      </c>
      <c r="Q133" s="21">
        <f t="shared" si="5"/>
        <v>1</v>
      </c>
    </row>
    <row r="134" spans="3:17" x14ac:dyDescent="0.35">
      <c r="C134" s="5">
        <v>1051446617</v>
      </c>
      <c r="D134" s="5" t="s">
        <v>1702</v>
      </c>
      <c r="E134" s="5">
        <f>_xlfn.XLOOKUP(C134,'Same Seller Hist'!E:E,'Same Seller Hist'!I:I)</f>
        <v>7.4962494715944305E+18</v>
      </c>
      <c r="F134" s="5" t="str">
        <f>_xlfn.XLOOKUP(C134,'Same Seller Hist'!E:E,'Same Seller Hist'!H:H)</f>
        <v>TUDAO TECH</v>
      </c>
      <c r="G134" s="5" t="s">
        <v>904</v>
      </c>
      <c r="H134" s="19">
        <v>838.74193548386779</v>
      </c>
      <c r="I134" s="19">
        <v>23305.009355469032</v>
      </c>
      <c r="J134" s="19">
        <f>_xlfn.IFNA(_xlfn.XLOOKUP(F134,'Fastmoss 500'!D:D,'Fastmoss 500'!O:O),0)</f>
        <v>0</v>
      </c>
      <c r="K134" s="19">
        <f>_xlfn.IFNA(_xlfn.XLOOKUP(F134,'Fastmoss 500'!D:D,'Fastmoss 500'!N:N),0)</f>
        <v>0</v>
      </c>
      <c r="L134" s="21" t="s">
        <v>2528</v>
      </c>
      <c r="M134" s="21" t="str">
        <f>IF(L134="Shp 500","Sim",IF(ISNA(_xlfn.XLOOKUP(C134,'Shp 500'!D:D,'Shp 500'!D:D)),"Não","Sim"))</f>
        <v>Sim</v>
      </c>
      <c r="N134" s="21" t="str">
        <f>IF(L134="Fastmoss 500","Sim",IF(ISNA(_xlfn.XLOOKUP(_xlfn.XLOOKUP(C134,'Same Seller Hist'!E:E,'Same Seller Hist'!H:H),'Fastmoss 500'!D:D,'Fastmoss 500'!D:D)),"Não","Sim"))</f>
        <v>Não</v>
      </c>
      <c r="O134" s="21" t="str">
        <f t="shared" si="3"/>
        <v>Não</v>
      </c>
      <c r="P134" s="21" t="str">
        <f t="shared" si="4"/>
        <v>Sim</v>
      </c>
      <c r="Q134" s="21">
        <f t="shared" si="5"/>
        <v>1</v>
      </c>
    </row>
    <row r="135" spans="3:17" x14ac:dyDescent="0.35">
      <c r="C135" s="5">
        <v>1384073074</v>
      </c>
      <c r="D135" s="5" t="s">
        <v>1703</v>
      </c>
      <c r="E135" s="5">
        <f>_xlfn.XLOOKUP(C135,'Same Seller Hist'!E:E,'Same Seller Hist'!I:I)</f>
        <v>7.4961853615757404E+18</v>
      </c>
      <c r="F135" s="5" t="str">
        <f>_xlfn.XLOOKUP(C135,'Same Seller Hist'!E:E,'Same Seller Hist'!H:H)</f>
        <v>Moda Monkey Shop</v>
      </c>
      <c r="G135" s="5" t="s">
        <v>905</v>
      </c>
      <c r="H135" s="19">
        <v>838.19354838709364</v>
      </c>
      <c r="I135" s="19">
        <v>4431.4608237685807</v>
      </c>
      <c r="J135" s="19">
        <f>_xlfn.IFNA(_xlfn.XLOOKUP(F135,'Fastmoss 500'!D:D,'Fastmoss 500'!O:O),0)</f>
        <v>0</v>
      </c>
      <c r="K135" s="19">
        <f>_xlfn.IFNA(_xlfn.XLOOKUP(F135,'Fastmoss 500'!D:D,'Fastmoss 500'!N:N),0)</f>
        <v>0</v>
      </c>
      <c r="L135" s="21" t="s">
        <v>2528</v>
      </c>
      <c r="M135" s="21" t="str">
        <f>IF(L135="Shp 500","Sim",IF(ISNA(_xlfn.XLOOKUP(C135,'Shp 500'!D:D,'Shp 500'!D:D)),"Não","Sim"))</f>
        <v>Sim</v>
      </c>
      <c r="N135" s="21" t="str">
        <f>IF(L135="Fastmoss 500","Sim",IF(ISNA(_xlfn.XLOOKUP(_xlfn.XLOOKUP(C135,'Same Seller Hist'!E:E,'Same Seller Hist'!H:H),'Fastmoss 500'!D:D,'Fastmoss 500'!D:D)),"Não","Sim"))</f>
        <v>Não</v>
      </c>
      <c r="O135" s="21" t="str">
        <f t="shared" si="3"/>
        <v>Não</v>
      </c>
      <c r="P135" s="21" t="str">
        <f t="shared" si="4"/>
        <v>Sim</v>
      </c>
      <c r="Q135" s="21">
        <f t="shared" si="5"/>
        <v>1</v>
      </c>
    </row>
    <row r="136" spans="3:17" x14ac:dyDescent="0.35">
      <c r="C136" s="5">
        <v>1179613076</v>
      </c>
      <c r="D136" s="5" t="s">
        <v>1704</v>
      </c>
      <c r="E136" s="5">
        <f>_xlfn.XLOOKUP(C136,'Same Seller Hist'!E:E,'Same Seller Hist'!I:I)</f>
        <v>7.4956779437686395E+18</v>
      </c>
      <c r="F136" s="5" t="str">
        <f>_xlfn.XLOOKUP(C136,'Same Seller Hist'!E:E,'Same Seller Hist'!H:H)</f>
        <v>Karseell Original</v>
      </c>
      <c r="G136" s="5" t="s">
        <v>906</v>
      </c>
      <c r="H136" s="19">
        <v>837.09677419354841</v>
      </c>
      <c r="I136" s="19">
        <v>5052.5614943945484</v>
      </c>
      <c r="J136" s="19">
        <f>_xlfn.IFNA(_xlfn.XLOOKUP(F136,'Fastmoss 500'!D:D,'Fastmoss 500'!O:O),0)</f>
        <v>0</v>
      </c>
      <c r="K136" s="19">
        <f>_xlfn.IFNA(_xlfn.XLOOKUP(F136,'Fastmoss 500'!D:D,'Fastmoss 500'!N:N),0)</f>
        <v>0</v>
      </c>
      <c r="L136" s="21" t="s">
        <v>2528</v>
      </c>
      <c r="M136" s="21" t="str">
        <f>IF(L136="Shp 500","Sim",IF(ISNA(_xlfn.XLOOKUP(C136,'Shp 500'!D:D,'Shp 500'!D:D)),"Não","Sim"))</f>
        <v>Sim</v>
      </c>
      <c r="N136" s="21" t="str">
        <f>IF(L136="Fastmoss 500","Sim",IF(ISNA(_xlfn.XLOOKUP(_xlfn.XLOOKUP(C136,'Same Seller Hist'!E:E,'Same Seller Hist'!H:H),'Fastmoss 500'!D:D,'Fastmoss 500'!D:D)),"Não","Sim"))</f>
        <v>Não</v>
      </c>
      <c r="O136" s="21" t="str">
        <f t="shared" ref="O136:O199" si="6">IF(AND(M136="Sim",N136="Sim"),"Sim","Não")</f>
        <v>Não</v>
      </c>
      <c r="P136" s="21" t="str">
        <f t="shared" ref="P136:P199" si="7">IF(I136&gt;K136,"Sim","Não")</f>
        <v>Sim</v>
      </c>
      <c r="Q136" s="21">
        <f t="shared" ref="Q136:Q199" si="8">COUNTIFS(C:C,C136)</f>
        <v>1</v>
      </c>
    </row>
    <row r="137" spans="3:17" x14ac:dyDescent="0.35">
      <c r="C137" s="5">
        <v>1175741090</v>
      </c>
      <c r="D137" s="5" t="s">
        <v>1710</v>
      </c>
      <c r="E137" s="5">
        <f>_xlfn.XLOOKUP(C137,'Same Seller Hist'!E:E,'Same Seller Hist'!I:I)</f>
        <v>7.4961784007143199E+18</v>
      </c>
      <c r="F137" s="5" t="str">
        <f>_xlfn.XLOOKUP(C137,'Same Seller Hist'!E:E,'Same Seller Hist'!H:H)</f>
        <v>CenterSport Br</v>
      </c>
      <c r="G137" s="5" t="s">
        <v>903</v>
      </c>
      <c r="H137" s="19">
        <v>830.67741935483559</v>
      </c>
      <c r="I137" s="19">
        <v>11695.328712684322</v>
      </c>
      <c r="J137" s="19">
        <f>_xlfn.IFNA(_xlfn.XLOOKUP(F137,'Fastmoss 500'!D:D,'Fastmoss 500'!O:O),0)</f>
        <v>0</v>
      </c>
      <c r="K137" s="19">
        <f>_xlfn.IFNA(_xlfn.XLOOKUP(F137,'Fastmoss 500'!D:D,'Fastmoss 500'!N:N),0)</f>
        <v>0</v>
      </c>
      <c r="L137" s="21" t="s">
        <v>2528</v>
      </c>
      <c r="M137" s="21" t="str">
        <f>IF(L137="Shp 500","Sim",IF(ISNA(_xlfn.XLOOKUP(C137,'Shp 500'!D:D,'Shp 500'!D:D)),"Não","Sim"))</f>
        <v>Sim</v>
      </c>
      <c r="N137" s="21" t="str">
        <f>IF(L137="Fastmoss 500","Sim",IF(ISNA(_xlfn.XLOOKUP(_xlfn.XLOOKUP(C137,'Same Seller Hist'!E:E,'Same Seller Hist'!H:H),'Fastmoss 500'!D:D,'Fastmoss 500'!D:D)),"Não","Sim"))</f>
        <v>Não</v>
      </c>
      <c r="O137" s="21" t="str">
        <f t="shared" si="6"/>
        <v>Não</v>
      </c>
      <c r="P137" s="21" t="str">
        <f t="shared" si="7"/>
        <v>Sim</v>
      </c>
      <c r="Q137" s="21">
        <f t="shared" si="8"/>
        <v>1</v>
      </c>
    </row>
    <row r="138" spans="3:17" x14ac:dyDescent="0.35">
      <c r="C138" s="5">
        <v>408128510</v>
      </c>
      <c r="D138" s="5" t="s">
        <v>1719</v>
      </c>
      <c r="E138" s="5">
        <f>_xlfn.XLOOKUP(C138,'Same Seller Hist'!E:E,'Same Seller Hist'!I:I)</f>
        <v>7.49619801657485E+18</v>
      </c>
      <c r="F138" s="5" t="str">
        <f>_xlfn.XLOOKUP(C138,'Same Seller Hist'!E:E,'Same Seller Hist'!H:H)</f>
        <v>Comercial Vipasa Distribuidora</v>
      </c>
      <c r="G138" s="5" t="s">
        <v>905</v>
      </c>
      <c r="H138" s="19">
        <v>824.99999999999682</v>
      </c>
      <c r="I138" s="19">
        <v>5630.9086839394522</v>
      </c>
      <c r="J138" s="19">
        <f>_xlfn.IFNA(_xlfn.XLOOKUP(F138,'Fastmoss 500'!D:D,'Fastmoss 500'!O:O),0)</f>
        <v>0</v>
      </c>
      <c r="K138" s="19">
        <f>_xlfn.IFNA(_xlfn.XLOOKUP(F138,'Fastmoss 500'!D:D,'Fastmoss 500'!N:N),0)</f>
        <v>0</v>
      </c>
      <c r="L138" s="21" t="s">
        <v>2528</v>
      </c>
      <c r="M138" s="21" t="str">
        <f>IF(L138="Shp 500","Sim",IF(ISNA(_xlfn.XLOOKUP(C138,'Shp 500'!D:D,'Shp 500'!D:D)),"Não","Sim"))</f>
        <v>Sim</v>
      </c>
      <c r="N138" s="21" t="str">
        <f>IF(L138="Fastmoss 500","Sim",IF(ISNA(_xlfn.XLOOKUP(_xlfn.XLOOKUP(C138,'Same Seller Hist'!E:E,'Same Seller Hist'!H:H),'Fastmoss 500'!D:D,'Fastmoss 500'!D:D)),"Não","Sim"))</f>
        <v>Não</v>
      </c>
      <c r="O138" s="21" t="str">
        <f t="shared" si="6"/>
        <v>Não</v>
      </c>
      <c r="P138" s="21" t="str">
        <f t="shared" si="7"/>
        <v>Sim</v>
      </c>
      <c r="Q138" s="21">
        <f t="shared" si="8"/>
        <v>1</v>
      </c>
    </row>
    <row r="139" spans="3:17" x14ac:dyDescent="0.35">
      <c r="C139" s="5">
        <v>1265443235</v>
      </c>
      <c r="D139" s="5" t="s">
        <v>1721</v>
      </c>
      <c r="E139" s="5">
        <f>_xlfn.XLOOKUP(C139,'Same Seller Hist'!E:E,'Same Seller Hist'!I:I)</f>
        <v>7.4961867000717896E+18</v>
      </c>
      <c r="F139" s="5" t="str">
        <f>_xlfn.XLOOKUP(C139,'Same Seller Hist'!E:E,'Same Seller Hist'!H:H)</f>
        <v>fullpower imports</v>
      </c>
      <c r="G139" s="5" t="s">
        <v>1734</v>
      </c>
      <c r="H139" s="19">
        <v>824.03225806451292</v>
      </c>
      <c r="I139" s="19">
        <v>5291.1490431131615</v>
      </c>
      <c r="J139" s="19">
        <f>_xlfn.IFNA(_xlfn.XLOOKUP(F139,'Fastmoss 500'!D:D,'Fastmoss 500'!O:O),0)</f>
        <v>0</v>
      </c>
      <c r="K139" s="19">
        <f>_xlfn.IFNA(_xlfn.XLOOKUP(F139,'Fastmoss 500'!D:D,'Fastmoss 500'!N:N),0)</f>
        <v>0</v>
      </c>
      <c r="L139" s="21" t="s">
        <v>2528</v>
      </c>
      <c r="M139" s="21" t="str">
        <f>IF(L139="Shp 500","Sim",IF(ISNA(_xlfn.XLOOKUP(C139,'Shp 500'!D:D,'Shp 500'!D:D)),"Não","Sim"))</f>
        <v>Sim</v>
      </c>
      <c r="N139" s="21" t="str">
        <f>IF(L139="Fastmoss 500","Sim",IF(ISNA(_xlfn.XLOOKUP(_xlfn.XLOOKUP(C139,'Same Seller Hist'!E:E,'Same Seller Hist'!H:H),'Fastmoss 500'!D:D,'Fastmoss 500'!D:D)),"Não","Sim"))</f>
        <v>Não</v>
      </c>
      <c r="O139" s="21" t="str">
        <f t="shared" si="6"/>
        <v>Não</v>
      </c>
      <c r="P139" s="21" t="str">
        <f t="shared" si="7"/>
        <v>Sim</v>
      </c>
      <c r="Q139" s="21">
        <f t="shared" si="8"/>
        <v>1</v>
      </c>
    </row>
    <row r="140" spans="3:17" x14ac:dyDescent="0.35">
      <c r="C140" s="5">
        <v>324536294</v>
      </c>
      <c r="D140" s="5" t="s">
        <v>1728</v>
      </c>
      <c r="E140" s="5">
        <f>_xlfn.XLOOKUP(C140,'Same Seller Hist'!E:E,'Same Seller Hist'!I:I)</f>
        <v>7.4961604248691999E+18</v>
      </c>
      <c r="F140" s="5" t="str">
        <f>_xlfn.XLOOKUP(C140,'Same Seller Hist'!E:E,'Same Seller Hist'!H:H)</f>
        <v>Krokodilus</v>
      </c>
      <c r="G140" s="5" t="s">
        <v>903</v>
      </c>
      <c r="H140" s="19">
        <v>819.80645161290317</v>
      </c>
      <c r="I140" s="19">
        <v>15741.057627335065</v>
      </c>
      <c r="J140" s="19">
        <f>_xlfn.IFNA(_xlfn.XLOOKUP(F140,'Fastmoss 500'!D:D,'Fastmoss 500'!O:O),0)</f>
        <v>0</v>
      </c>
      <c r="K140" s="19">
        <f>_xlfn.IFNA(_xlfn.XLOOKUP(F140,'Fastmoss 500'!D:D,'Fastmoss 500'!N:N),0)</f>
        <v>0</v>
      </c>
      <c r="L140" s="21" t="s">
        <v>2528</v>
      </c>
      <c r="M140" s="21" t="str">
        <f>IF(L140="Shp 500","Sim",IF(ISNA(_xlfn.XLOOKUP(C140,'Shp 500'!D:D,'Shp 500'!D:D)),"Não","Sim"))</f>
        <v>Sim</v>
      </c>
      <c r="N140" s="21" t="str">
        <f>IF(L140="Fastmoss 500","Sim",IF(ISNA(_xlfn.XLOOKUP(_xlfn.XLOOKUP(C140,'Same Seller Hist'!E:E,'Same Seller Hist'!H:H),'Fastmoss 500'!D:D,'Fastmoss 500'!D:D)),"Não","Sim"))</f>
        <v>Não</v>
      </c>
      <c r="O140" s="21" t="str">
        <f t="shared" si="6"/>
        <v>Não</v>
      </c>
      <c r="P140" s="21" t="str">
        <f t="shared" si="7"/>
        <v>Sim</v>
      </c>
      <c r="Q140" s="21">
        <f t="shared" si="8"/>
        <v>1</v>
      </c>
    </row>
    <row r="141" spans="3:17" x14ac:dyDescent="0.35">
      <c r="C141" s="5">
        <f>_xlfn.XLOOKUP(F141,'Same Seller Hist'!H:H,'Same Seller Hist'!E:E)</f>
        <v>1543591764</v>
      </c>
      <c r="D141" s="5" t="str">
        <f>_xlfn.XLOOKUP(F141,'Same Seller Hist'!H:H,'Same Seller Hist'!D:D)</f>
        <v>Always Fit Suplementos</v>
      </c>
      <c r="E141" s="5">
        <f>_xlfn.XLOOKUP(F141,'Same Seller Hist'!H:H,'Same Seller Hist'!I:I)</f>
        <v>7.4962163949034803E+18</v>
      </c>
      <c r="F141" s="5" t="s">
        <v>310</v>
      </c>
      <c r="G141" s="5" t="str">
        <f>_xlfn.XLOOKUP(C141,'Same Seller Hist'!E:E,'Same Seller Hist'!F:F)</f>
        <v>FMCG</v>
      </c>
      <c r="H141" s="19">
        <f>_xlfn.IFNA(_xlfn.XLOOKUP(C141,'Shp 500'!D:D,'Shp 500'!I:I),0)</f>
        <v>0</v>
      </c>
      <c r="I141" s="19">
        <f>_xlfn.IFNA(_xlfn.XLOOKUP(C141,'Shp 500'!D:D,'Shp 500'!J:J),0)</f>
        <v>0</v>
      </c>
      <c r="J141" s="19">
        <v>5883.8709677419356</v>
      </c>
      <c r="K141" s="19">
        <v>303225.80645161291</v>
      </c>
      <c r="L141" s="21" t="s">
        <v>2530</v>
      </c>
      <c r="M141" s="21" t="str">
        <f>IF(L141="Shp 500","Sim",IF(ISNA(_xlfn.XLOOKUP(C141,'Shp 500'!D:D,'Shp 500'!D:D)),"Não","Sim"))</f>
        <v>Não</v>
      </c>
      <c r="N141" s="21" t="str">
        <f>IF(L141="Fastmoss 500","Sim",IF(ISNA(_xlfn.XLOOKUP(_xlfn.XLOOKUP(C141,'Same Seller Hist'!E:E,'Same Seller Hist'!H:H),'Fastmoss 500'!D:D,'Fastmoss 500'!D:D)),"Não","Sim"))</f>
        <v>Sim</v>
      </c>
      <c r="O141" s="21" t="str">
        <f t="shared" si="6"/>
        <v>Não</v>
      </c>
      <c r="P141" s="21" t="str">
        <f t="shared" si="7"/>
        <v>Não</v>
      </c>
      <c r="Q141" s="21">
        <f t="shared" si="8"/>
        <v>1</v>
      </c>
    </row>
    <row r="142" spans="3:17" x14ac:dyDescent="0.35">
      <c r="C142" s="5">
        <v>616222685</v>
      </c>
      <c r="D142" s="5" t="s">
        <v>651</v>
      </c>
      <c r="E142" s="5">
        <f>_xlfn.XLOOKUP(C142,'Same Seller Hist'!E:E,'Same Seller Hist'!I:I)</f>
        <v>7.4961530302271601E+18</v>
      </c>
      <c r="F142" s="5" t="str">
        <f>_xlfn.XLOOKUP(C142,'Same Seller Hist'!E:E,'Same Seller Hist'!H:H)</f>
        <v>Salon Line</v>
      </c>
      <c r="G142" s="5" t="s">
        <v>906</v>
      </c>
      <c r="H142" s="19">
        <v>5865.1935483870648</v>
      </c>
      <c r="I142" s="19">
        <v>37595.713625974196</v>
      </c>
      <c r="J142" s="19">
        <f>_xlfn.IFNA(_xlfn.XLOOKUP(F142,'Fastmoss 500'!D:D,'Fastmoss 500'!O:O),0)</f>
        <v>541.93548387096769</v>
      </c>
      <c r="K142" s="19">
        <f>_xlfn.IFNA(_xlfn.XLOOKUP(F142,'Fastmoss 500'!D:D,'Fastmoss 500'!N:N),0)</f>
        <v>21870.967741935485</v>
      </c>
      <c r="L142" s="21" t="s">
        <v>2528</v>
      </c>
      <c r="M142" s="21" t="str">
        <f>IF(L142="Shp 500","Sim",IF(ISNA(_xlfn.XLOOKUP(C142,'Shp 500'!D:D,'Shp 500'!D:D)),"Não","Sim"))</f>
        <v>Sim</v>
      </c>
      <c r="N142" s="21" t="str">
        <f>IF(L142="Fastmoss 500","Sim",IF(ISNA(_xlfn.XLOOKUP(_xlfn.XLOOKUP(C142,'Same Seller Hist'!E:E,'Same Seller Hist'!H:H),'Fastmoss 500'!D:D,'Fastmoss 500'!D:D)),"Não","Sim"))</f>
        <v>Sim</v>
      </c>
      <c r="O142" s="21" t="str">
        <f t="shared" si="6"/>
        <v>Sim</v>
      </c>
      <c r="P142" s="21" t="str">
        <f t="shared" si="7"/>
        <v>Sim</v>
      </c>
      <c r="Q142" s="21">
        <f t="shared" si="8"/>
        <v>1</v>
      </c>
    </row>
    <row r="143" spans="3:17" x14ac:dyDescent="0.35">
      <c r="C143" s="5">
        <f>_xlfn.XLOOKUP(F143,'Same Seller Hist'!H:H,'Same Seller Hist'!E:E)</f>
        <v>906473022</v>
      </c>
      <c r="D143" s="5" t="str">
        <f>_xlfn.XLOOKUP(F143,'Same Seller Hist'!H:H,'Same Seller Hist'!D:D)</f>
        <v>LUNA SHOP_BRASIL</v>
      </c>
      <c r="E143" s="5">
        <f>_xlfn.XLOOKUP(F143,'Same Seller Hist'!H:H,'Same Seller Hist'!I:I)</f>
        <v>7.4941341788754002E+18</v>
      </c>
      <c r="F143" s="5" t="s">
        <v>793</v>
      </c>
      <c r="G143" s="5" t="str">
        <f>_xlfn.XLOOKUP(C143,'Same Seller Hist'!E:E,'Same Seller Hist'!F:F)</f>
        <v>FMCG</v>
      </c>
      <c r="H143" s="19">
        <f>_xlfn.IFNA(_xlfn.XLOOKUP(C143,'Shp 500'!D:D,'Shp 500'!I:I),0)</f>
        <v>0</v>
      </c>
      <c r="I143" s="19">
        <f>_xlfn.IFNA(_xlfn.XLOOKUP(C143,'Shp 500'!D:D,'Shp 500'!J:J),0)</f>
        <v>0</v>
      </c>
      <c r="J143" s="19">
        <v>3293.5483870967741</v>
      </c>
      <c r="K143" s="19">
        <v>93548.387096774197</v>
      </c>
      <c r="L143" s="21" t="s">
        <v>2530</v>
      </c>
      <c r="M143" s="21" t="str">
        <f>IF(L143="Shp 500","Sim",IF(ISNA(_xlfn.XLOOKUP(C143,'Shp 500'!D:D,'Shp 500'!D:D)),"Não","Sim"))</f>
        <v>Não</v>
      </c>
      <c r="N143" s="21" t="str">
        <f>IF(L143="Fastmoss 500","Sim",IF(ISNA(_xlfn.XLOOKUP(_xlfn.XLOOKUP(C143,'Same Seller Hist'!E:E,'Same Seller Hist'!H:H),'Fastmoss 500'!D:D,'Fastmoss 500'!D:D)),"Não","Sim"))</f>
        <v>Sim</v>
      </c>
      <c r="O143" s="21" t="str">
        <f t="shared" si="6"/>
        <v>Não</v>
      </c>
      <c r="P143" s="21" t="str">
        <f t="shared" si="7"/>
        <v>Não</v>
      </c>
      <c r="Q143" s="21">
        <f t="shared" si="8"/>
        <v>1</v>
      </c>
    </row>
    <row r="144" spans="3:17" x14ac:dyDescent="0.35">
      <c r="C144" s="5">
        <f>_xlfn.XLOOKUP(F144,'Same Seller Hist'!H:H,'Same Seller Hist'!E:E)</f>
        <v>1103632656</v>
      </c>
      <c r="D144" s="5" t="str">
        <f>_xlfn.XLOOKUP(F144,'Same Seller Hist'!H:H,'Same Seller Hist'!D:D)</f>
        <v>Express.Loja</v>
      </c>
      <c r="E144" s="5">
        <f>_xlfn.XLOOKUP(F144,'Same Seller Hist'!H:H,'Same Seller Hist'!I:I)</f>
        <v>7.4961635847704105E+18</v>
      </c>
      <c r="F144" s="5" t="s">
        <v>115</v>
      </c>
      <c r="G144" s="5" t="str">
        <f>_xlfn.XLOOKUP(C144,'Same Seller Hist'!E:E,'Same Seller Hist'!F:F)</f>
        <v>Lifestyle</v>
      </c>
      <c r="H144" s="19">
        <f>_xlfn.IFNA(_xlfn.XLOOKUP(C144,'Shp 500'!D:D,'Shp 500'!I:I),0)</f>
        <v>0</v>
      </c>
      <c r="I144" s="19">
        <f>_xlfn.IFNA(_xlfn.XLOOKUP(C144,'Shp 500'!D:D,'Shp 500'!J:J),0)</f>
        <v>0</v>
      </c>
      <c r="J144" s="19">
        <v>2551.6129032258063</v>
      </c>
      <c r="K144" s="19">
        <v>41935.483870967742</v>
      </c>
      <c r="L144" s="21" t="s">
        <v>2530</v>
      </c>
      <c r="M144" s="21" t="str">
        <f>IF(L144="Shp 500","Sim",IF(ISNA(_xlfn.XLOOKUP(C144,'Shp 500'!D:D,'Shp 500'!D:D)),"Não","Sim"))</f>
        <v>Não</v>
      </c>
      <c r="N144" s="21" t="str">
        <f>IF(L144="Fastmoss 500","Sim",IF(ISNA(_xlfn.XLOOKUP(_xlfn.XLOOKUP(C144,'Same Seller Hist'!E:E,'Same Seller Hist'!H:H),'Fastmoss 500'!D:D,'Fastmoss 500'!D:D)),"Não","Sim"))</f>
        <v>Sim</v>
      </c>
      <c r="O144" s="21" t="str">
        <f t="shared" si="6"/>
        <v>Não</v>
      </c>
      <c r="P144" s="21" t="str">
        <f t="shared" si="7"/>
        <v>Não</v>
      </c>
      <c r="Q144" s="21">
        <f t="shared" si="8"/>
        <v>1</v>
      </c>
    </row>
    <row r="145" spans="3:17" x14ac:dyDescent="0.35">
      <c r="C145" s="5">
        <f>_xlfn.XLOOKUP(F145,'Same Seller Hist'!H:H,'Same Seller Hist'!E:E)</f>
        <v>1579330222</v>
      </c>
      <c r="D145" s="5" t="str">
        <f>_xlfn.XLOOKUP(F145,'Same Seller Hist'!H:H,'Same Seller Hist'!D:D)</f>
        <v>Barbour's Beauty</v>
      </c>
      <c r="E145" s="5">
        <f>_xlfn.XLOOKUP(F145,'Same Seller Hist'!H:H,'Same Seller Hist'!I:I)</f>
        <v>7.4962632432273603E+18</v>
      </c>
      <c r="F145" s="5" t="s">
        <v>331</v>
      </c>
      <c r="G145" s="5" t="str">
        <f>_xlfn.XLOOKUP(C145,'Same Seller Hist'!E:E,'Same Seller Hist'!F:F)</f>
        <v>FMCG</v>
      </c>
      <c r="H145" s="19">
        <f>_xlfn.IFNA(_xlfn.XLOOKUP(C145,'Shp 500'!D:D,'Shp 500'!I:I),0)</f>
        <v>0</v>
      </c>
      <c r="I145" s="19">
        <f>_xlfn.IFNA(_xlfn.XLOOKUP(C145,'Shp 500'!D:D,'Shp 500'!J:J),0)</f>
        <v>0</v>
      </c>
      <c r="J145" s="19">
        <v>2038.7096774193549</v>
      </c>
      <c r="K145" s="19">
        <v>112903.22580645161</v>
      </c>
      <c r="L145" s="21" t="s">
        <v>2530</v>
      </c>
      <c r="M145" s="21" t="str">
        <f>IF(L145="Shp 500","Sim",IF(ISNA(_xlfn.XLOOKUP(C145,'Shp 500'!D:D,'Shp 500'!D:D)),"Não","Sim"))</f>
        <v>Não</v>
      </c>
      <c r="N145" s="21" t="str">
        <f>IF(L145="Fastmoss 500","Sim",IF(ISNA(_xlfn.XLOOKUP(_xlfn.XLOOKUP(C145,'Same Seller Hist'!E:E,'Same Seller Hist'!H:H),'Fastmoss 500'!D:D,'Fastmoss 500'!D:D)),"Não","Sim"))</f>
        <v>Sim</v>
      </c>
      <c r="O145" s="21" t="str">
        <f t="shared" si="6"/>
        <v>Não</v>
      </c>
      <c r="P145" s="21" t="str">
        <f t="shared" si="7"/>
        <v>Não</v>
      </c>
      <c r="Q145" s="21">
        <f t="shared" si="8"/>
        <v>1</v>
      </c>
    </row>
    <row r="146" spans="3:17" x14ac:dyDescent="0.35">
      <c r="C146" s="5">
        <f>_xlfn.XLOOKUP(F146,'Same Seller Hist'!H:H,'Same Seller Hist'!E:E)</f>
        <v>443076516</v>
      </c>
      <c r="D146" s="5" t="str">
        <f>_xlfn.XLOOKUP(F146,'Same Seller Hist'!H:H,'Same Seller Hist'!D:D)</f>
        <v>Bodyaction</v>
      </c>
      <c r="E146" s="5">
        <f>_xlfn.XLOOKUP(F146,'Same Seller Hist'!H:H,'Same Seller Hist'!I:I)</f>
        <v>7.4961818080165499E+18</v>
      </c>
      <c r="F146" s="5" t="s">
        <v>577</v>
      </c>
      <c r="G146" s="5" t="str">
        <f>_xlfn.XLOOKUP(C146,'Same Seller Hist'!E:E,'Same Seller Hist'!F:F)</f>
        <v>FMCG</v>
      </c>
      <c r="H146" s="19">
        <f>_xlfn.IFNA(_xlfn.XLOOKUP(C146,'Shp 500'!D:D,'Shp 500'!I:I),0)</f>
        <v>0</v>
      </c>
      <c r="I146" s="19">
        <f>_xlfn.IFNA(_xlfn.XLOOKUP(C146,'Shp 500'!D:D,'Shp 500'!J:J),0)</f>
        <v>0</v>
      </c>
      <c r="J146" s="19">
        <v>1958.0645161290322</v>
      </c>
      <c r="K146" s="19">
        <v>174193.54838709679</v>
      </c>
      <c r="L146" s="21" t="s">
        <v>2530</v>
      </c>
      <c r="M146" s="21" t="str">
        <f>IF(L146="Shp 500","Sim",IF(ISNA(_xlfn.XLOOKUP(C146,'Shp 500'!D:D,'Shp 500'!D:D)),"Não","Sim"))</f>
        <v>Não</v>
      </c>
      <c r="N146" s="21" t="str">
        <f>IF(L146="Fastmoss 500","Sim",IF(ISNA(_xlfn.XLOOKUP(_xlfn.XLOOKUP(C146,'Same Seller Hist'!E:E,'Same Seller Hist'!H:H),'Fastmoss 500'!D:D,'Fastmoss 500'!D:D)),"Não","Sim"))</f>
        <v>Sim</v>
      </c>
      <c r="O146" s="21" t="str">
        <f t="shared" si="6"/>
        <v>Não</v>
      </c>
      <c r="P146" s="21" t="str">
        <f t="shared" si="7"/>
        <v>Não</v>
      </c>
      <c r="Q146" s="21">
        <f t="shared" si="8"/>
        <v>1</v>
      </c>
    </row>
    <row r="147" spans="3:17" x14ac:dyDescent="0.35">
      <c r="C147" s="5">
        <v>627750190</v>
      </c>
      <c r="D147" s="5" t="s">
        <v>653</v>
      </c>
      <c r="E147" s="5">
        <f>_xlfn.XLOOKUP(C147,'Same Seller Hist'!E:E,'Same Seller Hist'!I:I)</f>
        <v>7.4961686446628198E+18</v>
      </c>
      <c r="F147" s="5" t="str">
        <f>_xlfn.XLOOKUP(C147,'Same Seller Hist'!E:E,'Same Seller Hist'!H:H)</f>
        <v>Pichau</v>
      </c>
      <c r="G147" s="5" t="s">
        <v>904</v>
      </c>
      <c r="H147" s="19">
        <v>2017.2903225806419</v>
      </c>
      <c r="I147" s="19">
        <v>75626.787096293221</v>
      </c>
      <c r="J147" s="19">
        <f>_xlfn.IFNA(_xlfn.XLOOKUP(F147,'Fastmoss 500'!D:D,'Fastmoss 500'!O:O),0)</f>
        <v>203.2258064516129</v>
      </c>
      <c r="K147" s="19">
        <f>_xlfn.IFNA(_xlfn.XLOOKUP(F147,'Fastmoss 500'!D:D,'Fastmoss 500'!N:N),0)</f>
        <v>22596.774193548386</v>
      </c>
      <c r="L147" s="21" t="s">
        <v>2528</v>
      </c>
      <c r="M147" s="21" t="str">
        <f>IF(L147="Shp 500","Sim",IF(ISNA(_xlfn.XLOOKUP(C147,'Shp 500'!D:D,'Shp 500'!D:D)),"Não","Sim"))</f>
        <v>Sim</v>
      </c>
      <c r="N147" s="21" t="str">
        <f>IF(L147="Fastmoss 500","Sim",IF(ISNA(_xlfn.XLOOKUP(_xlfn.XLOOKUP(C147,'Same Seller Hist'!E:E,'Same Seller Hist'!H:H),'Fastmoss 500'!D:D,'Fastmoss 500'!D:D)),"Não","Sim"))</f>
        <v>Sim</v>
      </c>
      <c r="O147" s="21" t="str">
        <f t="shared" si="6"/>
        <v>Sim</v>
      </c>
      <c r="P147" s="21" t="str">
        <f t="shared" si="7"/>
        <v>Sim</v>
      </c>
      <c r="Q147" s="21">
        <f t="shared" si="8"/>
        <v>1</v>
      </c>
    </row>
    <row r="148" spans="3:17" x14ac:dyDescent="0.35">
      <c r="C148" s="5">
        <v>676651970</v>
      </c>
      <c r="D148" s="5" t="s">
        <v>671</v>
      </c>
      <c r="E148" s="5">
        <f>_xlfn.XLOOKUP(C148,'Same Seller Hist'!E:E,'Same Seller Hist'!I:I)</f>
        <v>0</v>
      </c>
      <c r="F148" s="5">
        <f>_xlfn.XLOOKUP(C148,'Same Seller Hist'!E:E,'Same Seller Hist'!H:H)</f>
        <v>0</v>
      </c>
      <c r="G148" s="5" t="s">
        <v>1734</v>
      </c>
      <c r="H148" s="19">
        <v>1106.9354838709644</v>
      </c>
      <c r="I148" s="19">
        <v>9876.2253615082918</v>
      </c>
      <c r="J148" s="19">
        <f>_xlfn.IFNA(_xlfn.XLOOKUP(F148,'Fastmoss 500'!D:D,'Fastmoss 500'!O:O),0)</f>
        <v>0</v>
      </c>
      <c r="K148" s="19">
        <f>_xlfn.IFNA(_xlfn.XLOOKUP(F148,'Fastmoss 500'!D:D,'Fastmoss 500'!N:N),0)</f>
        <v>0</v>
      </c>
      <c r="L148" s="21" t="s">
        <v>2528</v>
      </c>
      <c r="M148" s="21" t="str">
        <f>IF(L148="Shp 500","Sim",IF(ISNA(_xlfn.XLOOKUP(C148,'Shp 500'!D:D,'Shp 500'!D:D)),"Não","Sim"))</f>
        <v>Sim</v>
      </c>
      <c r="N148" s="21" t="str">
        <f>IF(L148="Fastmoss 500","Sim",IF(ISNA(_xlfn.XLOOKUP(_xlfn.XLOOKUP(C148,'Same Seller Hist'!E:E,'Same Seller Hist'!H:H),'Fastmoss 500'!D:D,'Fastmoss 500'!D:D)),"Não","Sim"))</f>
        <v>Sim</v>
      </c>
      <c r="O148" s="21" t="str">
        <f t="shared" si="6"/>
        <v>Sim</v>
      </c>
      <c r="P148" s="21" t="str">
        <f t="shared" si="7"/>
        <v>Sim</v>
      </c>
      <c r="Q148" s="21">
        <f t="shared" si="8"/>
        <v>1</v>
      </c>
    </row>
    <row r="149" spans="3:17" x14ac:dyDescent="0.35">
      <c r="C149" s="5">
        <f>_xlfn.XLOOKUP(F149,'Same Seller Hist'!H:H,'Same Seller Hist'!E:E)</f>
        <v>805674361</v>
      </c>
      <c r="D149" s="5" t="str">
        <f>_xlfn.XLOOKUP(F149,'Same Seller Hist'!H:H,'Same Seller Hist'!D:D)</f>
        <v>Danny Enxovais</v>
      </c>
      <c r="E149" s="5">
        <f>_xlfn.XLOOKUP(F149,'Same Seller Hist'!H:H,'Same Seller Hist'!I:I)</f>
        <v>7.4961820153285499E+18</v>
      </c>
      <c r="F149" s="5" t="s">
        <v>712</v>
      </c>
      <c r="G149" s="5" t="str">
        <f>_xlfn.XLOOKUP(C149,'Same Seller Hist'!E:E,'Same Seller Hist'!F:F)</f>
        <v>Lifestyle</v>
      </c>
      <c r="H149" s="19">
        <f>_xlfn.IFNA(_xlfn.XLOOKUP(C149,'Shp 500'!D:D,'Shp 500'!I:I),0)</f>
        <v>0</v>
      </c>
      <c r="I149" s="19">
        <f>_xlfn.IFNA(_xlfn.XLOOKUP(C149,'Shp 500'!D:D,'Shp 500'!J:J),0)</f>
        <v>0</v>
      </c>
      <c r="J149" s="19">
        <v>1625.8064516129032</v>
      </c>
      <c r="K149" s="19">
        <v>41935.483870967742</v>
      </c>
      <c r="L149" s="21" t="s">
        <v>2530</v>
      </c>
      <c r="M149" s="21" t="str">
        <f>IF(L149="Shp 500","Sim",IF(ISNA(_xlfn.XLOOKUP(C149,'Shp 500'!D:D,'Shp 500'!D:D)),"Não","Sim"))</f>
        <v>Não</v>
      </c>
      <c r="N149" s="21" t="str">
        <f>IF(L149="Fastmoss 500","Sim",IF(ISNA(_xlfn.XLOOKUP(_xlfn.XLOOKUP(C149,'Same Seller Hist'!E:E,'Same Seller Hist'!H:H),'Fastmoss 500'!D:D,'Fastmoss 500'!D:D)),"Não","Sim"))</f>
        <v>Sim</v>
      </c>
      <c r="O149" s="21" t="str">
        <f t="shared" si="6"/>
        <v>Não</v>
      </c>
      <c r="P149" s="21" t="str">
        <f t="shared" si="7"/>
        <v>Não</v>
      </c>
      <c r="Q149" s="21">
        <f t="shared" si="8"/>
        <v>1</v>
      </c>
    </row>
    <row r="150" spans="3:17" x14ac:dyDescent="0.35">
      <c r="C150" s="5">
        <v>681570887</v>
      </c>
      <c r="D150" s="5" t="s">
        <v>673</v>
      </c>
      <c r="E150" s="5">
        <f>_xlfn.XLOOKUP(C150,'Same Seller Hist'!E:E,'Same Seller Hist'!I:I)</f>
        <v>7.4961604653545902E+18</v>
      </c>
      <c r="F150" s="5" t="str">
        <f>_xlfn.XLOOKUP(C150,'Same Seller Hist'!E:E,'Same Seller Hist'!H:H)</f>
        <v>AMOBELEZA</v>
      </c>
      <c r="G150" s="5" t="s">
        <v>906</v>
      </c>
      <c r="H150" s="19">
        <v>1301</v>
      </c>
      <c r="I150" s="19">
        <v>15469.540878621323</v>
      </c>
      <c r="J150" s="19">
        <f>_xlfn.IFNA(_xlfn.XLOOKUP(F150,'Fastmoss 500'!D:D,'Fastmoss 500'!O:O),0)</f>
        <v>332.25806451612902</v>
      </c>
      <c r="K150" s="19">
        <f>_xlfn.IFNA(_xlfn.XLOOKUP(F150,'Fastmoss 500'!D:D,'Fastmoss 500'!N:N),0)</f>
        <v>35483.870967741932</v>
      </c>
      <c r="L150" s="21" t="s">
        <v>2528</v>
      </c>
      <c r="M150" s="21" t="str">
        <f>IF(L150="Shp 500","Sim",IF(ISNA(_xlfn.XLOOKUP(C150,'Shp 500'!D:D,'Shp 500'!D:D)),"Não","Sim"))</f>
        <v>Sim</v>
      </c>
      <c r="N150" s="21" t="str">
        <f>IF(L150="Fastmoss 500","Sim",IF(ISNA(_xlfn.XLOOKUP(_xlfn.XLOOKUP(C150,'Same Seller Hist'!E:E,'Same Seller Hist'!H:H),'Fastmoss 500'!D:D,'Fastmoss 500'!D:D)),"Não","Sim"))</f>
        <v>Sim</v>
      </c>
      <c r="O150" s="21" t="str">
        <f t="shared" si="6"/>
        <v>Sim</v>
      </c>
      <c r="P150" s="21" t="str">
        <f t="shared" si="7"/>
        <v>Não</v>
      </c>
      <c r="Q150" s="21">
        <f t="shared" si="8"/>
        <v>1</v>
      </c>
    </row>
    <row r="151" spans="3:17" x14ac:dyDescent="0.35">
      <c r="C151" s="5">
        <f>_xlfn.XLOOKUP(F151,'Same Seller Hist'!H:H,'Same Seller Hist'!E:E)</f>
        <v>1340867165</v>
      </c>
      <c r="D151" s="5" t="str">
        <f>_xlfn.XLOOKUP(F151,'Same Seller Hist'!H:H,'Same Seller Hist'!D:D)</f>
        <v>LINISO SHOP</v>
      </c>
      <c r="E151" s="5">
        <f>_xlfn.XLOOKUP(F151,'Same Seller Hist'!H:H,'Same Seller Hist'!I:I)</f>
        <v>7.4962125162776801E+18</v>
      </c>
      <c r="F151" s="5" t="s">
        <v>211</v>
      </c>
      <c r="G151" s="5" t="str">
        <f>_xlfn.XLOOKUP(C151,'Same Seller Hist'!E:E,'Same Seller Hist'!F:F)</f>
        <v>Fashion</v>
      </c>
      <c r="H151" s="19">
        <f>_xlfn.IFNA(_xlfn.XLOOKUP(C151,'Shp 500'!D:D,'Shp 500'!I:I),0)</f>
        <v>0</v>
      </c>
      <c r="I151" s="19">
        <f>_xlfn.IFNA(_xlfn.XLOOKUP(C151,'Shp 500'!D:D,'Shp 500'!J:J),0)</f>
        <v>0</v>
      </c>
      <c r="J151" s="19">
        <v>1248.3870967741937</v>
      </c>
      <c r="K151" s="19">
        <v>41935.483870967742</v>
      </c>
      <c r="L151" s="21" t="s">
        <v>2530</v>
      </c>
      <c r="M151" s="21" t="str">
        <f>IF(L151="Shp 500","Sim",IF(ISNA(_xlfn.XLOOKUP(C151,'Shp 500'!D:D,'Shp 500'!D:D)),"Não","Sim"))</f>
        <v>Não</v>
      </c>
      <c r="N151" s="21" t="str">
        <f>IF(L151="Fastmoss 500","Sim",IF(ISNA(_xlfn.XLOOKUP(_xlfn.XLOOKUP(C151,'Same Seller Hist'!E:E,'Same Seller Hist'!H:H),'Fastmoss 500'!D:D,'Fastmoss 500'!D:D)),"Não","Sim"))</f>
        <v>Sim</v>
      </c>
      <c r="O151" s="21" t="str">
        <f t="shared" si="6"/>
        <v>Não</v>
      </c>
      <c r="P151" s="21" t="str">
        <f t="shared" si="7"/>
        <v>Não</v>
      </c>
      <c r="Q151" s="21">
        <f t="shared" si="8"/>
        <v>1</v>
      </c>
    </row>
    <row r="152" spans="3:17" x14ac:dyDescent="0.35">
      <c r="C152" s="5">
        <f>_xlfn.XLOOKUP(F152,'Same Seller Hist'!H:H,'Same Seller Hist'!E:E)</f>
        <v>1504994084</v>
      </c>
      <c r="D152" s="5" t="str">
        <f>_xlfn.XLOOKUP(F152,'Same Seller Hist'!H:H,'Same Seller Hist'!D:D)</f>
        <v>QVida MIX</v>
      </c>
      <c r="E152" s="5">
        <f>_xlfn.XLOOKUP(F152,'Same Seller Hist'!H:H,'Same Seller Hist'!I:I)</f>
        <v>7.4962708127678095E+18</v>
      </c>
      <c r="F152" s="5" t="s">
        <v>291</v>
      </c>
      <c r="G152" s="5" t="str">
        <f>_xlfn.XLOOKUP(C152,'Same Seller Hist'!E:E,'Same Seller Hist'!F:F)</f>
        <v>Fashion</v>
      </c>
      <c r="H152" s="19">
        <f>_xlfn.IFNA(_xlfn.XLOOKUP(C152,'Shp 500'!D:D,'Shp 500'!I:I),0)</f>
        <v>0</v>
      </c>
      <c r="I152" s="19">
        <f>_xlfn.IFNA(_xlfn.XLOOKUP(C152,'Shp 500'!D:D,'Shp 500'!J:J),0)</f>
        <v>0</v>
      </c>
      <c r="J152" s="19">
        <v>1154.8387096774193</v>
      </c>
      <c r="K152" s="19">
        <v>32258.064516129034</v>
      </c>
      <c r="L152" s="21" t="s">
        <v>2530</v>
      </c>
      <c r="M152" s="21" t="str">
        <f>IF(L152="Shp 500","Sim",IF(ISNA(_xlfn.XLOOKUP(C152,'Shp 500'!D:D,'Shp 500'!D:D)),"Não","Sim"))</f>
        <v>Não</v>
      </c>
      <c r="N152" s="21" t="str">
        <f>IF(L152="Fastmoss 500","Sim",IF(ISNA(_xlfn.XLOOKUP(_xlfn.XLOOKUP(C152,'Same Seller Hist'!E:E,'Same Seller Hist'!H:H),'Fastmoss 500'!D:D,'Fastmoss 500'!D:D)),"Não","Sim"))</f>
        <v>Sim</v>
      </c>
      <c r="O152" s="21" t="str">
        <f t="shared" si="6"/>
        <v>Não</v>
      </c>
      <c r="P152" s="21" t="str">
        <f t="shared" si="7"/>
        <v>Não</v>
      </c>
      <c r="Q152" s="21">
        <f t="shared" si="8"/>
        <v>1</v>
      </c>
    </row>
    <row r="153" spans="3:17" x14ac:dyDescent="0.35">
      <c r="C153" s="5">
        <f>_xlfn.XLOOKUP(F153,'Same Seller Hist'!H:H,'Same Seller Hist'!E:E)</f>
        <v>283972864</v>
      </c>
      <c r="D153" s="5" t="str">
        <f>_xlfn.XLOOKUP(F153,'Same Seller Hist'!H:H,'Same Seller Hist'!D:D)</f>
        <v>Moderna e Slim</v>
      </c>
      <c r="E153" s="5">
        <f>_xlfn.XLOOKUP(F153,'Same Seller Hist'!H:H,'Same Seller Hist'!I:I)</f>
        <v>7.4961517910296105E+18</v>
      </c>
      <c r="F153" s="5" t="s">
        <v>367</v>
      </c>
      <c r="G153" s="5" t="str">
        <f>_xlfn.XLOOKUP(C153,'Same Seller Hist'!E:E,'Same Seller Hist'!F:F)</f>
        <v>Fashion</v>
      </c>
      <c r="H153" s="19">
        <f>_xlfn.IFNA(_xlfn.XLOOKUP(C153,'Shp 500'!D:D,'Shp 500'!I:I),0)</f>
        <v>0</v>
      </c>
      <c r="I153" s="19">
        <f>_xlfn.IFNA(_xlfn.XLOOKUP(C153,'Shp 500'!D:D,'Shp 500'!J:J),0)</f>
        <v>0</v>
      </c>
      <c r="J153" s="19">
        <v>1145.1612903225807</v>
      </c>
      <c r="K153" s="19">
        <v>51612.903225806454</v>
      </c>
      <c r="L153" s="21" t="s">
        <v>2530</v>
      </c>
      <c r="M153" s="21" t="str">
        <f>IF(L153="Shp 500","Sim",IF(ISNA(_xlfn.XLOOKUP(C153,'Shp 500'!D:D,'Shp 500'!D:D)),"Não","Sim"))</f>
        <v>Não</v>
      </c>
      <c r="N153" s="21" t="str">
        <f>IF(L153="Fastmoss 500","Sim",IF(ISNA(_xlfn.XLOOKUP(_xlfn.XLOOKUP(C153,'Same Seller Hist'!E:E,'Same Seller Hist'!H:H),'Fastmoss 500'!D:D,'Fastmoss 500'!D:D)),"Não","Sim"))</f>
        <v>Sim</v>
      </c>
      <c r="O153" s="21" t="str">
        <f t="shared" si="6"/>
        <v>Não</v>
      </c>
      <c r="P153" s="21" t="str">
        <f t="shared" si="7"/>
        <v>Não</v>
      </c>
      <c r="Q153" s="21">
        <f t="shared" si="8"/>
        <v>1</v>
      </c>
    </row>
    <row r="154" spans="3:17" x14ac:dyDescent="0.35">
      <c r="C154" s="5">
        <v>717396632</v>
      </c>
      <c r="D154" s="5" t="s">
        <v>1379</v>
      </c>
      <c r="E154" s="5">
        <f>_xlfn.XLOOKUP(C154,'Same Seller Hist'!E:E,'Same Seller Hist'!I:I)</f>
        <v>7.4961531613890796E+18</v>
      </c>
      <c r="F154" s="5" t="str">
        <f>_xlfn.XLOOKUP(C154,'Same Seller Hist'!E:E,'Same Seller Hist'!H:H)</f>
        <v>AnkcoShopTK</v>
      </c>
      <c r="G154" s="5" t="s">
        <v>1734</v>
      </c>
      <c r="H154" s="19">
        <v>1742.4193548387098</v>
      </c>
      <c r="I154" s="19">
        <v>17676.971268432353</v>
      </c>
      <c r="J154" s="19">
        <f>_xlfn.IFNA(_xlfn.XLOOKUP(F154,'Fastmoss 500'!D:D,'Fastmoss 500'!O:O),0)</f>
        <v>258.06451612903226</v>
      </c>
      <c r="K154" s="19">
        <f>_xlfn.IFNA(_xlfn.XLOOKUP(F154,'Fastmoss 500'!D:D,'Fastmoss 500'!N:N),0)</f>
        <v>14974.193548387097</v>
      </c>
      <c r="L154" s="21" t="s">
        <v>2528</v>
      </c>
      <c r="M154" s="21" t="str">
        <f>IF(L154="Shp 500","Sim",IF(ISNA(_xlfn.XLOOKUP(C154,'Shp 500'!D:D,'Shp 500'!D:D)),"Não","Sim"))</f>
        <v>Sim</v>
      </c>
      <c r="N154" s="21" t="str">
        <f>IF(L154="Fastmoss 500","Sim",IF(ISNA(_xlfn.XLOOKUP(_xlfn.XLOOKUP(C154,'Same Seller Hist'!E:E,'Same Seller Hist'!H:H),'Fastmoss 500'!D:D,'Fastmoss 500'!D:D)),"Não","Sim"))</f>
        <v>Sim</v>
      </c>
      <c r="O154" s="21" t="str">
        <f t="shared" si="6"/>
        <v>Sim</v>
      </c>
      <c r="P154" s="21" t="str">
        <f t="shared" si="7"/>
        <v>Sim</v>
      </c>
      <c r="Q154" s="21">
        <f t="shared" si="8"/>
        <v>1</v>
      </c>
    </row>
    <row r="155" spans="3:17" x14ac:dyDescent="0.35">
      <c r="C155" s="5">
        <f>_xlfn.XLOOKUP(F155,'Same Seller Hist'!H:H,'Same Seller Hist'!E:E)</f>
        <v>452872883</v>
      </c>
      <c r="D155" s="5" t="str">
        <f>_xlfn.XLOOKUP(F155,'Same Seller Hist'!H:H,'Same Seller Hist'!D:D)</f>
        <v>TomiMitoo</v>
      </c>
      <c r="E155" s="5">
        <f>_xlfn.XLOOKUP(F155,'Same Seller Hist'!H:H,'Same Seller Hist'!I:I)</f>
        <v>7.4961644820255498E+18</v>
      </c>
      <c r="F155" s="5" t="s">
        <v>583</v>
      </c>
      <c r="G155" s="5" t="str">
        <f>_xlfn.XLOOKUP(C155,'Same Seller Hist'!E:E,'Same Seller Hist'!F:F)</f>
        <v>Fashion</v>
      </c>
      <c r="H155" s="19">
        <f>_xlfn.IFNA(_xlfn.XLOOKUP(C155,'Shp 500'!D:D,'Shp 500'!I:I),0)</f>
        <v>0</v>
      </c>
      <c r="I155" s="19">
        <f>_xlfn.IFNA(_xlfn.XLOOKUP(C155,'Shp 500'!D:D,'Shp 500'!J:J),0)</f>
        <v>0</v>
      </c>
      <c r="J155" s="19">
        <v>1103.2258064516129</v>
      </c>
      <c r="K155" s="19">
        <v>161290.32258064515</v>
      </c>
      <c r="L155" s="21" t="s">
        <v>2530</v>
      </c>
      <c r="M155" s="21" t="str">
        <f>IF(L155="Shp 500","Sim",IF(ISNA(_xlfn.XLOOKUP(C155,'Shp 500'!D:D,'Shp 500'!D:D)),"Não","Sim"))</f>
        <v>Não</v>
      </c>
      <c r="N155" s="21" t="str">
        <f>IF(L155="Fastmoss 500","Sim",IF(ISNA(_xlfn.XLOOKUP(_xlfn.XLOOKUP(C155,'Same Seller Hist'!E:E,'Same Seller Hist'!H:H),'Fastmoss 500'!D:D,'Fastmoss 500'!D:D)),"Não","Sim"))</f>
        <v>Sim</v>
      </c>
      <c r="O155" s="21" t="str">
        <f t="shared" si="6"/>
        <v>Não</v>
      </c>
      <c r="P155" s="21" t="str">
        <f t="shared" si="7"/>
        <v>Não</v>
      </c>
      <c r="Q155" s="21">
        <f t="shared" si="8"/>
        <v>1</v>
      </c>
    </row>
    <row r="156" spans="3:17" x14ac:dyDescent="0.35">
      <c r="C156" s="5">
        <f>_xlfn.XLOOKUP(F156,'Same Seller Hist'!H:H,'Same Seller Hist'!E:E)</f>
        <v>1613760239</v>
      </c>
      <c r="D156" s="5" t="str">
        <f>_xlfn.XLOOKUP(F156,'Same Seller Hist'!H:H,'Same Seller Hist'!D:D)</f>
        <v>SACE LADY BR</v>
      </c>
      <c r="E156" s="5">
        <f>_xlfn.XLOOKUP(F156,'Same Seller Hist'!H:H,'Same Seller Hist'!I:I)</f>
        <v>7.4962591226912102E+18</v>
      </c>
      <c r="F156" s="5" t="s">
        <v>342</v>
      </c>
      <c r="G156" s="5" t="str">
        <f>_xlfn.XLOOKUP(C156,'Same Seller Hist'!E:E,'Same Seller Hist'!F:F)</f>
        <v>FMCG</v>
      </c>
      <c r="H156" s="19">
        <f>_xlfn.IFNA(_xlfn.XLOOKUP(C156,'Shp 500'!D:D,'Shp 500'!I:I),0)</f>
        <v>0</v>
      </c>
      <c r="I156" s="19">
        <f>_xlfn.IFNA(_xlfn.XLOOKUP(C156,'Shp 500'!D:D,'Shp 500'!J:J),0)</f>
        <v>0</v>
      </c>
      <c r="J156" s="19">
        <v>1035.483870967742</v>
      </c>
      <c r="K156" s="19">
        <v>61290.322580645159</v>
      </c>
      <c r="L156" s="21" t="s">
        <v>2530</v>
      </c>
      <c r="M156" s="21" t="str">
        <f>IF(L156="Shp 500","Sim",IF(ISNA(_xlfn.XLOOKUP(C156,'Shp 500'!D:D,'Shp 500'!D:D)),"Não","Sim"))</f>
        <v>Não</v>
      </c>
      <c r="N156" s="21" t="str">
        <f>IF(L156="Fastmoss 500","Sim",IF(ISNA(_xlfn.XLOOKUP(_xlfn.XLOOKUP(C156,'Same Seller Hist'!E:E,'Same Seller Hist'!H:H),'Fastmoss 500'!D:D,'Fastmoss 500'!D:D)),"Não","Sim"))</f>
        <v>Sim</v>
      </c>
      <c r="O156" s="21" t="str">
        <f t="shared" si="6"/>
        <v>Não</v>
      </c>
      <c r="P156" s="21" t="str">
        <f t="shared" si="7"/>
        <v>Não</v>
      </c>
      <c r="Q156" s="21">
        <f t="shared" si="8"/>
        <v>1</v>
      </c>
    </row>
    <row r="157" spans="3:17" x14ac:dyDescent="0.35">
      <c r="C157" s="5">
        <v>728534865</v>
      </c>
      <c r="D157" s="5" t="s">
        <v>1376</v>
      </c>
      <c r="E157" s="5">
        <f>_xlfn.XLOOKUP(C157,'Same Seller Hist'!E:E,'Same Seller Hist'!I:I)</f>
        <v>7.4961616634959903E+18</v>
      </c>
      <c r="F157" s="5" t="str">
        <f>_xlfn.XLOOKUP(C157,'Same Seller Hist'!E:E,'Same Seller Hist'!H:H)</f>
        <v>Feng.s</v>
      </c>
      <c r="G157" s="5" t="s">
        <v>1734</v>
      </c>
      <c r="H157" s="19">
        <v>1769.7419354838678</v>
      </c>
      <c r="I157" s="19">
        <v>8488.8464320345483</v>
      </c>
      <c r="J157" s="19">
        <f>_xlfn.IFNA(_xlfn.XLOOKUP(F157,'Fastmoss 500'!D:D,'Fastmoss 500'!O:O),0)</f>
        <v>745.16129032258061</v>
      </c>
      <c r="K157" s="19">
        <f>_xlfn.IFNA(_xlfn.XLOOKUP(F157,'Fastmoss 500'!D:D,'Fastmoss 500'!N:N),0)</f>
        <v>26819.354838709678</v>
      </c>
      <c r="L157" s="21" t="s">
        <v>2528</v>
      </c>
      <c r="M157" s="21" t="str">
        <f>IF(L157="Shp 500","Sim",IF(ISNA(_xlfn.XLOOKUP(C157,'Shp 500'!D:D,'Shp 500'!D:D)),"Não","Sim"))</f>
        <v>Sim</v>
      </c>
      <c r="N157" s="21" t="str">
        <f>IF(L157="Fastmoss 500","Sim",IF(ISNA(_xlfn.XLOOKUP(_xlfn.XLOOKUP(C157,'Same Seller Hist'!E:E,'Same Seller Hist'!H:H),'Fastmoss 500'!D:D,'Fastmoss 500'!D:D)),"Não","Sim"))</f>
        <v>Sim</v>
      </c>
      <c r="O157" s="21" t="str">
        <f t="shared" si="6"/>
        <v>Sim</v>
      </c>
      <c r="P157" s="21" t="str">
        <f t="shared" si="7"/>
        <v>Não</v>
      </c>
      <c r="Q157" s="21">
        <f t="shared" si="8"/>
        <v>1</v>
      </c>
    </row>
    <row r="158" spans="3:17" x14ac:dyDescent="0.35">
      <c r="C158" s="5">
        <f>_xlfn.XLOOKUP(F158,'Same Seller Hist'!H:H,'Same Seller Hist'!E:E)</f>
        <v>969401129</v>
      </c>
      <c r="D158" s="5" t="str">
        <f>_xlfn.XLOOKUP(F158,'Same Seller Hist'!H:H,'Same Seller Hist'!D:D)</f>
        <v>Pink Urban</v>
      </c>
      <c r="E158" s="5">
        <f>_xlfn.XLOOKUP(F158,'Same Seller Hist'!H:H,'Same Seller Hist'!I:I)</f>
        <v>7.4956253143559997E+18</v>
      </c>
      <c r="F158" s="5" t="s">
        <v>763</v>
      </c>
      <c r="G158" s="5" t="str">
        <f>_xlfn.XLOOKUP(C158,'Same Seller Hist'!E:E,'Same Seller Hist'!F:F)</f>
        <v>Fashion</v>
      </c>
      <c r="H158" s="19">
        <f>_xlfn.IFNA(_xlfn.XLOOKUP(C158,'Shp 500'!D:D,'Shp 500'!I:I),0)</f>
        <v>0</v>
      </c>
      <c r="I158" s="19">
        <f>_xlfn.IFNA(_xlfn.XLOOKUP(C158,'Shp 500'!D:D,'Shp 500'!J:J),0)</f>
        <v>0</v>
      </c>
      <c r="J158" s="19">
        <v>1035.483870967742</v>
      </c>
      <c r="K158" s="19">
        <v>58064.516129032258</v>
      </c>
      <c r="L158" s="21" t="s">
        <v>2530</v>
      </c>
      <c r="M158" s="21" t="str">
        <f>IF(L158="Shp 500","Sim",IF(ISNA(_xlfn.XLOOKUP(C158,'Shp 500'!D:D,'Shp 500'!D:D)),"Não","Sim"))</f>
        <v>Não</v>
      </c>
      <c r="N158" s="21" t="str">
        <f>IF(L158="Fastmoss 500","Sim",IF(ISNA(_xlfn.XLOOKUP(_xlfn.XLOOKUP(C158,'Same Seller Hist'!E:E,'Same Seller Hist'!H:H),'Fastmoss 500'!D:D,'Fastmoss 500'!D:D)),"Não","Sim"))</f>
        <v>Sim</v>
      </c>
      <c r="O158" s="21" t="str">
        <f t="shared" si="6"/>
        <v>Não</v>
      </c>
      <c r="P158" s="21" t="str">
        <f t="shared" si="7"/>
        <v>Não</v>
      </c>
      <c r="Q158" s="21">
        <f t="shared" si="8"/>
        <v>1</v>
      </c>
    </row>
    <row r="159" spans="3:17" x14ac:dyDescent="0.35">
      <c r="C159" s="5">
        <f>_xlfn.XLOOKUP(F159,'Same Seller Hist'!H:H,'Same Seller Hist'!E:E)</f>
        <v>999698643</v>
      </c>
      <c r="D159" s="5" t="str">
        <f>_xlfn.XLOOKUP(F159,'Same Seller Hist'!H:H,'Same Seller Hist'!D:D)</f>
        <v>Trevisan Calcados</v>
      </c>
      <c r="E159" s="5">
        <f>_xlfn.XLOOKUP(F159,'Same Seller Hist'!H:H,'Same Seller Hist'!I:I)</f>
        <v>7.49618198086349E+18</v>
      </c>
      <c r="F159" s="5" t="s">
        <v>774</v>
      </c>
      <c r="G159" s="5" t="str">
        <f>_xlfn.XLOOKUP(C159,'Same Seller Hist'!E:E,'Same Seller Hist'!F:F)</f>
        <v>Fashion</v>
      </c>
      <c r="H159" s="19">
        <f>_xlfn.IFNA(_xlfn.XLOOKUP(C159,'Shp 500'!D:D,'Shp 500'!I:I),0)</f>
        <v>0</v>
      </c>
      <c r="I159" s="19">
        <f>_xlfn.IFNA(_xlfn.XLOOKUP(C159,'Shp 500'!D:D,'Shp 500'!J:J),0)</f>
        <v>0</v>
      </c>
      <c r="J159" s="19">
        <v>1003.2258064516129</v>
      </c>
      <c r="K159" s="19">
        <v>32258.064516129034</v>
      </c>
      <c r="L159" s="21" t="s">
        <v>2530</v>
      </c>
      <c r="M159" s="21" t="str">
        <f>IF(L159="Shp 500","Sim",IF(ISNA(_xlfn.XLOOKUP(C159,'Shp 500'!D:D,'Shp 500'!D:D)),"Não","Sim"))</f>
        <v>Não</v>
      </c>
      <c r="N159" s="21" t="str">
        <f>IF(L159="Fastmoss 500","Sim",IF(ISNA(_xlfn.XLOOKUP(_xlfn.XLOOKUP(C159,'Same Seller Hist'!E:E,'Same Seller Hist'!H:H),'Fastmoss 500'!D:D,'Fastmoss 500'!D:D)),"Não","Sim"))</f>
        <v>Sim</v>
      </c>
      <c r="O159" s="21" t="str">
        <f t="shared" si="6"/>
        <v>Não</v>
      </c>
      <c r="P159" s="21" t="str">
        <f t="shared" si="7"/>
        <v>Não</v>
      </c>
      <c r="Q159" s="21">
        <f t="shared" si="8"/>
        <v>1</v>
      </c>
    </row>
    <row r="160" spans="3:17" x14ac:dyDescent="0.35">
      <c r="C160" s="5">
        <f>_xlfn.XLOOKUP(F160,'Same Seller Hist'!H:H,'Same Seller Hist'!E:E)</f>
        <v>1077804858</v>
      </c>
      <c r="D160" s="5" t="str">
        <f>_xlfn.XLOOKUP(F160,'Same Seller Hist'!H:H,'Same Seller Hist'!D:D)</f>
        <v>Amend Cosméticos</v>
      </c>
      <c r="E160" s="5">
        <f>_xlfn.XLOOKUP(F160,'Same Seller Hist'!H:H,'Same Seller Hist'!I:I)</f>
        <v>7.4961615386916598E+18</v>
      </c>
      <c r="F160" s="5" t="s">
        <v>96</v>
      </c>
      <c r="G160" s="5" t="str">
        <f>_xlfn.XLOOKUP(C160,'Same Seller Hist'!E:E,'Same Seller Hist'!F:F)</f>
        <v>FMCG</v>
      </c>
      <c r="H160" s="19">
        <f>_xlfn.IFNA(_xlfn.XLOOKUP(C160,'Shp 500'!D:D,'Shp 500'!I:I),0)</f>
        <v>0</v>
      </c>
      <c r="I160" s="19">
        <f>_xlfn.IFNA(_xlfn.XLOOKUP(C160,'Shp 500'!D:D,'Shp 500'!J:J),0)</f>
        <v>0</v>
      </c>
      <c r="J160" s="19">
        <v>990.32258064516134</v>
      </c>
      <c r="K160" s="19">
        <v>48387.096774193546</v>
      </c>
      <c r="L160" s="21" t="s">
        <v>2530</v>
      </c>
      <c r="M160" s="21" t="str">
        <f>IF(L160="Shp 500","Sim",IF(ISNA(_xlfn.XLOOKUP(C160,'Shp 500'!D:D,'Shp 500'!D:D)),"Não","Sim"))</f>
        <v>Não</v>
      </c>
      <c r="N160" s="21" t="str">
        <f>IF(L160="Fastmoss 500","Sim",IF(ISNA(_xlfn.XLOOKUP(_xlfn.XLOOKUP(C160,'Same Seller Hist'!E:E,'Same Seller Hist'!H:H),'Fastmoss 500'!D:D,'Fastmoss 500'!D:D)),"Não","Sim"))</f>
        <v>Sim</v>
      </c>
      <c r="O160" s="21" t="str">
        <f t="shared" si="6"/>
        <v>Não</v>
      </c>
      <c r="P160" s="21" t="str">
        <f t="shared" si="7"/>
        <v>Não</v>
      </c>
      <c r="Q160" s="21">
        <f t="shared" si="8"/>
        <v>1</v>
      </c>
    </row>
    <row r="161" spans="3:17" x14ac:dyDescent="0.35">
      <c r="C161" s="5">
        <v>831272734</v>
      </c>
      <c r="D161" s="5" t="s">
        <v>1533</v>
      </c>
      <c r="E161" s="5">
        <f>_xlfn.XLOOKUP(C161,'Same Seller Hist'!E:E,'Same Seller Hist'!I:I)</f>
        <v>7.4941460166512097E+18</v>
      </c>
      <c r="F161" s="5" t="str">
        <f>_xlfn.XLOOKUP(C161,'Same Seller Hist'!E:E,'Same Seller Hist'!H:H)</f>
        <v>AD LINGERIE</v>
      </c>
      <c r="G161" s="5" t="s">
        <v>903</v>
      </c>
      <c r="H161" s="19">
        <v>1124.3225806451612</v>
      </c>
      <c r="I161" s="19">
        <v>7519.4760335192905</v>
      </c>
      <c r="J161" s="19">
        <f>_xlfn.IFNA(_xlfn.XLOOKUP(F161,'Fastmoss 500'!D:D,'Fastmoss 500'!O:O),0)</f>
        <v>374.19354838709677</v>
      </c>
      <c r="K161" s="19">
        <f>_xlfn.IFNA(_xlfn.XLOOKUP(F161,'Fastmoss 500'!D:D,'Fastmoss 500'!N:N),0)</f>
        <v>14780.645161290322</v>
      </c>
      <c r="L161" s="21" t="s">
        <v>2528</v>
      </c>
      <c r="M161" s="21" t="str">
        <f>IF(L161="Shp 500","Sim",IF(ISNA(_xlfn.XLOOKUP(C161,'Shp 500'!D:D,'Shp 500'!D:D)),"Não","Sim"))</f>
        <v>Sim</v>
      </c>
      <c r="N161" s="21" t="str">
        <f>IF(L161="Fastmoss 500","Sim",IF(ISNA(_xlfn.XLOOKUP(_xlfn.XLOOKUP(C161,'Same Seller Hist'!E:E,'Same Seller Hist'!H:H),'Fastmoss 500'!D:D,'Fastmoss 500'!D:D)),"Não","Sim"))</f>
        <v>Sim</v>
      </c>
      <c r="O161" s="21" t="str">
        <f t="shared" si="6"/>
        <v>Sim</v>
      </c>
      <c r="P161" s="21" t="str">
        <f t="shared" si="7"/>
        <v>Não</v>
      </c>
      <c r="Q161" s="21">
        <f t="shared" si="8"/>
        <v>1</v>
      </c>
    </row>
    <row r="162" spans="3:17" x14ac:dyDescent="0.35">
      <c r="C162" s="5">
        <f>_xlfn.XLOOKUP(F162,'Same Seller Hist'!H:H,'Same Seller Hist'!E:E)</f>
        <v>1609741857</v>
      </c>
      <c r="D162" s="5" t="str">
        <f>_xlfn.XLOOKUP(F162,'Same Seller Hist'!H:H,'Same Seller Hist'!D:D)</f>
        <v>Bloom Body Br</v>
      </c>
      <c r="E162" s="5">
        <f>_xlfn.XLOOKUP(F162,'Same Seller Hist'!H:H,'Same Seller Hist'!I:I)</f>
        <v>7.4961817674115604E+18</v>
      </c>
      <c r="F162" s="5" t="s">
        <v>340</v>
      </c>
      <c r="G162" s="5" t="str">
        <f>_xlfn.XLOOKUP(C162,'Same Seller Hist'!E:E,'Same Seller Hist'!F:F)</f>
        <v>FMCG</v>
      </c>
      <c r="H162" s="19">
        <f>_xlfn.IFNA(_xlfn.XLOOKUP(C162,'Shp 500'!D:D,'Shp 500'!I:I),0)</f>
        <v>0</v>
      </c>
      <c r="I162" s="19">
        <f>_xlfn.IFNA(_xlfn.XLOOKUP(C162,'Shp 500'!D:D,'Shp 500'!J:J),0)</f>
        <v>0</v>
      </c>
      <c r="J162" s="19">
        <v>958.06451612903231</v>
      </c>
      <c r="K162" s="19">
        <v>80645.161290322576</v>
      </c>
      <c r="L162" s="21" t="s">
        <v>2530</v>
      </c>
      <c r="M162" s="21" t="str">
        <f>IF(L162="Shp 500","Sim",IF(ISNA(_xlfn.XLOOKUP(C162,'Shp 500'!D:D,'Shp 500'!D:D)),"Não","Sim"))</f>
        <v>Não</v>
      </c>
      <c r="N162" s="21" t="str">
        <f>IF(L162="Fastmoss 500","Sim",IF(ISNA(_xlfn.XLOOKUP(_xlfn.XLOOKUP(C162,'Same Seller Hist'!E:E,'Same Seller Hist'!H:H),'Fastmoss 500'!D:D,'Fastmoss 500'!D:D)),"Não","Sim"))</f>
        <v>Sim</v>
      </c>
      <c r="O162" s="21" t="str">
        <f t="shared" si="6"/>
        <v>Não</v>
      </c>
      <c r="P162" s="21" t="str">
        <f t="shared" si="7"/>
        <v>Não</v>
      </c>
      <c r="Q162" s="21">
        <f t="shared" si="8"/>
        <v>1</v>
      </c>
    </row>
    <row r="163" spans="3:17" x14ac:dyDescent="0.35">
      <c r="C163" s="5">
        <f>_xlfn.XLOOKUP(F163,'Same Seller Hist'!H:H,'Same Seller Hist'!E:E)</f>
        <v>1524383764</v>
      </c>
      <c r="D163" s="5" t="str">
        <f>_xlfn.XLOOKUP(F163,'Same Seller Hist'!H:H,'Same Seller Hist'!D:D)</f>
        <v>KOBAC SHOP</v>
      </c>
      <c r="E163" s="5">
        <f>_xlfn.XLOOKUP(F163,'Same Seller Hist'!H:H,'Same Seller Hist'!I:I)</f>
        <v>7.4961831930072596E+18</v>
      </c>
      <c r="F163" s="5" t="s">
        <v>840</v>
      </c>
      <c r="G163" s="5">
        <f>_xlfn.XLOOKUP(C163,'Same Seller Hist'!E:E,'Same Seller Hist'!F:F)</f>
        <v>0</v>
      </c>
      <c r="H163" s="19">
        <f>_xlfn.IFNA(_xlfn.XLOOKUP(C163,'Shp 500'!D:D,'Shp 500'!I:I),0)</f>
        <v>0</v>
      </c>
      <c r="I163" s="19">
        <f>_xlfn.IFNA(_xlfn.XLOOKUP(C163,'Shp 500'!D:D,'Shp 500'!J:J),0)</f>
        <v>0</v>
      </c>
      <c r="J163" s="19">
        <v>954.83870967741939</v>
      </c>
      <c r="K163" s="19">
        <v>13158.064516129032</v>
      </c>
      <c r="L163" s="21" t="s">
        <v>2530</v>
      </c>
      <c r="M163" s="21" t="str">
        <f>IF(L163="Shp 500","Sim",IF(ISNA(_xlfn.XLOOKUP(C163,'Shp 500'!D:D,'Shp 500'!D:D)),"Não","Sim"))</f>
        <v>Não</v>
      </c>
      <c r="N163" s="21" t="str">
        <f>IF(L163="Fastmoss 500","Sim",IF(ISNA(_xlfn.XLOOKUP(_xlfn.XLOOKUP(C163,'Same Seller Hist'!E:E,'Same Seller Hist'!H:H),'Fastmoss 500'!D:D,'Fastmoss 500'!D:D)),"Não","Sim"))</f>
        <v>Sim</v>
      </c>
      <c r="O163" s="21" t="str">
        <f t="shared" si="6"/>
        <v>Não</v>
      </c>
      <c r="P163" s="21" t="str">
        <f t="shared" si="7"/>
        <v>Não</v>
      </c>
      <c r="Q163" s="21">
        <f t="shared" si="8"/>
        <v>1</v>
      </c>
    </row>
    <row r="164" spans="3:17" x14ac:dyDescent="0.35">
      <c r="C164" s="5">
        <v>874603044</v>
      </c>
      <c r="D164" s="5" t="s">
        <v>739</v>
      </c>
      <c r="E164" s="5">
        <f>_xlfn.XLOOKUP(C164,'Same Seller Hist'!E:E,'Same Seller Hist'!I:I)</f>
        <v>7.4962295230647204E+18</v>
      </c>
      <c r="F164" s="5" t="str">
        <f>_xlfn.XLOOKUP(C164,'Same Seller Hist'!E:E,'Same Seller Hist'!H:H)</f>
        <v>SUPER CHETO</v>
      </c>
      <c r="G164" s="5" t="s">
        <v>1734</v>
      </c>
      <c r="H164" s="19">
        <v>4215.5483870967746</v>
      </c>
      <c r="I164" s="19">
        <v>37209.630393483545</v>
      </c>
      <c r="J164" s="19">
        <f>_xlfn.IFNA(_xlfn.XLOOKUP(F164,'Fastmoss 500'!D:D,'Fastmoss 500'!O:O),0)</f>
        <v>487.09677419354841</v>
      </c>
      <c r="K164" s="19">
        <f>_xlfn.IFNA(_xlfn.XLOOKUP(F164,'Fastmoss 500'!D:D,'Fastmoss 500'!N:N),0)</f>
        <v>35483.870967741932</v>
      </c>
      <c r="L164" s="21" t="s">
        <v>2528</v>
      </c>
      <c r="M164" s="21" t="str">
        <f>IF(L164="Shp 500","Sim",IF(ISNA(_xlfn.XLOOKUP(C164,'Shp 500'!D:D,'Shp 500'!D:D)),"Não","Sim"))</f>
        <v>Sim</v>
      </c>
      <c r="N164" s="21" t="str">
        <f>IF(L164="Fastmoss 500","Sim",IF(ISNA(_xlfn.XLOOKUP(_xlfn.XLOOKUP(C164,'Same Seller Hist'!E:E,'Same Seller Hist'!H:H),'Fastmoss 500'!D:D,'Fastmoss 500'!D:D)),"Não","Sim"))</f>
        <v>Sim</v>
      </c>
      <c r="O164" s="21" t="str">
        <f t="shared" si="6"/>
        <v>Sim</v>
      </c>
      <c r="P164" s="21" t="str">
        <f t="shared" si="7"/>
        <v>Sim</v>
      </c>
      <c r="Q164" s="21">
        <f t="shared" si="8"/>
        <v>1</v>
      </c>
    </row>
    <row r="165" spans="3:17" x14ac:dyDescent="0.35">
      <c r="C165" s="5">
        <f>_xlfn.XLOOKUP(F165,'Same Seller Hist'!H:H,'Same Seller Hist'!E:E)</f>
        <v>1562142458</v>
      </c>
      <c r="D165" s="5" t="str">
        <f>_xlfn.XLOOKUP(F165,'Same Seller Hist'!H:H,'Same Seller Hist'!D:D)</f>
        <v>One Shop Ltda</v>
      </c>
      <c r="E165" s="5">
        <f>_xlfn.XLOOKUP(F165,'Same Seller Hist'!H:H,'Same Seller Hist'!I:I)</f>
        <v>7.4941800489348905E+18</v>
      </c>
      <c r="F165" s="5" t="s">
        <v>890</v>
      </c>
      <c r="G165" s="5">
        <f>_xlfn.XLOOKUP(C165,'Same Seller Hist'!E:E,'Same Seller Hist'!F:F)</f>
        <v>0</v>
      </c>
      <c r="H165" s="19">
        <f>_xlfn.IFNA(_xlfn.XLOOKUP(C165,'Shp 500'!D:D,'Shp 500'!I:I),0)</f>
        <v>0</v>
      </c>
      <c r="I165" s="19">
        <f>_xlfn.IFNA(_xlfn.XLOOKUP(C165,'Shp 500'!D:D,'Shp 500'!J:J),0)</f>
        <v>0</v>
      </c>
      <c r="J165" s="19">
        <v>903.22580645161293</v>
      </c>
      <c r="K165" s="19">
        <v>35483.870967741932</v>
      </c>
      <c r="L165" s="21" t="s">
        <v>2530</v>
      </c>
      <c r="M165" s="21" t="str">
        <f>IF(L165="Shp 500","Sim",IF(ISNA(_xlfn.XLOOKUP(C165,'Shp 500'!D:D,'Shp 500'!D:D)),"Não","Sim"))</f>
        <v>Não</v>
      </c>
      <c r="N165" s="21" t="str">
        <f>IF(L165="Fastmoss 500","Sim",IF(ISNA(_xlfn.XLOOKUP(_xlfn.XLOOKUP(C165,'Same Seller Hist'!E:E,'Same Seller Hist'!H:H),'Fastmoss 500'!D:D,'Fastmoss 500'!D:D)),"Não","Sim"))</f>
        <v>Sim</v>
      </c>
      <c r="O165" s="21" t="str">
        <f t="shared" si="6"/>
        <v>Não</v>
      </c>
      <c r="P165" s="21" t="str">
        <f t="shared" si="7"/>
        <v>Não</v>
      </c>
      <c r="Q165" s="21">
        <f t="shared" si="8"/>
        <v>1</v>
      </c>
    </row>
    <row r="166" spans="3:17" x14ac:dyDescent="0.35">
      <c r="C166" s="5">
        <f>_xlfn.XLOOKUP(F166,'Same Seller Hist'!H:H,'Same Seller Hist'!E:E)</f>
        <v>1220492895</v>
      </c>
      <c r="D166" s="5" t="str">
        <f>_xlfn.XLOOKUP(F166,'Same Seller Hist'!H:H,'Same Seller Hist'!D:D)</f>
        <v>Han Maquiagem</v>
      </c>
      <c r="E166" s="5">
        <f>_xlfn.XLOOKUP(F166,'Same Seller Hist'!H:H,'Same Seller Hist'!I:I)</f>
        <v>7.4942101061368801E+18</v>
      </c>
      <c r="F166" s="5" t="s">
        <v>863</v>
      </c>
      <c r="G166" s="5">
        <f>_xlfn.XLOOKUP(C166,'Same Seller Hist'!E:E,'Same Seller Hist'!F:F)</f>
        <v>0</v>
      </c>
      <c r="H166" s="19">
        <f>_xlfn.IFNA(_xlfn.XLOOKUP(C166,'Shp 500'!D:D,'Shp 500'!I:I),0)</f>
        <v>0</v>
      </c>
      <c r="I166" s="19">
        <f>_xlfn.IFNA(_xlfn.XLOOKUP(C166,'Shp 500'!D:D,'Shp 500'!J:J),0)</f>
        <v>0</v>
      </c>
      <c r="J166" s="19">
        <v>874.19354838709683</v>
      </c>
      <c r="K166" s="19">
        <v>11312.903225806451</v>
      </c>
      <c r="L166" s="21" t="s">
        <v>2530</v>
      </c>
      <c r="M166" s="21" t="str">
        <f>IF(L166="Shp 500","Sim",IF(ISNA(_xlfn.XLOOKUP(C166,'Shp 500'!D:D,'Shp 500'!D:D)),"Não","Sim"))</f>
        <v>Não</v>
      </c>
      <c r="N166" s="21" t="str">
        <f>IF(L166="Fastmoss 500","Sim",IF(ISNA(_xlfn.XLOOKUP(_xlfn.XLOOKUP(C166,'Same Seller Hist'!E:E,'Same Seller Hist'!H:H),'Fastmoss 500'!D:D,'Fastmoss 500'!D:D)),"Não","Sim"))</f>
        <v>Sim</v>
      </c>
      <c r="O166" s="21" t="str">
        <f t="shared" si="6"/>
        <v>Não</v>
      </c>
      <c r="P166" s="21" t="str">
        <f t="shared" si="7"/>
        <v>Não</v>
      </c>
      <c r="Q166" s="21">
        <f t="shared" si="8"/>
        <v>1</v>
      </c>
    </row>
    <row r="167" spans="3:17" x14ac:dyDescent="0.35">
      <c r="C167" s="5">
        <f>_xlfn.XLOOKUP(F167,'Same Seller Hist'!H:H,'Same Seller Hist'!E:E)</f>
        <v>1198407784</v>
      </c>
      <c r="D167" s="5" t="str">
        <f>_xlfn.XLOOKUP(F167,'Same Seller Hist'!H:H,'Same Seller Hist'!D:D)</f>
        <v>ROMANTIC CROWN</v>
      </c>
      <c r="E167" s="5">
        <f>_xlfn.XLOOKUP(F167,'Same Seller Hist'!H:H,'Same Seller Hist'!I:I)</f>
        <v>7.4961811324892303E+18</v>
      </c>
      <c r="F167" s="5" t="s">
        <v>149</v>
      </c>
      <c r="G167" s="5" t="str">
        <f>_xlfn.XLOOKUP(C167,'Same Seller Hist'!E:E,'Same Seller Hist'!F:F)</f>
        <v>Lifestyle</v>
      </c>
      <c r="H167" s="19">
        <f>_xlfn.IFNA(_xlfn.XLOOKUP(C167,'Shp 500'!D:D,'Shp 500'!I:I),0)</f>
        <v>0</v>
      </c>
      <c r="I167" s="19">
        <f>_xlfn.IFNA(_xlfn.XLOOKUP(C167,'Shp 500'!D:D,'Shp 500'!J:J),0)</f>
        <v>0</v>
      </c>
      <c r="J167" s="19">
        <v>874.19354838709683</v>
      </c>
      <c r="K167" s="19">
        <v>54838.709677419356</v>
      </c>
      <c r="L167" s="21" t="s">
        <v>2530</v>
      </c>
      <c r="M167" s="21" t="str">
        <f>IF(L167="Shp 500","Sim",IF(ISNA(_xlfn.XLOOKUP(C167,'Shp 500'!D:D,'Shp 500'!D:D)),"Não","Sim"))</f>
        <v>Não</v>
      </c>
      <c r="N167" s="21" t="str">
        <f>IF(L167="Fastmoss 500","Sim",IF(ISNA(_xlfn.XLOOKUP(_xlfn.XLOOKUP(C167,'Same Seller Hist'!E:E,'Same Seller Hist'!H:H),'Fastmoss 500'!D:D,'Fastmoss 500'!D:D)),"Não","Sim"))</f>
        <v>Sim</v>
      </c>
      <c r="O167" s="21" t="str">
        <f t="shared" si="6"/>
        <v>Não</v>
      </c>
      <c r="P167" s="21" t="str">
        <f t="shared" si="7"/>
        <v>Não</v>
      </c>
      <c r="Q167" s="21">
        <f t="shared" si="8"/>
        <v>1</v>
      </c>
    </row>
    <row r="168" spans="3:17" x14ac:dyDescent="0.35">
      <c r="C168" s="5">
        <v>883941882</v>
      </c>
      <c r="D168" s="5" t="s">
        <v>1340</v>
      </c>
      <c r="E168" s="5">
        <f>_xlfn.XLOOKUP(C168,'Same Seller Hist'!E:E,'Same Seller Hist'!I:I)</f>
        <v>7.4962036523100703E+18</v>
      </c>
      <c r="F168" s="5" t="str">
        <f>_xlfn.XLOOKUP(C168,'Same Seller Hist'!E:E,'Same Seller Hist'!H:H)</f>
        <v>yiyiyi TK</v>
      </c>
      <c r="G168" s="5" t="s">
        <v>1734</v>
      </c>
      <c r="H168" s="19">
        <v>2238.0322580645161</v>
      </c>
      <c r="I168" s="19">
        <v>19958.814068243453</v>
      </c>
      <c r="J168" s="19">
        <f>_xlfn.IFNA(_xlfn.XLOOKUP(F168,'Fastmoss 500'!D:D,'Fastmoss 500'!O:O),0)</f>
        <v>1577.4193548387098</v>
      </c>
      <c r="K168" s="19">
        <f>_xlfn.IFNA(_xlfn.XLOOKUP(F168,'Fastmoss 500'!D:D,'Fastmoss 500'!N:N),0)</f>
        <v>41935.483870967742</v>
      </c>
      <c r="L168" s="21" t="s">
        <v>2528</v>
      </c>
      <c r="M168" s="21" t="str">
        <f>IF(L168="Shp 500","Sim",IF(ISNA(_xlfn.XLOOKUP(C168,'Shp 500'!D:D,'Shp 500'!D:D)),"Não","Sim"))</f>
        <v>Sim</v>
      </c>
      <c r="N168" s="21" t="str">
        <f>IF(L168="Fastmoss 500","Sim",IF(ISNA(_xlfn.XLOOKUP(_xlfn.XLOOKUP(C168,'Same Seller Hist'!E:E,'Same Seller Hist'!H:H),'Fastmoss 500'!D:D,'Fastmoss 500'!D:D)),"Não","Sim"))</f>
        <v>Sim</v>
      </c>
      <c r="O168" s="21" t="str">
        <f t="shared" si="6"/>
        <v>Sim</v>
      </c>
      <c r="P168" s="21" t="str">
        <f t="shared" si="7"/>
        <v>Não</v>
      </c>
      <c r="Q168" s="21">
        <f t="shared" si="8"/>
        <v>1</v>
      </c>
    </row>
    <row r="169" spans="3:17" x14ac:dyDescent="0.35">
      <c r="C169" s="5">
        <f>_xlfn.XLOOKUP(F169,'Same Seller Hist'!H:H,'Same Seller Hist'!E:E)</f>
        <v>434178148</v>
      </c>
      <c r="D169" s="5" t="str">
        <f>_xlfn.XLOOKUP(F169,'Same Seller Hist'!H:H,'Same Seller Hist'!D:D)</f>
        <v>Nação Verde</v>
      </c>
      <c r="E169" s="5">
        <f>_xlfn.XLOOKUP(F169,'Same Seller Hist'!H:H,'Same Seller Hist'!I:I)</f>
        <v>7.4961818981937603E+18</v>
      </c>
      <c r="F169" s="5" t="s">
        <v>571</v>
      </c>
      <c r="G169" s="5" t="str">
        <f>_xlfn.XLOOKUP(C169,'Same Seller Hist'!E:E,'Same Seller Hist'!F:F)</f>
        <v>FMCG</v>
      </c>
      <c r="H169" s="19">
        <f>_xlfn.IFNA(_xlfn.XLOOKUP(C169,'Shp 500'!D:D,'Shp 500'!I:I),0)</f>
        <v>0</v>
      </c>
      <c r="I169" s="19">
        <f>_xlfn.IFNA(_xlfn.XLOOKUP(C169,'Shp 500'!D:D,'Shp 500'!J:J),0)</f>
        <v>0</v>
      </c>
      <c r="J169" s="19">
        <v>851.61290322580646</v>
      </c>
      <c r="K169" s="19">
        <v>30006.451612903227</v>
      </c>
      <c r="L169" s="21" t="s">
        <v>2530</v>
      </c>
      <c r="M169" s="21" t="str">
        <f>IF(L169="Shp 500","Sim",IF(ISNA(_xlfn.XLOOKUP(C169,'Shp 500'!D:D,'Shp 500'!D:D)),"Não","Sim"))</f>
        <v>Não</v>
      </c>
      <c r="N169" s="21" t="str">
        <f>IF(L169="Fastmoss 500","Sim",IF(ISNA(_xlfn.XLOOKUP(_xlfn.XLOOKUP(C169,'Same Seller Hist'!E:E,'Same Seller Hist'!H:H),'Fastmoss 500'!D:D,'Fastmoss 500'!D:D)),"Não","Sim"))</f>
        <v>Sim</v>
      </c>
      <c r="O169" s="21" t="str">
        <f t="shared" si="6"/>
        <v>Não</v>
      </c>
      <c r="P169" s="21" t="str">
        <f t="shared" si="7"/>
        <v>Não</v>
      </c>
      <c r="Q169" s="21">
        <f t="shared" si="8"/>
        <v>1</v>
      </c>
    </row>
    <row r="170" spans="3:17" x14ac:dyDescent="0.35">
      <c r="C170" s="5">
        <f>_xlfn.XLOOKUP(F170,'Same Seller Hist'!H:H,'Same Seller Hist'!E:E)</f>
        <v>689225278</v>
      </c>
      <c r="D170" s="5" t="str">
        <f>_xlfn.XLOOKUP(F170,'Same Seller Hist'!H:H,'Same Seller Hist'!D:D)</f>
        <v>L'Oréal Paris Brasil</v>
      </c>
      <c r="E170" s="5">
        <f>_xlfn.XLOOKUP(F170,'Same Seller Hist'!H:H,'Same Seller Hist'!I:I)</f>
        <v>7.4962039784191703E+18</v>
      </c>
      <c r="F170" s="5" t="s">
        <v>677</v>
      </c>
      <c r="G170" s="5" t="str">
        <f>_xlfn.XLOOKUP(C170,'Same Seller Hist'!E:E,'Same Seller Hist'!F:F)</f>
        <v>FMCG</v>
      </c>
      <c r="H170" s="19">
        <f>_xlfn.IFNA(_xlfn.XLOOKUP(C170,'Shp 500'!D:D,'Shp 500'!I:I),0)</f>
        <v>0</v>
      </c>
      <c r="I170" s="19">
        <f>_xlfn.IFNA(_xlfn.XLOOKUP(C170,'Shp 500'!D:D,'Shp 500'!J:J),0)</f>
        <v>0</v>
      </c>
      <c r="J170" s="19">
        <v>835.48387096774195</v>
      </c>
      <c r="K170" s="19">
        <v>51612.903225806454</v>
      </c>
      <c r="L170" s="21" t="s">
        <v>2530</v>
      </c>
      <c r="M170" s="21" t="str">
        <f>IF(L170="Shp 500","Sim",IF(ISNA(_xlfn.XLOOKUP(C170,'Shp 500'!D:D,'Shp 500'!D:D)),"Não","Sim"))</f>
        <v>Não</v>
      </c>
      <c r="N170" s="21" t="str">
        <f>IF(L170="Fastmoss 500","Sim",IF(ISNA(_xlfn.XLOOKUP(_xlfn.XLOOKUP(C170,'Same Seller Hist'!E:E,'Same Seller Hist'!H:H),'Fastmoss 500'!D:D,'Fastmoss 500'!D:D)),"Não","Sim"))</f>
        <v>Sim</v>
      </c>
      <c r="O170" s="21" t="str">
        <f t="shared" si="6"/>
        <v>Não</v>
      </c>
      <c r="P170" s="21" t="str">
        <f t="shared" si="7"/>
        <v>Não</v>
      </c>
      <c r="Q170" s="21">
        <f t="shared" si="8"/>
        <v>1</v>
      </c>
    </row>
    <row r="171" spans="3:17" x14ac:dyDescent="0.35">
      <c r="C171" s="5">
        <f>_xlfn.XLOOKUP(F171,'Same Seller Hist'!H:H,'Same Seller Hist'!E:E)</f>
        <v>498340093</v>
      </c>
      <c r="D171" s="5" t="str">
        <f>_xlfn.XLOOKUP(F171,'Same Seller Hist'!H:H,'Same Seller Hist'!D:D)</f>
        <v>BRASTOY BR</v>
      </c>
      <c r="E171" s="5">
        <f>_xlfn.XLOOKUP(F171,'Same Seller Hist'!H:H,'Same Seller Hist'!I:I)</f>
        <v>7.4941276264764201E+18</v>
      </c>
      <c r="F171" s="5" t="s">
        <v>607</v>
      </c>
      <c r="G171" s="5" t="str">
        <f>_xlfn.XLOOKUP(C171,'Same Seller Hist'!E:E,'Same Seller Hist'!F:F)</f>
        <v>Lifestyle</v>
      </c>
      <c r="H171" s="19">
        <f>_xlfn.IFNA(_xlfn.XLOOKUP(C171,'Shp 500'!D:D,'Shp 500'!I:I),0)</f>
        <v>0</v>
      </c>
      <c r="I171" s="19">
        <f>_xlfn.IFNA(_xlfn.XLOOKUP(C171,'Shp 500'!D:D,'Shp 500'!J:J),0)</f>
        <v>0</v>
      </c>
      <c r="J171" s="19">
        <v>803.22580645161293</v>
      </c>
      <c r="K171" s="19">
        <v>129032.25806451614</v>
      </c>
      <c r="L171" s="21" t="s">
        <v>2530</v>
      </c>
      <c r="M171" s="21" t="str">
        <f>IF(L171="Shp 500","Sim",IF(ISNA(_xlfn.XLOOKUP(C171,'Shp 500'!D:D,'Shp 500'!D:D)),"Não","Sim"))</f>
        <v>Não</v>
      </c>
      <c r="N171" s="21" t="str">
        <f>IF(L171="Fastmoss 500","Sim",IF(ISNA(_xlfn.XLOOKUP(_xlfn.XLOOKUP(C171,'Same Seller Hist'!E:E,'Same Seller Hist'!H:H),'Fastmoss 500'!D:D,'Fastmoss 500'!D:D)),"Não","Sim"))</f>
        <v>Sim</v>
      </c>
      <c r="O171" s="21" t="str">
        <f t="shared" si="6"/>
        <v>Não</v>
      </c>
      <c r="P171" s="21" t="str">
        <f t="shared" si="7"/>
        <v>Não</v>
      </c>
      <c r="Q171" s="21">
        <f t="shared" si="8"/>
        <v>1</v>
      </c>
    </row>
    <row r="172" spans="3:17" x14ac:dyDescent="0.35">
      <c r="C172" s="5">
        <v>944725778</v>
      </c>
      <c r="D172" s="5" t="s">
        <v>1454</v>
      </c>
      <c r="E172" s="5">
        <f>_xlfn.XLOOKUP(C172,'Same Seller Hist'!E:E,'Same Seller Hist'!I:I)</f>
        <v>7.4961617031852503E+18</v>
      </c>
      <c r="F172" s="5" t="str">
        <f>_xlfn.XLOOKUP(C172,'Same Seller Hist'!E:E,'Same Seller Hist'!H:H)</f>
        <v>Happy Loja</v>
      </c>
      <c r="G172" s="5" t="s">
        <v>1734</v>
      </c>
      <c r="H172" s="19">
        <v>1339.8709677419354</v>
      </c>
      <c r="I172" s="19">
        <v>5867.8154717879679</v>
      </c>
      <c r="J172" s="19">
        <f>_xlfn.IFNA(_xlfn.XLOOKUP(F172,'Fastmoss 500'!D:D,'Fastmoss 500'!O:O),0)</f>
        <v>1000</v>
      </c>
      <c r="K172" s="19">
        <f>_xlfn.IFNA(_xlfn.XLOOKUP(F172,'Fastmoss 500'!D:D,'Fastmoss 500'!N:N),0)</f>
        <v>24296.774193548386</v>
      </c>
      <c r="L172" s="21" t="s">
        <v>2528</v>
      </c>
      <c r="M172" s="21" t="str">
        <f>IF(L172="Shp 500","Sim",IF(ISNA(_xlfn.XLOOKUP(C172,'Shp 500'!D:D,'Shp 500'!D:D)),"Não","Sim"))</f>
        <v>Sim</v>
      </c>
      <c r="N172" s="21" t="str">
        <f>IF(L172="Fastmoss 500","Sim",IF(ISNA(_xlfn.XLOOKUP(_xlfn.XLOOKUP(C172,'Same Seller Hist'!E:E,'Same Seller Hist'!H:H),'Fastmoss 500'!D:D,'Fastmoss 500'!D:D)),"Não","Sim"))</f>
        <v>Sim</v>
      </c>
      <c r="O172" s="21" t="str">
        <f t="shared" si="6"/>
        <v>Sim</v>
      </c>
      <c r="P172" s="21" t="str">
        <f t="shared" si="7"/>
        <v>Não</v>
      </c>
      <c r="Q172" s="21">
        <f t="shared" si="8"/>
        <v>1</v>
      </c>
    </row>
    <row r="173" spans="3:17" x14ac:dyDescent="0.35">
      <c r="C173" s="5">
        <f>_xlfn.XLOOKUP(F173,'Same Seller Hist'!H:H,'Same Seller Hist'!E:E)</f>
        <v>306309956</v>
      </c>
      <c r="D173" s="5" t="str">
        <f>_xlfn.XLOOKUP(F173,'Same Seller Hist'!H:H,'Same Seller Hist'!D:D)</f>
        <v>Cecília casa</v>
      </c>
      <c r="E173" s="5">
        <f>_xlfn.XLOOKUP(F173,'Same Seller Hist'!H:H,'Same Seller Hist'!I:I)</f>
        <v>7.4961601813899796E+18</v>
      </c>
      <c r="F173" s="5" t="s">
        <v>398</v>
      </c>
      <c r="G173" s="5" t="str">
        <f>_xlfn.XLOOKUP(C173,'Same Seller Hist'!E:E,'Same Seller Hist'!F:F)</f>
        <v>Lifestyle</v>
      </c>
      <c r="H173" s="19">
        <f>_xlfn.IFNA(_xlfn.XLOOKUP(C173,'Shp 500'!D:D,'Shp 500'!I:I),0)</f>
        <v>0</v>
      </c>
      <c r="I173" s="19">
        <f>_xlfn.IFNA(_xlfn.XLOOKUP(C173,'Shp 500'!D:D,'Shp 500'!J:J),0)</f>
        <v>0</v>
      </c>
      <c r="J173" s="19">
        <v>745.16129032258061</v>
      </c>
      <c r="K173" s="19">
        <v>20551.612903225807</v>
      </c>
      <c r="L173" s="21" t="s">
        <v>2530</v>
      </c>
      <c r="M173" s="21" t="str">
        <f>IF(L173="Shp 500","Sim",IF(ISNA(_xlfn.XLOOKUP(C173,'Shp 500'!D:D,'Shp 500'!D:D)),"Não","Sim"))</f>
        <v>Não</v>
      </c>
      <c r="N173" s="21" t="str">
        <f>IF(L173="Fastmoss 500","Sim",IF(ISNA(_xlfn.XLOOKUP(_xlfn.XLOOKUP(C173,'Same Seller Hist'!E:E,'Same Seller Hist'!H:H),'Fastmoss 500'!D:D,'Fastmoss 500'!D:D)),"Não","Sim"))</f>
        <v>Sim</v>
      </c>
      <c r="O173" s="21" t="str">
        <f t="shared" si="6"/>
        <v>Não</v>
      </c>
      <c r="P173" s="21" t="str">
        <f t="shared" si="7"/>
        <v>Não</v>
      </c>
      <c r="Q173" s="21">
        <f t="shared" si="8"/>
        <v>1</v>
      </c>
    </row>
    <row r="174" spans="3:17" x14ac:dyDescent="0.35">
      <c r="C174" s="5">
        <f>_xlfn.XLOOKUP(F174,'Same Seller Hist'!H:H,'Same Seller Hist'!E:E)</f>
        <v>387419898</v>
      </c>
      <c r="D174" s="5" t="str">
        <f>_xlfn.XLOOKUP(F174,'Same Seller Hist'!H:H,'Same Seller Hist'!D:D)</f>
        <v>ADD MODAS</v>
      </c>
      <c r="E174" s="5">
        <f>_xlfn.XLOOKUP(F174,'Same Seller Hist'!H:H,'Same Seller Hist'!I:I)</f>
        <v>7.4961464238850304E+18</v>
      </c>
      <c r="F174" s="5" t="s">
        <v>508</v>
      </c>
      <c r="G174" s="5" t="str">
        <f>_xlfn.XLOOKUP(C174,'Same Seller Hist'!E:E,'Same Seller Hist'!F:F)</f>
        <v>Fashion</v>
      </c>
      <c r="H174" s="19">
        <f>_xlfn.IFNA(_xlfn.XLOOKUP(C174,'Shp 500'!D:D,'Shp 500'!I:I),0)</f>
        <v>0</v>
      </c>
      <c r="I174" s="19">
        <f>_xlfn.IFNA(_xlfn.XLOOKUP(C174,'Shp 500'!D:D,'Shp 500'!J:J),0)</f>
        <v>0</v>
      </c>
      <c r="J174" s="19">
        <v>729.0322580645161</v>
      </c>
      <c r="K174" s="19">
        <v>51612.903225806454</v>
      </c>
      <c r="L174" s="21" t="s">
        <v>2530</v>
      </c>
      <c r="M174" s="21" t="str">
        <f>IF(L174="Shp 500","Sim",IF(ISNA(_xlfn.XLOOKUP(C174,'Shp 500'!D:D,'Shp 500'!D:D)),"Não","Sim"))</f>
        <v>Não</v>
      </c>
      <c r="N174" s="21" t="str">
        <f>IF(L174="Fastmoss 500","Sim",IF(ISNA(_xlfn.XLOOKUP(_xlfn.XLOOKUP(C174,'Same Seller Hist'!E:E,'Same Seller Hist'!H:H),'Fastmoss 500'!D:D,'Fastmoss 500'!D:D)),"Não","Sim"))</f>
        <v>Sim</v>
      </c>
      <c r="O174" s="21" t="str">
        <f t="shared" si="6"/>
        <v>Não</v>
      </c>
      <c r="P174" s="21" t="str">
        <f t="shared" si="7"/>
        <v>Não</v>
      </c>
      <c r="Q174" s="21">
        <f t="shared" si="8"/>
        <v>1</v>
      </c>
    </row>
    <row r="175" spans="3:17" x14ac:dyDescent="0.35">
      <c r="C175" s="5">
        <f>_xlfn.XLOOKUP(F175,'Same Seller Hist'!H:H,'Same Seller Hist'!E:E)</f>
        <v>688975125</v>
      </c>
      <c r="D175" s="5" t="str">
        <f>_xlfn.XLOOKUP(F175,'Same Seller Hist'!H:H,'Same Seller Hist'!D:D)</f>
        <v>Zencial</v>
      </c>
      <c r="E175" s="5">
        <f>_xlfn.XLOOKUP(F175,'Same Seller Hist'!H:H,'Same Seller Hist'!I:I)</f>
        <v>7.4961802956127304E+18</v>
      </c>
      <c r="F175" s="5" t="s">
        <v>676</v>
      </c>
      <c r="G175" s="5" t="str">
        <f>_xlfn.XLOOKUP(C175,'Same Seller Hist'!E:E,'Same Seller Hist'!F:F)</f>
        <v>FMCG</v>
      </c>
      <c r="H175" s="19">
        <f>_xlfn.IFNA(_xlfn.XLOOKUP(C175,'Shp 500'!D:D,'Shp 500'!I:I),0)</f>
        <v>0</v>
      </c>
      <c r="I175" s="19">
        <f>_xlfn.IFNA(_xlfn.XLOOKUP(C175,'Shp 500'!D:D,'Shp 500'!J:J),0)</f>
        <v>0</v>
      </c>
      <c r="J175" s="19">
        <v>725.80645161290317</v>
      </c>
      <c r="K175" s="19">
        <v>74193.548387096773</v>
      </c>
      <c r="L175" s="21" t="s">
        <v>2530</v>
      </c>
      <c r="M175" s="21" t="str">
        <f>IF(L175="Shp 500","Sim",IF(ISNA(_xlfn.XLOOKUP(C175,'Shp 500'!D:D,'Shp 500'!D:D)),"Não","Sim"))</f>
        <v>Não</v>
      </c>
      <c r="N175" s="21" t="str">
        <f>IF(L175="Fastmoss 500","Sim",IF(ISNA(_xlfn.XLOOKUP(_xlfn.XLOOKUP(C175,'Same Seller Hist'!E:E,'Same Seller Hist'!H:H),'Fastmoss 500'!D:D,'Fastmoss 500'!D:D)),"Não","Sim"))</f>
        <v>Sim</v>
      </c>
      <c r="O175" s="21" t="str">
        <f t="shared" si="6"/>
        <v>Não</v>
      </c>
      <c r="P175" s="21" t="str">
        <f t="shared" si="7"/>
        <v>Não</v>
      </c>
      <c r="Q175" s="21">
        <f t="shared" si="8"/>
        <v>1</v>
      </c>
    </row>
    <row r="176" spans="3:17" x14ac:dyDescent="0.35">
      <c r="C176" s="5">
        <f>_xlfn.XLOOKUP(F176,'Same Seller Hist'!H:H,'Same Seller Hist'!E:E)</f>
        <v>1304513381</v>
      </c>
      <c r="D176" s="5" t="str">
        <f>_xlfn.XLOOKUP(F176,'Same Seller Hist'!H:H,'Same Seller Hist'!D:D)</f>
        <v>Creamy Skincare</v>
      </c>
      <c r="E176" s="5">
        <f>_xlfn.XLOOKUP(F176,'Same Seller Hist'!H:H,'Same Seller Hist'!I:I)</f>
        <v>7.4961549048489196E+18</v>
      </c>
      <c r="F176" s="5" t="s">
        <v>197</v>
      </c>
      <c r="G176" s="5" t="str">
        <f>_xlfn.XLOOKUP(C176,'Same Seller Hist'!E:E,'Same Seller Hist'!F:F)</f>
        <v>FMCG</v>
      </c>
      <c r="H176" s="19">
        <f>_xlfn.IFNA(_xlfn.XLOOKUP(C176,'Shp 500'!D:D,'Shp 500'!I:I),0)</f>
        <v>0</v>
      </c>
      <c r="I176" s="19">
        <f>_xlfn.IFNA(_xlfn.XLOOKUP(C176,'Shp 500'!D:D,'Shp 500'!J:J),0)</f>
        <v>0</v>
      </c>
      <c r="J176" s="19">
        <v>722.58064516129036</v>
      </c>
      <c r="K176" s="19">
        <v>64516.129032258068</v>
      </c>
      <c r="L176" s="21" t="s">
        <v>2530</v>
      </c>
      <c r="M176" s="21" t="str">
        <f>IF(L176="Shp 500","Sim",IF(ISNA(_xlfn.XLOOKUP(C176,'Shp 500'!D:D,'Shp 500'!D:D)),"Não","Sim"))</f>
        <v>Não</v>
      </c>
      <c r="N176" s="21" t="str">
        <f>IF(L176="Fastmoss 500","Sim",IF(ISNA(_xlfn.XLOOKUP(_xlfn.XLOOKUP(C176,'Same Seller Hist'!E:E,'Same Seller Hist'!H:H),'Fastmoss 500'!D:D,'Fastmoss 500'!D:D)),"Não","Sim"))</f>
        <v>Sim</v>
      </c>
      <c r="O176" s="21" t="str">
        <f t="shared" si="6"/>
        <v>Não</v>
      </c>
      <c r="P176" s="21" t="str">
        <f t="shared" si="7"/>
        <v>Não</v>
      </c>
      <c r="Q176" s="21">
        <f t="shared" si="8"/>
        <v>1</v>
      </c>
    </row>
    <row r="177" spans="3:17" x14ac:dyDescent="0.35">
      <c r="C177" s="5">
        <f>_xlfn.XLOOKUP(F177,'Same Seller Hist'!H:H,'Same Seller Hist'!E:E)</f>
        <v>370895652</v>
      </c>
      <c r="D177" s="5" t="str">
        <f>_xlfn.XLOOKUP(F177,'Same Seller Hist'!H:H,'Same Seller Hist'!D:D)</f>
        <v>TudoAki.</v>
      </c>
      <c r="E177" s="5">
        <f>_xlfn.XLOOKUP(F177,'Same Seller Hist'!H:H,'Same Seller Hist'!I:I)</f>
        <v>7.4962720515471698E+18</v>
      </c>
      <c r="F177" s="5" t="s">
        <v>792</v>
      </c>
      <c r="G177" s="5" t="str">
        <f>_xlfn.XLOOKUP(C177,'Same Seller Hist'!E:E,'Same Seller Hist'!F:F)</f>
        <v>ELHA</v>
      </c>
      <c r="H177" s="19">
        <f>_xlfn.IFNA(_xlfn.XLOOKUP(C177,'Shp 500'!D:D,'Shp 500'!I:I),0)</f>
        <v>0</v>
      </c>
      <c r="I177" s="19">
        <f>_xlfn.IFNA(_xlfn.XLOOKUP(C177,'Shp 500'!D:D,'Shp 500'!J:J),0)</f>
        <v>0</v>
      </c>
      <c r="J177" s="19">
        <v>722.58064516129036</v>
      </c>
      <c r="K177" s="19">
        <v>27403.225806451614</v>
      </c>
      <c r="L177" s="21" t="s">
        <v>2530</v>
      </c>
      <c r="M177" s="21" t="str">
        <f>IF(L177="Shp 500","Sim",IF(ISNA(_xlfn.XLOOKUP(C177,'Shp 500'!D:D,'Shp 500'!D:D)),"Não","Sim"))</f>
        <v>Não</v>
      </c>
      <c r="N177" s="21" t="str">
        <f>IF(L177="Fastmoss 500","Sim",IF(ISNA(_xlfn.XLOOKUP(_xlfn.XLOOKUP(C177,'Same Seller Hist'!E:E,'Same Seller Hist'!H:H),'Fastmoss 500'!D:D,'Fastmoss 500'!D:D)),"Não","Sim"))</f>
        <v>Sim</v>
      </c>
      <c r="O177" s="21" t="str">
        <f t="shared" si="6"/>
        <v>Não</v>
      </c>
      <c r="P177" s="21" t="str">
        <f t="shared" si="7"/>
        <v>Não</v>
      </c>
      <c r="Q177" s="21">
        <f t="shared" si="8"/>
        <v>1</v>
      </c>
    </row>
    <row r="178" spans="3:17" x14ac:dyDescent="0.35">
      <c r="C178" s="5">
        <v>986450286</v>
      </c>
      <c r="D178" s="5" t="s">
        <v>1593</v>
      </c>
      <c r="E178" s="5">
        <f>_xlfn.XLOOKUP(C178,'Same Seller Hist'!E:E,'Same Seller Hist'!I:I)</f>
        <v>7.4961822100321997E+18</v>
      </c>
      <c r="F178" s="5" t="str">
        <f>_xlfn.XLOOKUP(C178,'Same Seller Hist'!E:E,'Same Seller Hist'!H:H)</f>
        <v>Baisdan</v>
      </c>
      <c r="G178" s="5" t="s">
        <v>1734</v>
      </c>
      <c r="H178" s="19">
        <v>998.25806451612584</v>
      </c>
      <c r="I178" s="19">
        <v>2081.7327213006292</v>
      </c>
      <c r="J178" s="19">
        <f>_xlfn.IFNA(_xlfn.XLOOKUP(F178,'Fastmoss 500'!D:D,'Fastmoss 500'!O:O),0)</f>
        <v>335.48387096774195</v>
      </c>
      <c r="K178" s="19">
        <f>_xlfn.IFNA(_xlfn.XLOOKUP(F178,'Fastmoss 500'!D:D,'Fastmoss 500'!N:N),0)</f>
        <v>5622.5806451612907</v>
      </c>
      <c r="L178" s="21" t="s">
        <v>2528</v>
      </c>
      <c r="M178" s="21" t="str">
        <f>IF(L178="Shp 500","Sim",IF(ISNA(_xlfn.XLOOKUP(C178,'Shp 500'!D:D,'Shp 500'!D:D)),"Não","Sim"))</f>
        <v>Sim</v>
      </c>
      <c r="N178" s="21" t="str">
        <f>IF(L178="Fastmoss 500","Sim",IF(ISNA(_xlfn.XLOOKUP(_xlfn.XLOOKUP(C178,'Same Seller Hist'!E:E,'Same Seller Hist'!H:H),'Fastmoss 500'!D:D,'Fastmoss 500'!D:D)),"Não","Sim"))</f>
        <v>Sim</v>
      </c>
      <c r="O178" s="21" t="str">
        <f t="shared" si="6"/>
        <v>Sim</v>
      </c>
      <c r="P178" s="21" t="str">
        <f t="shared" si="7"/>
        <v>Não</v>
      </c>
      <c r="Q178" s="21">
        <f t="shared" si="8"/>
        <v>1</v>
      </c>
    </row>
    <row r="179" spans="3:17" x14ac:dyDescent="0.35">
      <c r="C179" s="5">
        <f>_xlfn.XLOOKUP(F179,'Same Seller Hist'!H:H,'Same Seller Hist'!E:E)</f>
        <v>1088017491</v>
      </c>
      <c r="D179" s="5" t="str">
        <f>_xlfn.XLOOKUP(F179,'Same Seller Hist'!H:H,'Same Seller Hist'!D:D)</f>
        <v>URSA MAIOR LED</v>
      </c>
      <c r="E179" s="5">
        <f>_xlfn.XLOOKUP(F179,'Same Seller Hist'!H:H,'Same Seller Hist'!I:I)</f>
        <v>7.4962923831496796E+18</v>
      </c>
      <c r="F179" s="5" t="s">
        <v>900</v>
      </c>
      <c r="G179" s="5">
        <f>_xlfn.XLOOKUP(C179,'Same Seller Hist'!E:E,'Same Seller Hist'!F:F)</f>
        <v>0</v>
      </c>
      <c r="H179" s="19">
        <f>_xlfn.IFNA(_xlfn.XLOOKUP(C179,'Shp 500'!D:D,'Shp 500'!I:I),0)</f>
        <v>0</v>
      </c>
      <c r="I179" s="19">
        <f>_xlfn.IFNA(_xlfn.XLOOKUP(C179,'Shp 500'!D:D,'Shp 500'!J:J),0)</f>
        <v>0</v>
      </c>
      <c r="J179" s="19">
        <v>706.45161290322585</v>
      </c>
      <c r="K179" s="19">
        <v>35483.870967741932</v>
      </c>
      <c r="L179" s="21" t="s">
        <v>2530</v>
      </c>
      <c r="M179" s="21" t="str">
        <f>IF(L179="Shp 500","Sim",IF(ISNA(_xlfn.XLOOKUP(C179,'Shp 500'!D:D,'Shp 500'!D:D)),"Não","Sim"))</f>
        <v>Não</v>
      </c>
      <c r="N179" s="21" t="str">
        <f>IF(L179="Fastmoss 500","Sim",IF(ISNA(_xlfn.XLOOKUP(_xlfn.XLOOKUP(C179,'Same Seller Hist'!E:E,'Same Seller Hist'!H:H),'Fastmoss 500'!D:D,'Fastmoss 500'!D:D)),"Não","Sim"))</f>
        <v>Sim</v>
      </c>
      <c r="O179" s="21" t="str">
        <f t="shared" si="6"/>
        <v>Não</v>
      </c>
      <c r="P179" s="21" t="str">
        <f t="shared" si="7"/>
        <v>Não</v>
      </c>
      <c r="Q179" s="21">
        <f t="shared" si="8"/>
        <v>1</v>
      </c>
    </row>
    <row r="180" spans="3:17" x14ac:dyDescent="0.35">
      <c r="C180" s="5">
        <f>_xlfn.XLOOKUP(F180,'Same Seller Hist'!H:H,'Same Seller Hist'!E:E)</f>
        <v>1299621852</v>
      </c>
      <c r="D180" s="5" t="str">
        <f>_xlfn.XLOOKUP(F180,'Same Seller Hist'!H:H,'Same Seller Hist'!D:D)</f>
        <v>Toem casa</v>
      </c>
      <c r="E180" s="5">
        <f>_xlfn.XLOOKUP(F180,'Same Seller Hist'!H:H,'Same Seller Hist'!I:I)</f>
        <v>7.4961531492206797E+18</v>
      </c>
      <c r="F180" s="5" t="s">
        <v>196</v>
      </c>
      <c r="G180" s="5" t="str">
        <f>_xlfn.XLOOKUP(C180,'Same Seller Hist'!E:E,'Same Seller Hist'!F:F)</f>
        <v>Auto &amp; Moto</v>
      </c>
      <c r="H180" s="19">
        <f>_xlfn.IFNA(_xlfn.XLOOKUP(C180,'Shp 500'!D:D,'Shp 500'!I:I),0)</f>
        <v>0</v>
      </c>
      <c r="I180" s="19">
        <f>_xlfn.IFNA(_xlfn.XLOOKUP(C180,'Shp 500'!D:D,'Shp 500'!J:J),0)</f>
        <v>0</v>
      </c>
      <c r="J180" s="19">
        <v>677.41935483870964</v>
      </c>
      <c r="K180" s="19">
        <v>14274.193548387097</v>
      </c>
      <c r="L180" s="21" t="s">
        <v>2530</v>
      </c>
      <c r="M180" s="21" t="str">
        <f>IF(L180="Shp 500","Sim",IF(ISNA(_xlfn.XLOOKUP(C180,'Shp 500'!D:D,'Shp 500'!D:D)),"Não","Sim"))</f>
        <v>Não</v>
      </c>
      <c r="N180" s="21" t="str">
        <f>IF(L180="Fastmoss 500","Sim",IF(ISNA(_xlfn.XLOOKUP(_xlfn.XLOOKUP(C180,'Same Seller Hist'!E:E,'Same Seller Hist'!H:H),'Fastmoss 500'!D:D,'Fastmoss 500'!D:D)),"Não","Sim"))</f>
        <v>Sim</v>
      </c>
      <c r="O180" s="21" t="str">
        <f t="shared" si="6"/>
        <v>Não</v>
      </c>
      <c r="P180" s="21" t="str">
        <f t="shared" si="7"/>
        <v>Não</v>
      </c>
      <c r="Q180" s="21">
        <f t="shared" si="8"/>
        <v>1</v>
      </c>
    </row>
    <row r="181" spans="3:17" x14ac:dyDescent="0.35">
      <c r="C181" s="5">
        <f>_xlfn.XLOOKUP(F181,'Same Seller Hist'!H:H,'Same Seller Hist'!E:E)</f>
        <v>1614658014</v>
      </c>
      <c r="D181" s="5" t="str">
        <f>_xlfn.XLOOKUP(F181,'Same Seller Hist'!H:H,'Same Seller Hist'!D:D)</f>
        <v>TOON STORE BR</v>
      </c>
      <c r="E181" s="5">
        <f>_xlfn.XLOOKUP(F181,'Same Seller Hist'!H:H,'Same Seller Hist'!I:I)</f>
        <v>7.49412604615134E+18</v>
      </c>
      <c r="F181" s="5" t="s">
        <v>343</v>
      </c>
      <c r="G181" s="5" t="str">
        <f>_xlfn.XLOOKUP(C181,'Same Seller Hist'!E:E,'Same Seller Hist'!F:F)</f>
        <v>FMCG</v>
      </c>
      <c r="H181" s="19">
        <f>_xlfn.IFNA(_xlfn.XLOOKUP(C181,'Shp 500'!D:D,'Shp 500'!I:I),0)</f>
        <v>0</v>
      </c>
      <c r="I181" s="19">
        <f>_xlfn.IFNA(_xlfn.XLOOKUP(C181,'Shp 500'!D:D,'Shp 500'!J:J),0)</f>
        <v>0</v>
      </c>
      <c r="J181" s="19">
        <v>661.29032258064512</v>
      </c>
      <c r="K181" s="19">
        <v>7254.8387096774195</v>
      </c>
      <c r="L181" s="21" t="s">
        <v>2530</v>
      </c>
      <c r="M181" s="21" t="str">
        <f>IF(L181="Shp 500","Sim",IF(ISNA(_xlfn.XLOOKUP(C181,'Shp 500'!D:D,'Shp 500'!D:D)),"Não","Sim"))</f>
        <v>Não</v>
      </c>
      <c r="N181" s="21" t="str">
        <f>IF(L181="Fastmoss 500","Sim",IF(ISNA(_xlfn.XLOOKUP(_xlfn.XLOOKUP(C181,'Same Seller Hist'!E:E,'Same Seller Hist'!H:H),'Fastmoss 500'!D:D,'Fastmoss 500'!D:D)),"Não","Sim"))</f>
        <v>Sim</v>
      </c>
      <c r="O181" s="21" t="str">
        <f t="shared" si="6"/>
        <v>Não</v>
      </c>
      <c r="P181" s="21" t="str">
        <f t="shared" si="7"/>
        <v>Não</v>
      </c>
      <c r="Q181" s="21">
        <f t="shared" si="8"/>
        <v>1</v>
      </c>
    </row>
    <row r="182" spans="3:17" x14ac:dyDescent="0.35">
      <c r="C182" s="5">
        <f>_xlfn.XLOOKUP(F182,'Same Seller Hist'!H:H,'Same Seller Hist'!E:E)</f>
        <v>908134378</v>
      </c>
      <c r="D182" s="5" t="str">
        <f>_xlfn.XLOOKUP(F182,'Same Seller Hist'!H:H,'Same Seller Hist'!D:D)</f>
        <v>QUEEN SHOP SP</v>
      </c>
      <c r="E182" s="5">
        <f>_xlfn.XLOOKUP(F182,'Same Seller Hist'!H:H,'Same Seller Hist'!I:I)</f>
        <v>7.4962013477058304E+18</v>
      </c>
      <c r="F182" s="5" t="s">
        <v>744</v>
      </c>
      <c r="G182" s="5" t="str">
        <f>_xlfn.XLOOKUP(C182,'Same Seller Hist'!E:E,'Same Seller Hist'!F:F)</f>
        <v>ELHA</v>
      </c>
      <c r="H182" s="19">
        <f>_xlfn.IFNA(_xlfn.XLOOKUP(C182,'Shp 500'!D:D,'Shp 500'!I:I),0)</f>
        <v>0</v>
      </c>
      <c r="I182" s="19">
        <f>_xlfn.IFNA(_xlfn.XLOOKUP(C182,'Shp 500'!D:D,'Shp 500'!J:J),0)</f>
        <v>0</v>
      </c>
      <c r="J182" s="19">
        <v>661.29032258064512</v>
      </c>
      <c r="K182" s="19">
        <v>6496.7741935483873</v>
      </c>
      <c r="L182" s="21" t="s">
        <v>2530</v>
      </c>
      <c r="M182" s="21" t="str">
        <f>IF(L182="Shp 500","Sim",IF(ISNA(_xlfn.XLOOKUP(C182,'Shp 500'!D:D,'Shp 500'!D:D)),"Não","Sim"))</f>
        <v>Não</v>
      </c>
      <c r="N182" s="21" t="str">
        <f>IF(L182="Fastmoss 500","Sim",IF(ISNA(_xlfn.XLOOKUP(_xlfn.XLOOKUP(C182,'Same Seller Hist'!E:E,'Same Seller Hist'!H:H),'Fastmoss 500'!D:D,'Fastmoss 500'!D:D)),"Não","Sim"))</f>
        <v>Sim</v>
      </c>
      <c r="O182" s="21" t="str">
        <f t="shared" si="6"/>
        <v>Não</v>
      </c>
      <c r="P182" s="21" t="str">
        <f t="shared" si="7"/>
        <v>Não</v>
      </c>
      <c r="Q182" s="21">
        <f t="shared" si="8"/>
        <v>1</v>
      </c>
    </row>
    <row r="183" spans="3:17" x14ac:dyDescent="0.35">
      <c r="C183" s="5">
        <f>_xlfn.XLOOKUP(F183,'Same Seller Hist'!H:H,'Same Seller Hist'!E:E)</f>
        <v>998268968</v>
      </c>
      <c r="D183" s="5" t="str">
        <f>_xlfn.XLOOKUP(F183,'Same Seller Hist'!H:H,'Same Seller Hist'!D:D)</f>
        <v>Romafam</v>
      </c>
      <c r="E183" s="5">
        <f>_xlfn.XLOOKUP(F183,'Same Seller Hist'!H:H,'Same Seller Hist'!I:I)</f>
        <v>7.4961833107668603E+18</v>
      </c>
      <c r="F183" s="5" t="s">
        <v>773</v>
      </c>
      <c r="G183" s="5" t="str">
        <f>_xlfn.XLOOKUP(C183,'Same Seller Hist'!E:E,'Same Seller Hist'!F:F)</f>
        <v>Fashion</v>
      </c>
      <c r="H183" s="19">
        <f>_xlfn.IFNA(_xlfn.XLOOKUP(C183,'Shp 500'!D:D,'Shp 500'!I:I),0)</f>
        <v>0</v>
      </c>
      <c r="I183" s="19">
        <f>_xlfn.IFNA(_xlfn.XLOOKUP(C183,'Shp 500'!D:D,'Shp 500'!J:J),0)</f>
        <v>0</v>
      </c>
      <c r="J183" s="19">
        <v>648.38709677419354</v>
      </c>
      <c r="K183" s="19">
        <v>26358.064516129034</v>
      </c>
      <c r="L183" s="21" t="s">
        <v>2530</v>
      </c>
      <c r="M183" s="21" t="str">
        <f>IF(L183="Shp 500","Sim",IF(ISNA(_xlfn.XLOOKUP(C183,'Shp 500'!D:D,'Shp 500'!D:D)),"Não","Sim"))</f>
        <v>Não</v>
      </c>
      <c r="N183" s="21" t="str">
        <f>IF(L183="Fastmoss 500","Sim",IF(ISNA(_xlfn.XLOOKUP(_xlfn.XLOOKUP(C183,'Same Seller Hist'!E:E,'Same Seller Hist'!H:H),'Fastmoss 500'!D:D,'Fastmoss 500'!D:D)),"Não","Sim"))</f>
        <v>Sim</v>
      </c>
      <c r="O183" s="21" t="str">
        <f t="shared" si="6"/>
        <v>Não</v>
      </c>
      <c r="P183" s="21" t="str">
        <f t="shared" si="7"/>
        <v>Não</v>
      </c>
      <c r="Q183" s="21">
        <f t="shared" si="8"/>
        <v>1</v>
      </c>
    </row>
    <row r="184" spans="3:17" x14ac:dyDescent="0.35">
      <c r="C184" s="5">
        <f>_xlfn.XLOOKUP(F184,'Same Seller Hist'!H:H,'Same Seller Hist'!E:E)</f>
        <v>1191862620</v>
      </c>
      <c r="D184" s="5" t="str">
        <f>_xlfn.XLOOKUP(F184,'Same Seller Hist'!H:H,'Same Seller Hist'!D:D)</f>
        <v>Movimento</v>
      </c>
      <c r="E184" s="5">
        <f>_xlfn.XLOOKUP(F184,'Same Seller Hist'!H:H,'Same Seller Hist'!I:I)</f>
        <v>7.49409302584495E+18</v>
      </c>
      <c r="F184" s="5" t="s">
        <v>886</v>
      </c>
      <c r="G184" s="5">
        <f>_xlfn.XLOOKUP(C184,'Same Seller Hist'!E:E,'Same Seller Hist'!F:F)</f>
        <v>0</v>
      </c>
      <c r="H184" s="19">
        <f>_xlfn.IFNA(_xlfn.XLOOKUP(C184,'Shp 500'!D:D,'Shp 500'!I:I),0)</f>
        <v>0</v>
      </c>
      <c r="I184" s="19">
        <f>_xlfn.IFNA(_xlfn.XLOOKUP(C184,'Shp 500'!D:D,'Shp 500'!J:J),0)</f>
        <v>0</v>
      </c>
      <c r="J184" s="19">
        <v>645.16129032258061</v>
      </c>
      <c r="K184" s="19">
        <v>13154.838709677419</v>
      </c>
      <c r="L184" s="21" t="s">
        <v>2530</v>
      </c>
      <c r="M184" s="21" t="str">
        <f>IF(L184="Shp 500","Sim",IF(ISNA(_xlfn.XLOOKUP(C184,'Shp 500'!D:D,'Shp 500'!D:D)),"Não","Sim"))</f>
        <v>Não</v>
      </c>
      <c r="N184" s="21" t="str">
        <f>IF(L184="Fastmoss 500","Sim",IF(ISNA(_xlfn.XLOOKUP(_xlfn.XLOOKUP(C184,'Same Seller Hist'!E:E,'Same Seller Hist'!H:H),'Fastmoss 500'!D:D,'Fastmoss 500'!D:D)),"Não","Sim"))</f>
        <v>Sim</v>
      </c>
      <c r="O184" s="21" t="str">
        <f t="shared" si="6"/>
        <v>Não</v>
      </c>
      <c r="P184" s="21" t="str">
        <f t="shared" si="7"/>
        <v>Não</v>
      </c>
      <c r="Q184" s="21">
        <f t="shared" si="8"/>
        <v>1</v>
      </c>
    </row>
    <row r="185" spans="3:17" x14ac:dyDescent="0.35">
      <c r="C185" s="5">
        <f>_xlfn.XLOOKUP(F185,'Same Seller Hist'!H:H,'Same Seller Hist'!E:E)</f>
        <v>326857141</v>
      </c>
      <c r="D185" s="5" t="str">
        <f>_xlfn.XLOOKUP(F185,'Same Seller Hist'!H:H,'Same Seller Hist'!D:D)</f>
        <v>Galan Modas</v>
      </c>
      <c r="E185" s="5">
        <f>_xlfn.XLOOKUP(F185,'Same Seller Hist'!H:H,'Same Seller Hist'!I:I)</f>
        <v>7.4961906169541704E+18</v>
      </c>
      <c r="F185" s="5" t="s">
        <v>428</v>
      </c>
      <c r="G185" s="5" t="str">
        <f>_xlfn.XLOOKUP(C185,'Same Seller Hist'!E:E,'Same Seller Hist'!F:F)</f>
        <v>Fashion</v>
      </c>
      <c r="H185" s="19">
        <f>_xlfn.IFNA(_xlfn.XLOOKUP(C185,'Shp 500'!D:D,'Shp 500'!I:I),0)</f>
        <v>0</v>
      </c>
      <c r="I185" s="19">
        <f>_xlfn.IFNA(_xlfn.XLOOKUP(C185,'Shp 500'!D:D,'Shp 500'!J:J),0)</f>
        <v>0</v>
      </c>
      <c r="J185" s="19">
        <v>641.93548387096769</v>
      </c>
      <c r="K185" s="19">
        <v>29080.645161290322</v>
      </c>
      <c r="L185" s="21" t="s">
        <v>2530</v>
      </c>
      <c r="M185" s="21" t="str">
        <f>IF(L185="Shp 500","Sim",IF(ISNA(_xlfn.XLOOKUP(C185,'Shp 500'!D:D,'Shp 500'!D:D)),"Não","Sim"))</f>
        <v>Não</v>
      </c>
      <c r="N185" s="21" t="str">
        <f>IF(L185="Fastmoss 500","Sim",IF(ISNA(_xlfn.XLOOKUP(_xlfn.XLOOKUP(C185,'Same Seller Hist'!E:E,'Same Seller Hist'!H:H),'Fastmoss 500'!D:D,'Fastmoss 500'!D:D)),"Não","Sim"))</f>
        <v>Sim</v>
      </c>
      <c r="O185" s="21" t="str">
        <f t="shared" si="6"/>
        <v>Não</v>
      </c>
      <c r="P185" s="21" t="str">
        <f t="shared" si="7"/>
        <v>Não</v>
      </c>
      <c r="Q185" s="21">
        <f t="shared" si="8"/>
        <v>1</v>
      </c>
    </row>
    <row r="186" spans="3:17" x14ac:dyDescent="0.35">
      <c r="C186" s="5">
        <f>_xlfn.XLOOKUP(F186,'Same Seller Hist'!H:H,'Same Seller Hist'!E:E)</f>
        <v>1598954691</v>
      </c>
      <c r="D186" s="5" t="str">
        <f>_xlfn.XLOOKUP(F186,'Same Seller Hist'!H:H,'Same Seller Hist'!D:D)</f>
        <v>JACK CELL BR</v>
      </c>
      <c r="E186" s="5">
        <f>_xlfn.XLOOKUP(F186,'Same Seller Hist'!H:H,'Same Seller Hist'!I:I)</f>
        <v>7.4941814398506404E+18</v>
      </c>
      <c r="F186" s="5" t="s">
        <v>868</v>
      </c>
      <c r="G186" s="5">
        <f>_xlfn.XLOOKUP(C186,'Same Seller Hist'!E:E,'Same Seller Hist'!F:F)</f>
        <v>0</v>
      </c>
      <c r="H186" s="19">
        <f>_xlfn.IFNA(_xlfn.XLOOKUP(C186,'Shp 500'!D:D,'Shp 500'!I:I),0)</f>
        <v>0</v>
      </c>
      <c r="I186" s="19">
        <f>_xlfn.IFNA(_xlfn.XLOOKUP(C186,'Shp 500'!D:D,'Shp 500'!J:J),0)</f>
        <v>0</v>
      </c>
      <c r="J186" s="19">
        <v>632.25806451612902</v>
      </c>
      <c r="K186" s="19">
        <v>38709.677419354841</v>
      </c>
      <c r="L186" s="21" t="s">
        <v>2530</v>
      </c>
      <c r="M186" s="21" t="str">
        <f>IF(L186="Shp 500","Sim",IF(ISNA(_xlfn.XLOOKUP(C186,'Shp 500'!D:D,'Shp 500'!D:D)),"Não","Sim"))</f>
        <v>Não</v>
      </c>
      <c r="N186" s="21" t="str">
        <f>IF(L186="Fastmoss 500","Sim",IF(ISNA(_xlfn.XLOOKUP(_xlfn.XLOOKUP(C186,'Same Seller Hist'!E:E,'Same Seller Hist'!H:H),'Fastmoss 500'!D:D,'Fastmoss 500'!D:D)),"Não","Sim"))</f>
        <v>Sim</v>
      </c>
      <c r="O186" s="21" t="str">
        <f t="shared" si="6"/>
        <v>Não</v>
      </c>
      <c r="P186" s="21" t="str">
        <f t="shared" si="7"/>
        <v>Não</v>
      </c>
      <c r="Q186" s="21">
        <f t="shared" si="8"/>
        <v>1</v>
      </c>
    </row>
    <row r="187" spans="3:17" x14ac:dyDescent="0.35">
      <c r="C187" s="5">
        <v>995022276</v>
      </c>
      <c r="D187" s="5" t="s">
        <v>1349</v>
      </c>
      <c r="E187" s="5">
        <f>_xlfn.XLOOKUP(C187,'Same Seller Hist'!E:E,'Same Seller Hist'!I:I)</f>
        <v>7.4961622281287404E+18</v>
      </c>
      <c r="F187" s="5" t="str">
        <f>_xlfn.XLOOKUP(C187,'Same Seller Hist'!E:E,'Same Seller Hist'!H:H)</f>
        <v>PanguTK</v>
      </c>
      <c r="G187" s="5" t="s">
        <v>1734</v>
      </c>
      <c r="H187" s="19">
        <v>2114.3548387096776</v>
      </c>
      <c r="I187" s="19">
        <v>17475.863132709583</v>
      </c>
      <c r="J187" s="19">
        <f>_xlfn.IFNA(_xlfn.XLOOKUP(F187,'Fastmoss 500'!D:D,'Fastmoss 500'!O:O),0)</f>
        <v>354.83870967741933</v>
      </c>
      <c r="K187" s="19">
        <f>_xlfn.IFNA(_xlfn.XLOOKUP(F187,'Fastmoss 500'!D:D,'Fastmoss 500'!N:N),0)</f>
        <v>20287.096774193549</v>
      </c>
      <c r="L187" s="21" t="s">
        <v>2528</v>
      </c>
      <c r="M187" s="21" t="str">
        <f>IF(L187="Shp 500","Sim",IF(ISNA(_xlfn.XLOOKUP(C187,'Shp 500'!D:D,'Shp 500'!D:D)),"Não","Sim"))</f>
        <v>Sim</v>
      </c>
      <c r="N187" s="21" t="str">
        <f>IF(L187="Fastmoss 500","Sim",IF(ISNA(_xlfn.XLOOKUP(_xlfn.XLOOKUP(C187,'Same Seller Hist'!E:E,'Same Seller Hist'!H:H),'Fastmoss 500'!D:D,'Fastmoss 500'!D:D)),"Não","Sim"))</f>
        <v>Sim</v>
      </c>
      <c r="O187" s="21" t="str">
        <f t="shared" si="6"/>
        <v>Sim</v>
      </c>
      <c r="P187" s="21" t="str">
        <f t="shared" si="7"/>
        <v>Não</v>
      </c>
      <c r="Q187" s="21">
        <f t="shared" si="8"/>
        <v>1</v>
      </c>
    </row>
    <row r="188" spans="3:17" x14ac:dyDescent="0.35">
      <c r="C188" s="5">
        <f>_xlfn.XLOOKUP(F188,'Same Seller Hist'!H:H,'Same Seller Hist'!E:E)</f>
        <v>773016601</v>
      </c>
      <c r="D188" s="5" t="str">
        <f>_xlfn.XLOOKUP(F188,'Same Seller Hist'!H:H,'Same Seller Hist'!D:D)</f>
        <v>Mais.Amor</v>
      </c>
      <c r="E188" s="5">
        <f>_xlfn.XLOOKUP(F188,'Same Seller Hist'!H:H,'Same Seller Hist'!I:I)</f>
        <v>7.49616228573888E+18</v>
      </c>
      <c r="F188" s="5" t="s">
        <v>700</v>
      </c>
      <c r="G188" s="5" t="str">
        <f>_xlfn.XLOOKUP(C188,'Same Seller Hist'!E:E,'Same Seller Hist'!F:F)</f>
        <v>Lifestyle</v>
      </c>
      <c r="H188" s="19">
        <f>_xlfn.IFNA(_xlfn.XLOOKUP(C188,'Shp 500'!D:D,'Shp 500'!I:I),0)</f>
        <v>0</v>
      </c>
      <c r="I188" s="19">
        <f>_xlfn.IFNA(_xlfn.XLOOKUP(C188,'Shp 500'!D:D,'Shp 500'!J:J),0)</f>
        <v>0</v>
      </c>
      <c r="J188" s="19">
        <v>622.58064516129036</v>
      </c>
      <c r="K188" s="19">
        <v>21635.483870967742</v>
      </c>
      <c r="L188" s="21" t="s">
        <v>2530</v>
      </c>
      <c r="M188" s="21" t="str">
        <f>IF(L188="Shp 500","Sim",IF(ISNA(_xlfn.XLOOKUP(C188,'Shp 500'!D:D,'Shp 500'!D:D)),"Não","Sim"))</f>
        <v>Não</v>
      </c>
      <c r="N188" s="21" t="str">
        <f>IF(L188="Fastmoss 500","Sim",IF(ISNA(_xlfn.XLOOKUP(_xlfn.XLOOKUP(C188,'Same Seller Hist'!E:E,'Same Seller Hist'!H:H),'Fastmoss 500'!D:D,'Fastmoss 500'!D:D)),"Não","Sim"))</f>
        <v>Sim</v>
      </c>
      <c r="O188" s="21" t="str">
        <f t="shared" si="6"/>
        <v>Não</v>
      </c>
      <c r="P188" s="21" t="str">
        <f t="shared" si="7"/>
        <v>Não</v>
      </c>
      <c r="Q188" s="21">
        <f t="shared" si="8"/>
        <v>1</v>
      </c>
    </row>
    <row r="189" spans="3:17" x14ac:dyDescent="0.35">
      <c r="C189" s="5">
        <f>_xlfn.XLOOKUP(F189,'Same Seller Hist'!H:H,'Same Seller Hist'!E:E)</f>
        <v>815223259</v>
      </c>
      <c r="D189" s="5" t="str">
        <f>_xlfn.XLOOKUP(F189,'Same Seller Hist'!H:H,'Same Seller Hist'!D:D)</f>
        <v>RH OUTLET</v>
      </c>
      <c r="E189" s="5">
        <f>_xlfn.XLOOKUP(F189,'Same Seller Hist'!H:H,'Same Seller Hist'!I:I)</f>
        <v>7.49627769569617E+18</v>
      </c>
      <c r="F189" s="5" t="s">
        <v>717</v>
      </c>
      <c r="G189" s="5" t="str">
        <f>_xlfn.XLOOKUP(C189,'Same Seller Hist'!E:E,'Same Seller Hist'!F:F)</f>
        <v>Fashion</v>
      </c>
      <c r="H189" s="19">
        <f>_xlfn.IFNA(_xlfn.XLOOKUP(C189,'Shp 500'!D:D,'Shp 500'!I:I),0)</f>
        <v>0</v>
      </c>
      <c r="I189" s="19">
        <f>_xlfn.IFNA(_xlfn.XLOOKUP(C189,'Shp 500'!D:D,'Shp 500'!J:J),0)</f>
        <v>0</v>
      </c>
      <c r="J189" s="19">
        <v>593.54838709677415</v>
      </c>
      <c r="K189" s="19">
        <v>26835.483870967742</v>
      </c>
      <c r="L189" s="21" t="s">
        <v>2530</v>
      </c>
      <c r="M189" s="21" t="str">
        <f>IF(L189="Shp 500","Sim",IF(ISNA(_xlfn.XLOOKUP(C189,'Shp 500'!D:D,'Shp 500'!D:D)),"Não","Sim"))</f>
        <v>Não</v>
      </c>
      <c r="N189" s="21" t="str">
        <f>IF(L189="Fastmoss 500","Sim",IF(ISNA(_xlfn.XLOOKUP(_xlfn.XLOOKUP(C189,'Same Seller Hist'!E:E,'Same Seller Hist'!H:H),'Fastmoss 500'!D:D,'Fastmoss 500'!D:D)),"Não","Sim"))</f>
        <v>Sim</v>
      </c>
      <c r="O189" s="21" t="str">
        <f t="shared" si="6"/>
        <v>Não</v>
      </c>
      <c r="P189" s="21" t="str">
        <f t="shared" si="7"/>
        <v>Não</v>
      </c>
      <c r="Q189" s="21">
        <f t="shared" si="8"/>
        <v>1</v>
      </c>
    </row>
    <row r="190" spans="3:17" x14ac:dyDescent="0.35">
      <c r="C190" s="5">
        <v>1025824477</v>
      </c>
      <c r="D190" s="5" t="s">
        <v>1296</v>
      </c>
      <c r="E190" s="5">
        <f>_xlfn.XLOOKUP(C190,'Same Seller Hist'!E:E,'Same Seller Hist'!I:I)</f>
        <v>7.4941815193772698E+18</v>
      </c>
      <c r="F190" s="5" t="str">
        <f>_xlfn.XLOOKUP(C190,'Same Seller Hist'!E:E,'Same Seller Hist'!H:H)</f>
        <v>YUMI CELL BR</v>
      </c>
      <c r="G190" s="5" t="s">
        <v>1734</v>
      </c>
      <c r="H190" s="19">
        <v>3297.7741935483873</v>
      </c>
      <c r="I190" s="19">
        <v>25555.054528622935</v>
      </c>
      <c r="J190" s="19">
        <f>_xlfn.IFNA(_xlfn.XLOOKUP(F190,'Fastmoss 500'!D:D,'Fastmoss 500'!O:O),0)</f>
        <v>235.48387096774192</v>
      </c>
      <c r="K190" s="19">
        <f>_xlfn.IFNA(_xlfn.XLOOKUP(F190,'Fastmoss 500'!D:D,'Fastmoss 500'!N:N),0)</f>
        <v>17706.451612903227</v>
      </c>
      <c r="L190" s="21" t="s">
        <v>2528</v>
      </c>
      <c r="M190" s="21" t="str">
        <f>IF(L190="Shp 500","Sim",IF(ISNA(_xlfn.XLOOKUP(C190,'Shp 500'!D:D,'Shp 500'!D:D)),"Não","Sim"))</f>
        <v>Sim</v>
      </c>
      <c r="N190" s="21" t="str">
        <f>IF(L190="Fastmoss 500","Sim",IF(ISNA(_xlfn.XLOOKUP(_xlfn.XLOOKUP(C190,'Same Seller Hist'!E:E,'Same Seller Hist'!H:H),'Fastmoss 500'!D:D,'Fastmoss 500'!D:D)),"Não","Sim"))</f>
        <v>Sim</v>
      </c>
      <c r="O190" s="21" t="str">
        <f t="shared" si="6"/>
        <v>Sim</v>
      </c>
      <c r="P190" s="21" t="str">
        <f t="shared" si="7"/>
        <v>Sim</v>
      </c>
      <c r="Q190" s="21">
        <f t="shared" si="8"/>
        <v>1</v>
      </c>
    </row>
    <row r="191" spans="3:17" x14ac:dyDescent="0.35">
      <c r="C191" s="5">
        <f>_xlfn.XLOOKUP(F191,'Same Seller Hist'!H:H,'Same Seller Hist'!E:E)</f>
        <v>1226196647</v>
      </c>
      <c r="D191" s="5" t="str">
        <f>_xlfn.XLOOKUP(F191,'Same Seller Hist'!H:H,'Same Seller Hist'!D:D)</f>
        <v>CECILIA PRESENTE</v>
      </c>
      <c r="E191" s="5">
        <f>_xlfn.XLOOKUP(F191,'Same Seller Hist'!H:H,'Same Seller Hist'!I:I)</f>
        <v>7.4941813792897403E+18</v>
      </c>
      <c r="F191" s="5" t="s">
        <v>854</v>
      </c>
      <c r="G191" s="5">
        <f>_xlfn.XLOOKUP(C191,'Same Seller Hist'!E:E,'Same Seller Hist'!F:F)</f>
        <v>0</v>
      </c>
      <c r="H191" s="19">
        <f>_xlfn.IFNA(_xlfn.XLOOKUP(C191,'Shp 500'!D:D,'Shp 500'!I:I),0)</f>
        <v>0</v>
      </c>
      <c r="I191" s="19">
        <f>_xlfn.IFNA(_xlfn.XLOOKUP(C191,'Shp 500'!D:D,'Shp 500'!J:J),0)</f>
        <v>0</v>
      </c>
      <c r="J191" s="19">
        <v>587.09677419354841</v>
      </c>
      <c r="K191" s="19">
        <v>16874.193548387098</v>
      </c>
      <c r="L191" s="21" t="s">
        <v>2530</v>
      </c>
      <c r="M191" s="21" t="str">
        <f>IF(L191="Shp 500","Sim",IF(ISNA(_xlfn.XLOOKUP(C191,'Shp 500'!D:D,'Shp 500'!D:D)),"Não","Sim"))</f>
        <v>Não</v>
      </c>
      <c r="N191" s="21" t="str">
        <f>IF(L191="Fastmoss 500","Sim",IF(ISNA(_xlfn.XLOOKUP(_xlfn.XLOOKUP(C191,'Same Seller Hist'!E:E,'Same Seller Hist'!H:H),'Fastmoss 500'!D:D,'Fastmoss 500'!D:D)),"Não","Sim"))</f>
        <v>Sim</v>
      </c>
      <c r="O191" s="21" t="str">
        <f t="shared" si="6"/>
        <v>Não</v>
      </c>
      <c r="P191" s="21" t="str">
        <f t="shared" si="7"/>
        <v>Não</v>
      </c>
      <c r="Q191" s="21">
        <f t="shared" si="8"/>
        <v>1</v>
      </c>
    </row>
    <row r="192" spans="3:17" x14ac:dyDescent="0.35">
      <c r="C192" s="5">
        <f>_xlfn.XLOOKUP(F192,'Same Seller Hist'!H:H,'Same Seller Hist'!E:E)</f>
        <v>1600146163</v>
      </c>
      <c r="D192" s="5" t="str">
        <f>_xlfn.XLOOKUP(F192,'Same Seller Hist'!H:H,'Same Seller Hist'!D:D)</f>
        <v>JADE COSMÉTICOS</v>
      </c>
      <c r="E192" s="5">
        <f>_xlfn.XLOOKUP(F192,'Same Seller Hist'!H:H,'Same Seller Hist'!I:I)</f>
        <v>7.4963223822983096E+18</v>
      </c>
      <c r="F192" s="5" t="s">
        <v>336</v>
      </c>
      <c r="G192" s="5" t="str">
        <f>_xlfn.XLOOKUP(C192,'Same Seller Hist'!E:E,'Same Seller Hist'!F:F)</f>
        <v>FMCG</v>
      </c>
      <c r="H192" s="19">
        <f>_xlfn.IFNA(_xlfn.XLOOKUP(C192,'Shp 500'!D:D,'Shp 500'!I:I),0)</f>
        <v>0</v>
      </c>
      <c r="I192" s="19">
        <f>_xlfn.IFNA(_xlfn.XLOOKUP(C192,'Shp 500'!D:D,'Shp 500'!J:J),0)</f>
        <v>0</v>
      </c>
      <c r="J192" s="19">
        <v>583.87096774193549</v>
      </c>
      <c r="K192" s="19">
        <v>26667.741935483871</v>
      </c>
      <c r="L192" s="21" t="s">
        <v>2530</v>
      </c>
      <c r="M192" s="21" t="str">
        <f>IF(L192="Shp 500","Sim",IF(ISNA(_xlfn.XLOOKUP(C192,'Shp 500'!D:D,'Shp 500'!D:D)),"Não","Sim"))</f>
        <v>Não</v>
      </c>
      <c r="N192" s="21" t="str">
        <f>IF(L192="Fastmoss 500","Sim",IF(ISNA(_xlfn.XLOOKUP(_xlfn.XLOOKUP(C192,'Same Seller Hist'!E:E,'Same Seller Hist'!H:H),'Fastmoss 500'!D:D,'Fastmoss 500'!D:D)),"Não","Sim"))</f>
        <v>Sim</v>
      </c>
      <c r="O192" s="21" t="str">
        <f t="shared" si="6"/>
        <v>Não</v>
      </c>
      <c r="P192" s="21" t="str">
        <f t="shared" si="7"/>
        <v>Não</v>
      </c>
      <c r="Q192" s="21">
        <f t="shared" si="8"/>
        <v>1</v>
      </c>
    </row>
    <row r="193" spans="3:17" x14ac:dyDescent="0.35">
      <c r="C193" s="5">
        <f>_xlfn.XLOOKUP(F193,'Same Seller Hist'!H:H,'Same Seller Hist'!E:E)</f>
        <v>1017564998</v>
      </c>
      <c r="D193" s="5" t="str">
        <f>_xlfn.XLOOKUP(F193,'Same Seller Hist'!H:H,'Same Seller Hist'!D:D)</f>
        <v>YIYI MODA</v>
      </c>
      <c r="E193" s="5">
        <f>_xlfn.XLOOKUP(F193,'Same Seller Hist'!H:H,'Same Seller Hist'!I:I)</f>
        <v>7.49615188358912E+18</v>
      </c>
      <c r="F193" s="5" t="s">
        <v>54</v>
      </c>
      <c r="G193" s="5" t="str">
        <f>_xlfn.XLOOKUP(C193,'Same Seller Hist'!E:E,'Same Seller Hist'!F:F)</f>
        <v>Lifestyle</v>
      </c>
      <c r="H193" s="19">
        <f>_xlfn.IFNA(_xlfn.XLOOKUP(C193,'Shp 500'!D:D,'Shp 500'!I:I),0)</f>
        <v>0</v>
      </c>
      <c r="I193" s="19">
        <f>_xlfn.IFNA(_xlfn.XLOOKUP(C193,'Shp 500'!D:D,'Shp 500'!J:J),0)</f>
        <v>0</v>
      </c>
      <c r="J193" s="19">
        <v>574.19354838709683</v>
      </c>
      <c r="K193" s="19">
        <v>26151.612903225807</v>
      </c>
      <c r="L193" s="21" t="s">
        <v>2530</v>
      </c>
      <c r="M193" s="21" t="str">
        <f>IF(L193="Shp 500","Sim",IF(ISNA(_xlfn.XLOOKUP(C193,'Shp 500'!D:D,'Shp 500'!D:D)),"Não","Sim"))</f>
        <v>Não</v>
      </c>
      <c r="N193" s="21" t="str">
        <f>IF(L193="Fastmoss 500","Sim",IF(ISNA(_xlfn.XLOOKUP(_xlfn.XLOOKUP(C193,'Same Seller Hist'!E:E,'Same Seller Hist'!H:H),'Fastmoss 500'!D:D,'Fastmoss 500'!D:D)),"Não","Sim"))</f>
        <v>Sim</v>
      </c>
      <c r="O193" s="21" t="str">
        <f t="shared" si="6"/>
        <v>Não</v>
      </c>
      <c r="P193" s="21" t="str">
        <f t="shared" si="7"/>
        <v>Não</v>
      </c>
      <c r="Q193" s="21">
        <f t="shared" si="8"/>
        <v>1</v>
      </c>
    </row>
    <row r="194" spans="3:17" x14ac:dyDescent="0.35">
      <c r="C194" s="5">
        <f>_xlfn.XLOOKUP(F194,'Same Seller Hist'!H:H,'Same Seller Hist'!E:E)</f>
        <v>395166866</v>
      </c>
      <c r="D194" s="5" t="str">
        <f>_xlfn.XLOOKUP(F194,'Same Seller Hist'!H:H,'Same Seller Hist'!D:D)</f>
        <v>KOKESHI COSMETICOS</v>
      </c>
      <c r="E194" s="5">
        <f>_xlfn.XLOOKUP(F194,'Same Seller Hist'!H:H,'Same Seller Hist'!I:I)</f>
        <v>7.4962047435408998E+18</v>
      </c>
      <c r="F194" s="5" t="s">
        <v>525</v>
      </c>
      <c r="G194" s="5" t="str">
        <f>_xlfn.XLOOKUP(C194,'Same Seller Hist'!E:E,'Same Seller Hist'!F:F)</f>
        <v>FMCG</v>
      </c>
      <c r="H194" s="19">
        <f>_xlfn.IFNA(_xlfn.XLOOKUP(C194,'Shp 500'!D:D,'Shp 500'!I:I),0)</f>
        <v>0</v>
      </c>
      <c r="I194" s="19">
        <f>_xlfn.IFNA(_xlfn.XLOOKUP(C194,'Shp 500'!D:D,'Shp 500'!J:J),0)</f>
        <v>0</v>
      </c>
      <c r="J194" s="19">
        <v>570.9677419354839</v>
      </c>
      <c r="K194" s="19">
        <v>25664.516129032258</v>
      </c>
      <c r="L194" s="21" t="s">
        <v>2530</v>
      </c>
      <c r="M194" s="21" t="str">
        <f>IF(L194="Shp 500","Sim",IF(ISNA(_xlfn.XLOOKUP(C194,'Shp 500'!D:D,'Shp 500'!D:D)),"Não","Sim"))</f>
        <v>Não</v>
      </c>
      <c r="N194" s="21" t="str">
        <f>IF(L194="Fastmoss 500","Sim",IF(ISNA(_xlfn.XLOOKUP(_xlfn.XLOOKUP(C194,'Same Seller Hist'!E:E,'Same Seller Hist'!H:H),'Fastmoss 500'!D:D,'Fastmoss 500'!D:D)),"Não","Sim"))</f>
        <v>Sim</v>
      </c>
      <c r="O194" s="21" t="str">
        <f t="shared" si="6"/>
        <v>Não</v>
      </c>
      <c r="P194" s="21" t="str">
        <f t="shared" si="7"/>
        <v>Não</v>
      </c>
      <c r="Q194" s="21">
        <f t="shared" si="8"/>
        <v>1</v>
      </c>
    </row>
    <row r="195" spans="3:17" x14ac:dyDescent="0.35">
      <c r="C195" s="5">
        <f>_xlfn.XLOOKUP(F195,'Same Seller Hist'!H:H,'Same Seller Hist'!E:E)</f>
        <v>331042174</v>
      </c>
      <c r="D195" s="5" t="str">
        <f>_xlfn.XLOOKUP(F195,'Same Seller Hist'!H:H,'Same Seller Hist'!D:D)</f>
        <v>Xavierabolsa</v>
      </c>
      <c r="E195" s="5">
        <f>_xlfn.XLOOKUP(F195,'Same Seller Hist'!H:H,'Same Seller Hist'!I:I)</f>
        <v>7.4961616062722499E+18</v>
      </c>
      <c r="F195" s="5" t="s">
        <v>435</v>
      </c>
      <c r="G195" s="5" t="str">
        <f>_xlfn.XLOOKUP(C195,'Same Seller Hist'!E:E,'Same Seller Hist'!F:F)</f>
        <v>Fashion</v>
      </c>
      <c r="H195" s="19">
        <f>_xlfn.IFNA(_xlfn.XLOOKUP(C195,'Shp 500'!D:D,'Shp 500'!I:I),0)</f>
        <v>0</v>
      </c>
      <c r="I195" s="19">
        <f>_xlfn.IFNA(_xlfn.XLOOKUP(C195,'Shp 500'!D:D,'Shp 500'!J:J),0)</f>
        <v>0</v>
      </c>
      <c r="J195" s="19">
        <v>570.9677419354839</v>
      </c>
      <c r="K195" s="19">
        <v>58064.516129032258</v>
      </c>
      <c r="L195" s="21" t="s">
        <v>2530</v>
      </c>
      <c r="M195" s="21" t="str">
        <f>IF(L195="Shp 500","Sim",IF(ISNA(_xlfn.XLOOKUP(C195,'Shp 500'!D:D,'Shp 500'!D:D)),"Não","Sim"))</f>
        <v>Não</v>
      </c>
      <c r="N195" s="21" t="str">
        <f>IF(L195="Fastmoss 500","Sim",IF(ISNA(_xlfn.XLOOKUP(_xlfn.XLOOKUP(C195,'Same Seller Hist'!E:E,'Same Seller Hist'!H:H),'Fastmoss 500'!D:D,'Fastmoss 500'!D:D)),"Não","Sim"))</f>
        <v>Sim</v>
      </c>
      <c r="O195" s="21" t="str">
        <f t="shared" si="6"/>
        <v>Não</v>
      </c>
      <c r="P195" s="21" t="str">
        <f t="shared" si="7"/>
        <v>Não</v>
      </c>
      <c r="Q195" s="21">
        <f t="shared" si="8"/>
        <v>1</v>
      </c>
    </row>
    <row r="196" spans="3:17" x14ac:dyDescent="0.35">
      <c r="C196" s="5">
        <f>_xlfn.XLOOKUP(F196,'Same Seller Hist'!H:H,'Same Seller Hist'!E:E)</f>
        <v>667607022</v>
      </c>
      <c r="D196" s="5" t="str">
        <f>_xlfn.XLOOKUP(F196,'Same Seller Hist'!H:H,'Same Seller Hist'!D:D)</f>
        <v>Llili Decorações</v>
      </c>
      <c r="E196" s="5">
        <f>_xlfn.XLOOKUP(F196,'Same Seller Hist'!H:H,'Same Seller Hist'!I:I)</f>
        <v>7.4941829785092997E+18</v>
      </c>
      <c r="F196" s="5" t="s">
        <v>875</v>
      </c>
      <c r="G196" s="5">
        <f>_xlfn.XLOOKUP(C196,'Same Seller Hist'!E:E,'Same Seller Hist'!F:F)</f>
        <v>0</v>
      </c>
      <c r="H196" s="19">
        <f>_xlfn.IFNA(_xlfn.XLOOKUP(C196,'Shp 500'!D:D,'Shp 500'!I:I),0)</f>
        <v>0</v>
      </c>
      <c r="I196" s="19">
        <f>_xlfn.IFNA(_xlfn.XLOOKUP(C196,'Shp 500'!D:D,'Shp 500'!J:J),0)</f>
        <v>0</v>
      </c>
      <c r="J196" s="19">
        <v>558.06451612903231</v>
      </c>
      <c r="K196" s="19">
        <v>19870.967741935485</v>
      </c>
      <c r="L196" s="21" t="s">
        <v>2530</v>
      </c>
      <c r="M196" s="21" t="str">
        <f>IF(L196="Shp 500","Sim",IF(ISNA(_xlfn.XLOOKUP(C196,'Shp 500'!D:D,'Shp 500'!D:D)),"Não","Sim"))</f>
        <v>Não</v>
      </c>
      <c r="N196" s="21" t="str">
        <f>IF(L196="Fastmoss 500","Sim",IF(ISNA(_xlfn.XLOOKUP(_xlfn.XLOOKUP(C196,'Same Seller Hist'!E:E,'Same Seller Hist'!H:H),'Fastmoss 500'!D:D,'Fastmoss 500'!D:D)),"Não","Sim"))</f>
        <v>Sim</v>
      </c>
      <c r="O196" s="21" t="str">
        <f t="shared" si="6"/>
        <v>Não</v>
      </c>
      <c r="P196" s="21" t="str">
        <f t="shared" si="7"/>
        <v>Não</v>
      </c>
      <c r="Q196" s="21">
        <f t="shared" si="8"/>
        <v>1</v>
      </c>
    </row>
    <row r="197" spans="3:17" x14ac:dyDescent="0.35">
      <c r="C197" s="5">
        <f>_xlfn.XLOOKUP(F197,'Same Seller Hist'!H:H,'Same Seller Hist'!E:E)</f>
        <v>1188165400</v>
      </c>
      <c r="D197" s="5" t="str">
        <f>_xlfn.XLOOKUP(F197,'Same Seller Hist'!H:H,'Same Seller Hist'!D:D)</f>
        <v>Maxfem</v>
      </c>
      <c r="E197" s="5">
        <f>_xlfn.XLOOKUP(F197,'Same Seller Hist'!H:H,'Same Seller Hist'!I:I)</f>
        <v>7.49614824102733E+18</v>
      </c>
      <c r="F197" s="5" t="s">
        <v>145</v>
      </c>
      <c r="G197" s="5" t="str">
        <f>_xlfn.XLOOKUP(C197,'Same Seller Hist'!E:E,'Same Seller Hist'!F:F)</f>
        <v>FMCG</v>
      </c>
      <c r="H197" s="19">
        <f>_xlfn.IFNA(_xlfn.XLOOKUP(C197,'Shp 500'!D:D,'Shp 500'!I:I),0)</f>
        <v>0</v>
      </c>
      <c r="I197" s="19">
        <f>_xlfn.IFNA(_xlfn.XLOOKUP(C197,'Shp 500'!D:D,'Shp 500'!J:J),0)</f>
        <v>0</v>
      </c>
      <c r="J197" s="19">
        <v>545.16129032258061</v>
      </c>
      <c r="K197" s="19">
        <v>61290.322580645159</v>
      </c>
      <c r="L197" s="21" t="s">
        <v>2530</v>
      </c>
      <c r="M197" s="21" t="str">
        <f>IF(L197="Shp 500","Sim",IF(ISNA(_xlfn.XLOOKUP(C197,'Shp 500'!D:D,'Shp 500'!D:D)),"Não","Sim"))</f>
        <v>Não</v>
      </c>
      <c r="N197" s="21" t="str">
        <f>IF(L197="Fastmoss 500","Sim",IF(ISNA(_xlfn.XLOOKUP(_xlfn.XLOOKUP(C197,'Same Seller Hist'!E:E,'Same Seller Hist'!H:H),'Fastmoss 500'!D:D,'Fastmoss 500'!D:D)),"Não","Sim"))</f>
        <v>Sim</v>
      </c>
      <c r="O197" s="21" t="str">
        <f t="shared" si="6"/>
        <v>Não</v>
      </c>
      <c r="P197" s="21" t="str">
        <f t="shared" si="7"/>
        <v>Não</v>
      </c>
      <c r="Q197" s="21">
        <f t="shared" si="8"/>
        <v>1</v>
      </c>
    </row>
    <row r="198" spans="3:17" x14ac:dyDescent="0.35">
      <c r="C198" s="5">
        <f>_xlfn.XLOOKUP(F198,'Same Seller Hist'!H:H,'Same Seller Hist'!E:E)</f>
        <v>411368149</v>
      </c>
      <c r="D198" s="5" t="str">
        <f>_xlfn.XLOOKUP(F198,'Same Seller Hist'!H:H,'Same Seller Hist'!D:D)</f>
        <v>Armazemdoschinelos</v>
      </c>
      <c r="E198" s="5">
        <f>_xlfn.XLOOKUP(F198,'Same Seller Hist'!H:H,'Same Seller Hist'!I:I)</f>
        <v>7.4961816788937298E+18</v>
      </c>
      <c r="F198" s="5" t="s">
        <v>548</v>
      </c>
      <c r="G198" s="5" t="str">
        <f>_xlfn.XLOOKUP(C198,'Same Seller Hist'!E:E,'Same Seller Hist'!F:F)</f>
        <v>Fashion</v>
      </c>
      <c r="H198" s="19">
        <f>_xlfn.IFNA(_xlfn.XLOOKUP(C198,'Shp 500'!D:D,'Shp 500'!I:I),0)</f>
        <v>0</v>
      </c>
      <c r="I198" s="19">
        <f>_xlfn.IFNA(_xlfn.XLOOKUP(C198,'Shp 500'!D:D,'Shp 500'!J:J),0)</f>
        <v>0</v>
      </c>
      <c r="J198" s="19">
        <v>541.93548387096769</v>
      </c>
      <c r="K198" s="19">
        <v>45161.290322580644</v>
      </c>
      <c r="L198" s="21" t="s">
        <v>2530</v>
      </c>
      <c r="M198" s="21" t="str">
        <f>IF(L198="Shp 500","Sim",IF(ISNA(_xlfn.XLOOKUP(C198,'Shp 500'!D:D,'Shp 500'!D:D)),"Não","Sim"))</f>
        <v>Não</v>
      </c>
      <c r="N198" s="21" t="str">
        <f>IF(L198="Fastmoss 500","Sim",IF(ISNA(_xlfn.XLOOKUP(_xlfn.XLOOKUP(C198,'Same Seller Hist'!E:E,'Same Seller Hist'!H:H),'Fastmoss 500'!D:D,'Fastmoss 500'!D:D)),"Não","Sim"))</f>
        <v>Sim</v>
      </c>
      <c r="O198" s="21" t="str">
        <f t="shared" si="6"/>
        <v>Não</v>
      </c>
      <c r="P198" s="21" t="str">
        <f t="shared" si="7"/>
        <v>Não</v>
      </c>
      <c r="Q198" s="21">
        <f t="shared" si="8"/>
        <v>1</v>
      </c>
    </row>
    <row r="199" spans="3:17" x14ac:dyDescent="0.35">
      <c r="C199" s="5">
        <v>1041517511</v>
      </c>
      <c r="D199" s="5" t="s">
        <v>1393</v>
      </c>
      <c r="E199" s="5">
        <f>_xlfn.XLOOKUP(C199,'Same Seller Hist'!E:E,'Same Seller Hist'!I:I)</f>
        <v>7.4961600500250399E+18</v>
      </c>
      <c r="F199" s="5" t="str">
        <f>_xlfn.XLOOKUP(C199,'Same Seller Hist'!E:E,'Same Seller Hist'!H:H)</f>
        <v>Tang Lar &amp; Estilo</v>
      </c>
      <c r="G199" s="5" t="s">
        <v>1734</v>
      </c>
      <c r="H199" s="19">
        <v>1645.2903225806419</v>
      </c>
      <c r="I199" s="19">
        <v>14495.394868245807</v>
      </c>
      <c r="J199" s="19">
        <f>_xlfn.IFNA(_xlfn.XLOOKUP(F199,'Fastmoss 500'!D:D,'Fastmoss 500'!O:O),0)</f>
        <v>706.45161290322585</v>
      </c>
      <c r="K199" s="19">
        <f>_xlfn.IFNA(_xlfn.XLOOKUP(F199,'Fastmoss 500'!D:D,'Fastmoss 500'!N:N),0)</f>
        <v>18312.903225806451</v>
      </c>
      <c r="L199" s="21" t="s">
        <v>2528</v>
      </c>
      <c r="M199" s="21" t="str">
        <f>IF(L199="Shp 500","Sim",IF(ISNA(_xlfn.XLOOKUP(C199,'Shp 500'!D:D,'Shp 500'!D:D)),"Não","Sim"))</f>
        <v>Sim</v>
      </c>
      <c r="N199" s="21" t="str">
        <f>IF(L199="Fastmoss 500","Sim",IF(ISNA(_xlfn.XLOOKUP(_xlfn.XLOOKUP(C199,'Same Seller Hist'!E:E,'Same Seller Hist'!H:H),'Fastmoss 500'!D:D,'Fastmoss 500'!D:D)),"Não","Sim"))</f>
        <v>Sim</v>
      </c>
      <c r="O199" s="21" t="str">
        <f t="shared" si="6"/>
        <v>Sim</v>
      </c>
      <c r="P199" s="21" t="str">
        <f t="shared" si="7"/>
        <v>Não</v>
      </c>
      <c r="Q199" s="21">
        <f t="shared" si="8"/>
        <v>1</v>
      </c>
    </row>
    <row r="200" spans="3:17" x14ac:dyDescent="0.35">
      <c r="C200" s="5">
        <f>_xlfn.XLOOKUP(F200,'Same Seller Hist'!H:H,'Same Seller Hist'!E:E)</f>
        <v>427237722</v>
      </c>
      <c r="D200" s="5" t="str">
        <f>_xlfn.XLOOKUP(F200,'Same Seller Hist'!H:H,'Same Seller Hist'!D:D)</f>
        <v>Soul Bom</v>
      </c>
      <c r="E200" s="5">
        <f>_xlfn.XLOOKUP(F200,'Same Seller Hist'!H:H,'Same Seller Hist'!I:I)</f>
        <v>7.4961818505102295E+18</v>
      </c>
      <c r="F200" s="5" t="s">
        <v>565</v>
      </c>
      <c r="G200" s="5" t="str">
        <f>_xlfn.XLOOKUP(C200,'Same Seller Hist'!E:E,'Same Seller Hist'!F:F)</f>
        <v>FMCG</v>
      </c>
      <c r="H200" s="19">
        <f>_xlfn.IFNA(_xlfn.XLOOKUP(C200,'Shp 500'!D:D,'Shp 500'!I:I),0)</f>
        <v>0</v>
      </c>
      <c r="I200" s="19">
        <f>_xlfn.IFNA(_xlfn.XLOOKUP(C200,'Shp 500'!D:D,'Shp 500'!J:J),0)</f>
        <v>0</v>
      </c>
      <c r="J200" s="19">
        <v>525.80645161290317</v>
      </c>
      <c r="K200" s="19">
        <v>14809.677419354839</v>
      </c>
      <c r="L200" s="21" t="s">
        <v>2530</v>
      </c>
      <c r="M200" s="21" t="str">
        <f>IF(L200="Shp 500","Sim",IF(ISNA(_xlfn.XLOOKUP(C200,'Shp 500'!D:D,'Shp 500'!D:D)),"Não","Sim"))</f>
        <v>Não</v>
      </c>
      <c r="N200" s="21" t="str">
        <f>IF(L200="Fastmoss 500","Sim",IF(ISNA(_xlfn.XLOOKUP(_xlfn.XLOOKUP(C200,'Same Seller Hist'!E:E,'Same Seller Hist'!H:H),'Fastmoss 500'!D:D,'Fastmoss 500'!D:D)),"Não","Sim"))</f>
        <v>Sim</v>
      </c>
      <c r="O200" s="21" t="str">
        <f t="shared" ref="O200:O263" si="9">IF(AND(M200="Sim",N200="Sim"),"Sim","Não")</f>
        <v>Não</v>
      </c>
      <c r="P200" s="21" t="str">
        <f t="shared" ref="P200:P263" si="10">IF(I200&gt;K200,"Sim","Não")</f>
        <v>Não</v>
      </c>
      <c r="Q200" s="21">
        <f t="shared" ref="Q200:Q263" si="11">COUNTIFS(C:C,C200)</f>
        <v>1</v>
      </c>
    </row>
    <row r="201" spans="3:17" x14ac:dyDescent="0.35">
      <c r="C201" s="5">
        <f>_xlfn.XLOOKUP(F201,'Same Seller Hist'!H:H,'Same Seller Hist'!E:E)</f>
        <v>531238819</v>
      </c>
      <c r="D201" s="5" t="str">
        <f>_xlfn.XLOOKUP(F201,'Same Seller Hist'!H:H,'Same Seller Hist'!D:D)</f>
        <v>ColorfulDreams</v>
      </c>
      <c r="E201" s="5">
        <f>_xlfn.XLOOKUP(F201,'Same Seller Hist'!H:H,'Same Seller Hist'!I:I)</f>
        <v>7.49618341806575E+18</v>
      </c>
      <c r="F201" s="5" t="s">
        <v>623</v>
      </c>
      <c r="G201" s="5" t="str">
        <f>_xlfn.XLOOKUP(C201,'Same Seller Hist'!E:E,'Same Seller Hist'!F:F)</f>
        <v>ELHA</v>
      </c>
      <c r="H201" s="19">
        <f>_xlfn.IFNA(_xlfn.XLOOKUP(C201,'Shp 500'!D:D,'Shp 500'!I:I),0)</f>
        <v>0</v>
      </c>
      <c r="I201" s="19">
        <f>_xlfn.IFNA(_xlfn.XLOOKUP(C201,'Shp 500'!D:D,'Shp 500'!J:J),0)</f>
        <v>0</v>
      </c>
      <c r="J201" s="19">
        <v>509.67741935483872</v>
      </c>
      <c r="K201" s="19">
        <v>16961.290322580644</v>
      </c>
      <c r="L201" s="21" t="s">
        <v>2530</v>
      </c>
      <c r="M201" s="21" t="str">
        <f>IF(L201="Shp 500","Sim",IF(ISNA(_xlfn.XLOOKUP(C201,'Shp 500'!D:D,'Shp 500'!D:D)),"Não","Sim"))</f>
        <v>Não</v>
      </c>
      <c r="N201" s="21" t="str">
        <f>IF(L201="Fastmoss 500","Sim",IF(ISNA(_xlfn.XLOOKUP(_xlfn.XLOOKUP(C201,'Same Seller Hist'!E:E,'Same Seller Hist'!H:H),'Fastmoss 500'!D:D,'Fastmoss 500'!D:D)),"Não","Sim"))</f>
        <v>Sim</v>
      </c>
      <c r="O201" s="21" t="str">
        <f t="shared" si="9"/>
        <v>Não</v>
      </c>
      <c r="P201" s="21" t="str">
        <f t="shared" si="10"/>
        <v>Não</v>
      </c>
      <c r="Q201" s="21">
        <f t="shared" si="11"/>
        <v>1</v>
      </c>
    </row>
    <row r="202" spans="3:17" x14ac:dyDescent="0.35">
      <c r="C202" s="5">
        <f>_xlfn.XLOOKUP(F202,'Same Seller Hist'!H:H,'Same Seller Hist'!E:E)</f>
        <v>1058502061</v>
      </c>
      <c r="D202" s="5" t="str">
        <f>_xlfn.XLOOKUP(F202,'Same Seller Hist'!H:H,'Same Seller Hist'!D:D)</f>
        <v>Nadin Modas</v>
      </c>
      <c r="E202" s="5">
        <f>_xlfn.XLOOKUP(F202,'Same Seller Hist'!H:H,'Same Seller Hist'!I:I)</f>
        <v>7.49618330267789E+18</v>
      </c>
      <c r="F202" s="5" t="s">
        <v>84</v>
      </c>
      <c r="G202" s="5" t="str">
        <f>_xlfn.XLOOKUP(C202,'Same Seller Hist'!E:E,'Same Seller Hist'!F:F)</f>
        <v>Fashion</v>
      </c>
      <c r="H202" s="19">
        <f>_xlfn.IFNA(_xlfn.XLOOKUP(C202,'Shp 500'!D:D,'Shp 500'!I:I),0)</f>
        <v>0</v>
      </c>
      <c r="I202" s="19">
        <f>_xlfn.IFNA(_xlfn.XLOOKUP(C202,'Shp 500'!D:D,'Shp 500'!J:J),0)</f>
        <v>0</v>
      </c>
      <c r="J202" s="19">
        <v>509.67741935483872</v>
      </c>
      <c r="K202" s="19">
        <v>23983.870967741936</v>
      </c>
      <c r="L202" s="21" t="s">
        <v>2530</v>
      </c>
      <c r="M202" s="21" t="str">
        <f>IF(L202="Shp 500","Sim",IF(ISNA(_xlfn.XLOOKUP(C202,'Shp 500'!D:D,'Shp 500'!D:D)),"Não","Sim"))</f>
        <v>Não</v>
      </c>
      <c r="N202" s="21" t="str">
        <f>IF(L202="Fastmoss 500","Sim",IF(ISNA(_xlfn.XLOOKUP(_xlfn.XLOOKUP(C202,'Same Seller Hist'!E:E,'Same Seller Hist'!H:H),'Fastmoss 500'!D:D,'Fastmoss 500'!D:D)),"Não","Sim"))</f>
        <v>Sim</v>
      </c>
      <c r="O202" s="21" t="str">
        <f t="shared" si="9"/>
        <v>Não</v>
      </c>
      <c r="P202" s="21" t="str">
        <f t="shared" si="10"/>
        <v>Não</v>
      </c>
      <c r="Q202" s="21">
        <f t="shared" si="11"/>
        <v>1</v>
      </c>
    </row>
    <row r="203" spans="3:17" x14ac:dyDescent="0.35">
      <c r="C203" s="5">
        <f>_xlfn.XLOOKUP(F203,'Same Seller Hist'!H:H,'Same Seller Hist'!E:E)</f>
        <v>1266325318</v>
      </c>
      <c r="D203" s="5" t="str">
        <f>_xlfn.XLOOKUP(F203,'Same Seller Hist'!H:H,'Same Seller Hist'!D:D)</f>
        <v>Attracione Men</v>
      </c>
      <c r="E203" s="5">
        <f>_xlfn.XLOOKUP(F203,'Same Seller Hist'!H:H,'Same Seller Hist'!I:I)</f>
        <v>7.4962052732305101E+18</v>
      </c>
      <c r="F203" s="5" t="s">
        <v>183</v>
      </c>
      <c r="G203" s="5" t="str">
        <f>_xlfn.XLOOKUP(C203,'Same Seller Hist'!E:E,'Same Seller Hist'!F:F)</f>
        <v>FMCG</v>
      </c>
      <c r="H203" s="19">
        <f>_xlfn.IFNA(_xlfn.XLOOKUP(C203,'Shp 500'!D:D,'Shp 500'!I:I),0)</f>
        <v>0</v>
      </c>
      <c r="I203" s="19">
        <f>_xlfn.IFNA(_xlfn.XLOOKUP(C203,'Shp 500'!D:D,'Shp 500'!J:J),0)</f>
        <v>0</v>
      </c>
      <c r="J203" s="19">
        <v>509.67741935483872</v>
      </c>
      <c r="K203" s="19">
        <v>54838.709677419356</v>
      </c>
      <c r="L203" s="21" t="s">
        <v>2530</v>
      </c>
      <c r="M203" s="21" t="str">
        <f>IF(L203="Shp 500","Sim",IF(ISNA(_xlfn.XLOOKUP(C203,'Shp 500'!D:D,'Shp 500'!D:D)),"Não","Sim"))</f>
        <v>Não</v>
      </c>
      <c r="N203" s="21" t="str">
        <f>IF(L203="Fastmoss 500","Sim",IF(ISNA(_xlfn.XLOOKUP(_xlfn.XLOOKUP(C203,'Same Seller Hist'!E:E,'Same Seller Hist'!H:H),'Fastmoss 500'!D:D,'Fastmoss 500'!D:D)),"Não","Sim"))</f>
        <v>Sim</v>
      </c>
      <c r="O203" s="21" t="str">
        <f t="shared" si="9"/>
        <v>Não</v>
      </c>
      <c r="P203" s="21" t="str">
        <f t="shared" si="10"/>
        <v>Não</v>
      </c>
      <c r="Q203" s="21">
        <f t="shared" si="11"/>
        <v>1</v>
      </c>
    </row>
    <row r="204" spans="3:17" x14ac:dyDescent="0.35">
      <c r="C204" s="5">
        <f>_xlfn.XLOOKUP(F204,'Same Seller Hist'!H:H,'Same Seller Hist'!E:E)</f>
        <v>717498842</v>
      </c>
      <c r="D204" s="5" t="str">
        <f>_xlfn.XLOOKUP(F204,'Same Seller Hist'!H:H,'Same Seller Hist'!D:D)</f>
        <v>SU MODA BR</v>
      </c>
      <c r="E204" s="5">
        <f>_xlfn.XLOOKUP(F204,'Same Seller Hist'!H:H,'Same Seller Hist'!I:I)</f>
        <v>7.4961818325127301E+18</v>
      </c>
      <c r="F204" s="5" t="s">
        <v>897</v>
      </c>
      <c r="G204" s="5">
        <f>_xlfn.XLOOKUP(C204,'Same Seller Hist'!E:E,'Same Seller Hist'!F:F)</f>
        <v>0</v>
      </c>
      <c r="H204" s="19">
        <f>_xlfn.IFNA(_xlfn.XLOOKUP(C204,'Shp 500'!D:D,'Shp 500'!I:I),0)</f>
        <v>0</v>
      </c>
      <c r="I204" s="19">
        <f>_xlfn.IFNA(_xlfn.XLOOKUP(C204,'Shp 500'!D:D,'Shp 500'!J:J),0)</f>
        <v>0</v>
      </c>
      <c r="J204" s="19">
        <v>503.22580645161293</v>
      </c>
      <c r="K204" s="19">
        <v>16787.096774193549</v>
      </c>
      <c r="L204" s="21" t="s">
        <v>2530</v>
      </c>
      <c r="M204" s="21" t="str">
        <f>IF(L204="Shp 500","Sim",IF(ISNA(_xlfn.XLOOKUP(C204,'Shp 500'!D:D,'Shp 500'!D:D)),"Não","Sim"))</f>
        <v>Não</v>
      </c>
      <c r="N204" s="21" t="str">
        <f>IF(L204="Fastmoss 500","Sim",IF(ISNA(_xlfn.XLOOKUP(_xlfn.XLOOKUP(C204,'Same Seller Hist'!E:E,'Same Seller Hist'!H:H),'Fastmoss 500'!D:D,'Fastmoss 500'!D:D)),"Não","Sim"))</f>
        <v>Sim</v>
      </c>
      <c r="O204" s="21" t="str">
        <f t="shared" si="9"/>
        <v>Não</v>
      </c>
      <c r="P204" s="21" t="str">
        <f t="shared" si="10"/>
        <v>Não</v>
      </c>
      <c r="Q204" s="21">
        <f t="shared" si="11"/>
        <v>1</v>
      </c>
    </row>
    <row r="205" spans="3:17" x14ac:dyDescent="0.35">
      <c r="C205" s="5">
        <f>_xlfn.XLOOKUP(F205,'Same Seller Hist'!H:H,'Same Seller Hist'!E:E)</f>
        <v>1559124979</v>
      </c>
      <c r="D205" s="5" t="str">
        <f>_xlfn.XLOOKUP(F205,'Same Seller Hist'!H:H,'Same Seller Hist'!D:D)</f>
        <v>VII.TS shop</v>
      </c>
      <c r="E205" s="5">
        <f>_xlfn.XLOOKUP(F205,'Same Seller Hist'!H:H,'Same Seller Hist'!I:I)</f>
        <v>7.4961976378492498E+18</v>
      </c>
      <c r="F205" s="5" t="s">
        <v>321</v>
      </c>
      <c r="G205" s="5" t="str">
        <f>_xlfn.XLOOKUP(C205,'Same Seller Hist'!E:E,'Same Seller Hist'!F:F)</f>
        <v>Fashion</v>
      </c>
      <c r="H205" s="19">
        <f>_xlfn.IFNA(_xlfn.XLOOKUP(C205,'Shp 500'!D:D,'Shp 500'!I:I),0)</f>
        <v>0</v>
      </c>
      <c r="I205" s="19">
        <f>_xlfn.IFNA(_xlfn.XLOOKUP(C205,'Shp 500'!D:D,'Shp 500'!J:J),0)</f>
        <v>0</v>
      </c>
      <c r="J205" s="19">
        <v>503.22580645161293</v>
      </c>
      <c r="K205" s="19">
        <v>35483.870967741932</v>
      </c>
      <c r="L205" s="21" t="s">
        <v>2530</v>
      </c>
      <c r="M205" s="21" t="str">
        <f>IF(L205="Shp 500","Sim",IF(ISNA(_xlfn.XLOOKUP(C205,'Shp 500'!D:D,'Shp 500'!D:D)),"Não","Sim"))</f>
        <v>Não</v>
      </c>
      <c r="N205" s="21" t="str">
        <f>IF(L205="Fastmoss 500","Sim",IF(ISNA(_xlfn.XLOOKUP(_xlfn.XLOOKUP(C205,'Same Seller Hist'!E:E,'Same Seller Hist'!H:H),'Fastmoss 500'!D:D,'Fastmoss 500'!D:D)),"Não","Sim"))</f>
        <v>Sim</v>
      </c>
      <c r="O205" s="21" t="str">
        <f t="shared" si="9"/>
        <v>Não</v>
      </c>
      <c r="P205" s="21" t="str">
        <f t="shared" si="10"/>
        <v>Não</v>
      </c>
      <c r="Q205" s="21">
        <f t="shared" si="11"/>
        <v>1</v>
      </c>
    </row>
    <row r="206" spans="3:17" x14ac:dyDescent="0.35">
      <c r="C206" s="5">
        <f>_xlfn.XLOOKUP(F206,'Same Seller Hist'!H:H,'Same Seller Hist'!E:E)</f>
        <v>315271502</v>
      </c>
      <c r="D206" s="5" t="str">
        <f>_xlfn.XLOOKUP(F206,'Same Seller Hist'!H:H,'Same Seller Hist'!D:D)</f>
        <v>PRIMO DECOR</v>
      </c>
      <c r="E206" s="5">
        <f>_xlfn.XLOOKUP(F206,'Same Seller Hist'!H:H,'Same Seller Hist'!I:I)</f>
        <v>7.4962512996040305E+18</v>
      </c>
      <c r="F206" s="5" t="s">
        <v>408</v>
      </c>
      <c r="G206" s="5" t="str">
        <f>_xlfn.XLOOKUP(C206,'Same Seller Hist'!E:E,'Same Seller Hist'!F:F)</f>
        <v>Lifestyle</v>
      </c>
      <c r="H206" s="19">
        <f>_xlfn.IFNA(_xlfn.XLOOKUP(C206,'Shp 500'!D:D,'Shp 500'!I:I),0)</f>
        <v>0</v>
      </c>
      <c r="I206" s="19">
        <f>_xlfn.IFNA(_xlfn.XLOOKUP(C206,'Shp 500'!D:D,'Shp 500'!J:J),0)</f>
        <v>0</v>
      </c>
      <c r="J206" s="19">
        <v>500</v>
      </c>
      <c r="K206" s="19">
        <v>11016.129032258064</v>
      </c>
      <c r="L206" s="21" t="s">
        <v>2530</v>
      </c>
      <c r="M206" s="21" t="str">
        <f>IF(L206="Shp 500","Sim",IF(ISNA(_xlfn.XLOOKUP(C206,'Shp 500'!D:D,'Shp 500'!D:D)),"Não","Sim"))</f>
        <v>Não</v>
      </c>
      <c r="N206" s="21" t="str">
        <f>IF(L206="Fastmoss 500","Sim",IF(ISNA(_xlfn.XLOOKUP(_xlfn.XLOOKUP(C206,'Same Seller Hist'!E:E,'Same Seller Hist'!H:H),'Fastmoss 500'!D:D,'Fastmoss 500'!D:D)),"Não","Sim"))</f>
        <v>Sim</v>
      </c>
      <c r="O206" s="21" t="str">
        <f t="shared" si="9"/>
        <v>Não</v>
      </c>
      <c r="P206" s="21" t="str">
        <f t="shared" si="10"/>
        <v>Não</v>
      </c>
      <c r="Q206" s="21">
        <f t="shared" si="11"/>
        <v>1</v>
      </c>
    </row>
    <row r="207" spans="3:17" x14ac:dyDescent="0.35">
      <c r="C207" s="5">
        <f>_xlfn.XLOOKUP(F207,'Same Seller Hist'!H:H,'Same Seller Hist'!E:E)</f>
        <v>1033200887</v>
      </c>
      <c r="D207" s="5" t="str">
        <f>_xlfn.XLOOKUP(F207,'Same Seller Hist'!H:H,'Same Seller Hist'!D:D)</f>
        <v>Fofo loja</v>
      </c>
      <c r="E207" s="5">
        <f>_xlfn.XLOOKUP(F207,'Same Seller Hist'!H:H,'Same Seller Hist'!I:I)</f>
        <v>7.4961891869603604E+18</v>
      </c>
      <c r="F207" s="5" t="s">
        <v>64</v>
      </c>
      <c r="G207" s="5" t="str">
        <f>_xlfn.XLOOKUP(C207,'Same Seller Hist'!E:E,'Same Seller Hist'!F:F)</f>
        <v>ELHA</v>
      </c>
      <c r="H207" s="19">
        <f>_xlfn.IFNA(_xlfn.XLOOKUP(C207,'Shp 500'!D:D,'Shp 500'!I:I),0)</f>
        <v>0</v>
      </c>
      <c r="I207" s="19">
        <f>_xlfn.IFNA(_xlfn.XLOOKUP(C207,'Shp 500'!D:D,'Shp 500'!J:J),0)</f>
        <v>0</v>
      </c>
      <c r="J207" s="19">
        <v>493.54838709677421</v>
      </c>
      <c r="K207" s="19">
        <v>28825.806451612902</v>
      </c>
      <c r="L207" s="21" t="s">
        <v>2530</v>
      </c>
      <c r="M207" s="21" t="str">
        <f>IF(L207="Shp 500","Sim",IF(ISNA(_xlfn.XLOOKUP(C207,'Shp 500'!D:D,'Shp 500'!D:D)),"Não","Sim"))</f>
        <v>Não</v>
      </c>
      <c r="N207" s="21" t="str">
        <f>IF(L207="Fastmoss 500","Sim",IF(ISNA(_xlfn.XLOOKUP(_xlfn.XLOOKUP(C207,'Same Seller Hist'!E:E,'Same Seller Hist'!H:H),'Fastmoss 500'!D:D,'Fastmoss 500'!D:D)),"Não","Sim"))</f>
        <v>Sim</v>
      </c>
      <c r="O207" s="21" t="str">
        <f t="shared" si="9"/>
        <v>Não</v>
      </c>
      <c r="P207" s="21" t="str">
        <f t="shared" si="10"/>
        <v>Não</v>
      </c>
      <c r="Q207" s="21">
        <f t="shared" si="11"/>
        <v>1</v>
      </c>
    </row>
    <row r="208" spans="3:17" x14ac:dyDescent="0.35">
      <c r="C208" s="5">
        <f>_xlfn.XLOOKUP(F208,'Same Seller Hist'!H:H,'Same Seller Hist'!E:E)</f>
        <v>562043869</v>
      </c>
      <c r="D208" s="5" t="str">
        <f>_xlfn.XLOOKUP(F208,'Same Seller Hist'!H:H,'Same Seller Hist'!D:D)</f>
        <v>LIFE FASHION BABY</v>
      </c>
      <c r="E208" s="5">
        <f>_xlfn.XLOOKUP(F208,'Same Seller Hist'!H:H,'Same Seller Hist'!I:I)</f>
        <v>7.4962794101044296E+18</v>
      </c>
      <c r="F208" s="5" t="s">
        <v>637</v>
      </c>
      <c r="G208" s="5" t="str">
        <f>_xlfn.XLOOKUP(C208,'Same Seller Hist'!E:E,'Same Seller Hist'!F:F)</f>
        <v>Fashion</v>
      </c>
      <c r="H208" s="19">
        <f>_xlfn.IFNA(_xlfn.XLOOKUP(C208,'Shp 500'!D:D,'Shp 500'!I:I),0)</f>
        <v>0</v>
      </c>
      <c r="I208" s="19">
        <f>_xlfn.IFNA(_xlfn.XLOOKUP(C208,'Shp 500'!D:D,'Shp 500'!J:J),0)</f>
        <v>0</v>
      </c>
      <c r="J208" s="19">
        <v>490.32258064516128</v>
      </c>
      <c r="K208" s="19">
        <v>16016.129032258064</v>
      </c>
      <c r="L208" s="21" t="s">
        <v>2530</v>
      </c>
      <c r="M208" s="21" t="str">
        <f>IF(L208="Shp 500","Sim",IF(ISNA(_xlfn.XLOOKUP(C208,'Shp 500'!D:D,'Shp 500'!D:D)),"Não","Sim"))</f>
        <v>Não</v>
      </c>
      <c r="N208" s="21" t="str">
        <f>IF(L208="Fastmoss 500","Sim",IF(ISNA(_xlfn.XLOOKUP(_xlfn.XLOOKUP(C208,'Same Seller Hist'!E:E,'Same Seller Hist'!H:H),'Fastmoss 500'!D:D,'Fastmoss 500'!D:D)),"Não","Sim"))</f>
        <v>Sim</v>
      </c>
      <c r="O208" s="21" t="str">
        <f t="shared" si="9"/>
        <v>Não</v>
      </c>
      <c r="P208" s="21" t="str">
        <f t="shared" si="10"/>
        <v>Não</v>
      </c>
      <c r="Q208" s="21">
        <f t="shared" si="11"/>
        <v>1</v>
      </c>
    </row>
    <row r="209" spans="3:17" x14ac:dyDescent="0.35">
      <c r="C209" s="5">
        <f>_xlfn.XLOOKUP(F209,'Same Seller Hist'!H:H,'Same Seller Hist'!E:E)</f>
        <v>1187336421</v>
      </c>
      <c r="D209" s="5" t="str">
        <f>_xlfn.XLOOKUP(F209,'Same Seller Hist'!H:H,'Same Seller Hist'!D:D)</f>
        <v>EMILIMODA</v>
      </c>
      <c r="E209" s="5">
        <f>_xlfn.XLOOKUP(F209,'Same Seller Hist'!H:H,'Same Seller Hist'!I:I)</f>
        <v>7.4961476057391104E+18</v>
      </c>
      <c r="F209" s="5" t="s">
        <v>143</v>
      </c>
      <c r="G209" s="5" t="str">
        <f>_xlfn.XLOOKUP(C209,'Same Seller Hist'!E:E,'Same Seller Hist'!F:F)</f>
        <v>Fashion</v>
      </c>
      <c r="H209" s="19">
        <f>_xlfn.IFNA(_xlfn.XLOOKUP(C209,'Shp 500'!D:D,'Shp 500'!I:I),0)</f>
        <v>0</v>
      </c>
      <c r="I209" s="19">
        <f>_xlfn.IFNA(_xlfn.XLOOKUP(C209,'Shp 500'!D:D,'Shp 500'!J:J),0)</f>
        <v>0</v>
      </c>
      <c r="J209" s="19">
        <v>487.09677419354841</v>
      </c>
      <c r="K209" s="19">
        <v>32258.064516129034</v>
      </c>
      <c r="L209" s="21" t="s">
        <v>2530</v>
      </c>
      <c r="M209" s="21" t="str">
        <f>IF(L209="Shp 500","Sim",IF(ISNA(_xlfn.XLOOKUP(C209,'Shp 500'!D:D,'Shp 500'!D:D)),"Não","Sim"))</f>
        <v>Não</v>
      </c>
      <c r="N209" s="21" t="str">
        <f>IF(L209="Fastmoss 500","Sim",IF(ISNA(_xlfn.XLOOKUP(_xlfn.XLOOKUP(C209,'Same Seller Hist'!E:E,'Same Seller Hist'!H:H),'Fastmoss 500'!D:D,'Fastmoss 500'!D:D)),"Não","Sim"))</f>
        <v>Sim</v>
      </c>
      <c r="O209" s="21" t="str">
        <f t="shared" si="9"/>
        <v>Não</v>
      </c>
      <c r="P209" s="21" t="str">
        <f t="shared" si="10"/>
        <v>Não</v>
      </c>
      <c r="Q209" s="21">
        <f t="shared" si="11"/>
        <v>1</v>
      </c>
    </row>
    <row r="210" spans="3:17" x14ac:dyDescent="0.35">
      <c r="C210" s="5">
        <v>1046470373</v>
      </c>
      <c r="D210" s="5" t="s">
        <v>1585</v>
      </c>
      <c r="E210" s="5">
        <f>_xlfn.XLOOKUP(C210,'Same Seller Hist'!E:E,'Same Seller Hist'!I:I)</f>
        <v>7.4961791581104005E+18</v>
      </c>
      <c r="F210" s="5" t="str">
        <f>_xlfn.XLOOKUP(C210,'Same Seller Hist'!E:E,'Same Seller Hist'!H:H)</f>
        <v>Mundo Master</v>
      </c>
      <c r="G210" s="5" t="s">
        <v>1734</v>
      </c>
      <c r="H210" s="19">
        <v>1006.3225806451613</v>
      </c>
      <c r="I210" s="19">
        <v>5080.7053821297413</v>
      </c>
      <c r="J210" s="19">
        <f>_xlfn.IFNA(_xlfn.XLOOKUP(F210,'Fastmoss 500'!D:D,'Fastmoss 500'!O:O),0)</f>
        <v>280.64516129032256</v>
      </c>
      <c r="K210" s="19">
        <f>_xlfn.IFNA(_xlfn.XLOOKUP(F210,'Fastmoss 500'!D:D,'Fastmoss 500'!N:N),0)</f>
        <v>7641.9354838709678</v>
      </c>
      <c r="L210" s="21" t="s">
        <v>2528</v>
      </c>
      <c r="M210" s="21" t="str">
        <f>IF(L210="Shp 500","Sim",IF(ISNA(_xlfn.XLOOKUP(C210,'Shp 500'!D:D,'Shp 500'!D:D)),"Não","Sim"))</f>
        <v>Sim</v>
      </c>
      <c r="N210" s="21" t="str">
        <f>IF(L210="Fastmoss 500","Sim",IF(ISNA(_xlfn.XLOOKUP(_xlfn.XLOOKUP(C210,'Same Seller Hist'!E:E,'Same Seller Hist'!H:H),'Fastmoss 500'!D:D,'Fastmoss 500'!D:D)),"Não","Sim"))</f>
        <v>Sim</v>
      </c>
      <c r="O210" s="21" t="str">
        <f t="shared" si="9"/>
        <v>Sim</v>
      </c>
      <c r="P210" s="21" t="str">
        <f t="shared" si="10"/>
        <v>Não</v>
      </c>
      <c r="Q210" s="21">
        <f t="shared" si="11"/>
        <v>1</v>
      </c>
    </row>
    <row r="211" spans="3:17" x14ac:dyDescent="0.35">
      <c r="C211" s="5">
        <f>_xlfn.XLOOKUP(F211,'Same Seller Hist'!H:H,'Same Seller Hist'!E:E)</f>
        <v>321115312</v>
      </c>
      <c r="D211" s="5" t="str">
        <f>_xlfn.XLOOKUP(F211,'Same Seller Hist'!H:H,'Same Seller Hist'!D:D)</f>
        <v>Dejule</v>
      </c>
      <c r="E211" s="5">
        <f>_xlfn.XLOOKUP(F211,'Same Seller Hist'!H:H,'Same Seller Hist'!I:I)</f>
        <v>7.4961549217036001E+18</v>
      </c>
      <c r="F211" s="5" t="s">
        <v>416</v>
      </c>
      <c r="G211" s="5" t="str">
        <f>_xlfn.XLOOKUP(C211,'Same Seller Hist'!E:E,'Same Seller Hist'!F:F)</f>
        <v>Fashion</v>
      </c>
      <c r="H211" s="19">
        <f>_xlfn.IFNA(_xlfn.XLOOKUP(C211,'Shp 500'!D:D,'Shp 500'!I:I),0)</f>
        <v>0</v>
      </c>
      <c r="I211" s="19">
        <f>_xlfn.IFNA(_xlfn.XLOOKUP(C211,'Shp 500'!D:D,'Shp 500'!J:J),0)</f>
        <v>0</v>
      </c>
      <c r="J211" s="19">
        <v>480.64516129032256</v>
      </c>
      <c r="K211" s="19">
        <v>15335.483870967742</v>
      </c>
      <c r="L211" s="21" t="s">
        <v>2530</v>
      </c>
      <c r="M211" s="21" t="str">
        <f>IF(L211="Shp 500","Sim",IF(ISNA(_xlfn.XLOOKUP(C211,'Shp 500'!D:D,'Shp 500'!D:D)),"Não","Sim"))</f>
        <v>Não</v>
      </c>
      <c r="N211" s="21" t="str">
        <f>IF(L211="Fastmoss 500","Sim",IF(ISNA(_xlfn.XLOOKUP(_xlfn.XLOOKUP(C211,'Same Seller Hist'!E:E,'Same Seller Hist'!H:H),'Fastmoss 500'!D:D,'Fastmoss 500'!D:D)),"Não","Sim"))</f>
        <v>Sim</v>
      </c>
      <c r="O211" s="21" t="str">
        <f t="shared" si="9"/>
        <v>Não</v>
      </c>
      <c r="P211" s="21" t="str">
        <f t="shared" si="10"/>
        <v>Não</v>
      </c>
      <c r="Q211" s="21">
        <f t="shared" si="11"/>
        <v>1</v>
      </c>
    </row>
    <row r="212" spans="3:17" x14ac:dyDescent="0.35">
      <c r="C212" s="5">
        <f>_xlfn.XLOOKUP(F212,'Same Seller Hist'!H:H,'Same Seller Hist'!E:E)</f>
        <v>1498117394</v>
      </c>
      <c r="D212" s="5" t="str">
        <f>_xlfn.XLOOKUP(F212,'Same Seller Hist'!H:H,'Same Seller Hist'!D:D)</f>
        <v>MISSORDBR</v>
      </c>
      <c r="E212" s="5">
        <f>_xlfn.XLOOKUP(F212,'Same Seller Hist'!H:H,'Same Seller Hist'!I:I)</f>
        <v>7.4961605499162102E+18</v>
      </c>
      <c r="F212" s="5" t="s">
        <v>289</v>
      </c>
      <c r="G212" s="5" t="str">
        <f>_xlfn.XLOOKUP(C212,'Same Seller Hist'!E:E,'Same Seller Hist'!F:F)</f>
        <v>Fashion</v>
      </c>
      <c r="H212" s="19">
        <f>_xlfn.IFNA(_xlfn.XLOOKUP(C212,'Shp 500'!D:D,'Shp 500'!I:I),0)</f>
        <v>0</v>
      </c>
      <c r="I212" s="19">
        <f>_xlfn.IFNA(_xlfn.XLOOKUP(C212,'Shp 500'!D:D,'Shp 500'!J:J),0)</f>
        <v>0</v>
      </c>
      <c r="J212" s="19">
        <v>477.41935483870969</v>
      </c>
      <c r="K212" s="19">
        <v>41935.483870967742</v>
      </c>
      <c r="L212" s="21" t="s">
        <v>2530</v>
      </c>
      <c r="M212" s="21" t="str">
        <f>IF(L212="Shp 500","Sim",IF(ISNA(_xlfn.XLOOKUP(C212,'Shp 500'!D:D,'Shp 500'!D:D)),"Não","Sim"))</f>
        <v>Não</v>
      </c>
      <c r="N212" s="21" t="str">
        <f>IF(L212="Fastmoss 500","Sim",IF(ISNA(_xlfn.XLOOKUP(_xlfn.XLOOKUP(C212,'Same Seller Hist'!E:E,'Same Seller Hist'!H:H),'Fastmoss 500'!D:D,'Fastmoss 500'!D:D)),"Não","Sim"))</f>
        <v>Sim</v>
      </c>
      <c r="O212" s="21" t="str">
        <f t="shared" si="9"/>
        <v>Não</v>
      </c>
      <c r="P212" s="21" t="str">
        <f t="shared" si="10"/>
        <v>Não</v>
      </c>
      <c r="Q212" s="21">
        <f t="shared" si="11"/>
        <v>1</v>
      </c>
    </row>
    <row r="213" spans="3:17" x14ac:dyDescent="0.35">
      <c r="C213" s="5">
        <f>_xlfn.XLOOKUP(F213,'Same Seller Hist'!H:H,'Same Seller Hist'!E:E)</f>
        <v>1615249318</v>
      </c>
      <c r="D213" s="5" t="str">
        <f>_xlfn.XLOOKUP(F213,'Same Seller Hist'!H:H,'Same Seller Hist'!D:D)</f>
        <v>LARA VIVA</v>
      </c>
      <c r="E213" s="5">
        <f>_xlfn.XLOOKUP(F213,'Same Seller Hist'!H:H,'Same Seller Hist'!I:I)</f>
        <v>7.4941763682797097E+18</v>
      </c>
      <c r="F213" s="5" t="s">
        <v>871</v>
      </c>
      <c r="G213" s="5">
        <f>_xlfn.XLOOKUP(C213,'Same Seller Hist'!E:E,'Same Seller Hist'!F:F)</f>
        <v>0</v>
      </c>
      <c r="H213" s="19">
        <f>_xlfn.IFNA(_xlfn.XLOOKUP(C213,'Shp 500'!D:D,'Shp 500'!I:I),0)</f>
        <v>0</v>
      </c>
      <c r="I213" s="19">
        <f>_xlfn.IFNA(_xlfn.XLOOKUP(C213,'Shp 500'!D:D,'Shp 500'!J:J),0)</f>
        <v>0</v>
      </c>
      <c r="J213" s="19">
        <v>474.19354838709677</v>
      </c>
      <c r="K213" s="19">
        <v>26706.451612903227</v>
      </c>
      <c r="L213" s="21" t="s">
        <v>2530</v>
      </c>
      <c r="M213" s="21" t="str">
        <f>IF(L213="Shp 500","Sim",IF(ISNA(_xlfn.XLOOKUP(C213,'Shp 500'!D:D,'Shp 500'!D:D)),"Não","Sim"))</f>
        <v>Não</v>
      </c>
      <c r="N213" s="21" t="str">
        <f>IF(L213="Fastmoss 500","Sim",IF(ISNA(_xlfn.XLOOKUP(_xlfn.XLOOKUP(C213,'Same Seller Hist'!E:E,'Same Seller Hist'!H:H),'Fastmoss 500'!D:D,'Fastmoss 500'!D:D)),"Não","Sim"))</f>
        <v>Sim</v>
      </c>
      <c r="O213" s="21" t="str">
        <f t="shared" si="9"/>
        <v>Não</v>
      </c>
      <c r="P213" s="21" t="str">
        <f t="shared" si="10"/>
        <v>Não</v>
      </c>
      <c r="Q213" s="21">
        <f t="shared" si="11"/>
        <v>1</v>
      </c>
    </row>
    <row r="214" spans="3:17" x14ac:dyDescent="0.35">
      <c r="C214" s="5">
        <f>_xlfn.XLOOKUP(F214,'Same Seller Hist'!H:H,'Same Seller Hist'!E:E)</f>
        <v>867115662</v>
      </c>
      <c r="D214" s="5" t="str">
        <f>_xlfn.XLOOKUP(F214,'Same Seller Hist'!H:H,'Same Seller Hist'!D:D)</f>
        <v>Loja Ragde</v>
      </c>
      <c r="E214" s="5">
        <f>_xlfn.XLOOKUP(F214,'Same Seller Hist'!H:H,'Same Seller Hist'!I:I)</f>
        <v>7.4961857188573E+18</v>
      </c>
      <c r="F214" s="5" t="s">
        <v>737</v>
      </c>
      <c r="G214" s="5" t="str">
        <f>_xlfn.XLOOKUP(C214,'Same Seller Hist'!E:E,'Same Seller Hist'!F:F)</f>
        <v>Fashion</v>
      </c>
      <c r="H214" s="19">
        <f>_xlfn.IFNA(_xlfn.XLOOKUP(C214,'Shp 500'!D:D,'Shp 500'!I:I),0)</f>
        <v>0</v>
      </c>
      <c r="I214" s="19">
        <f>_xlfn.IFNA(_xlfn.XLOOKUP(C214,'Shp 500'!D:D,'Shp 500'!J:J),0)</f>
        <v>0</v>
      </c>
      <c r="J214" s="19">
        <v>464.51612903225805</v>
      </c>
      <c r="K214" s="19">
        <v>24325.806451612902</v>
      </c>
      <c r="L214" s="21" t="s">
        <v>2530</v>
      </c>
      <c r="M214" s="21" t="str">
        <f>IF(L214="Shp 500","Sim",IF(ISNA(_xlfn.XLOOKUP(C214,'Shp 500'!D:D,'Shp 500'!D:D)),"Não","Sim"))</f>
        <v>Não</v>
      </c>
      <c r="N214" s="21" t="str">
        <f>IF(L214="Fastmoss 500","Sim",IF(ISNA(_xlfn.XLOOKUP(_xlfn.XLOOKUP(C214,'Same Seller Hist'!E:E,'Same Seller Hist'!H:H),'Fastmoss 500'!D:D,'Fastmoss 500'!D:D)),"Não","Sim"))</f>
        <v>Sim</v>
      </c>
      <c r="O214" s="21" t="str">
        <f t="shared" si="9"/>
        <v>Não</v>
      </c>
      <c r="P214" s="21" t="str">
        <f t="shared" si="10"/>
        <v>Não</v>
      </c>
      <c r="Q214" s="21">
        <f t="shared" si="11"/>
        <v>1</v>
      </c>
    </row>
    <row r="215" spans="3:17" x14ac:dyDescent="0.35">
      <c r="C215" s="5">
        <f>_xlfn.XLOOKUP(F215,'Same Seller Hist'!H:H,'Same Seller Hist'!E:E)</f>
        <v>288781879</v>
      </c>
      <c r="D215" s="5" t="str">
        <f>_xlfn.XLOOKUP(F215,'Same Seller Hist'!H:H,'Same Seller Hist'!D:D)</f>
        <v>MP CONFECÇÕES</v>
      </c>
      <c r="E215" s="5">
        <f>_xlfn.XLOOKUP(F215,'Same Seller Hist'!H:H,'Same Seller Hist'!I:I)</f>
        <v>7.49626692417011E+18</v>
      </c>
      <c r="F215" s="5" t="s">
        <v>373</v>
      </c>
      <c r="G215" s="5" t="str">
        <f>_xlfn.XLOOKUP(C215,'Same Seller Hist'!E:E,'Same Seller Hist'!F:F)</f>
        <v>Lifestyle</v>
      </c>
      <c r="H215" s="19">
        <f>_xlfn.IFNA(_xlfn.XLOOKUP(C215,'Shp 500'!D:D,'Shp 500'!I:I),0)</f>
        <v>0</v>
      </c>
      <c r="I215" s="19">
        <f>_xlfn.IFNA(_xlfn.XLOOKUP(C215,'Shp 500'!D:D,'Shp 500'!J:J),0)</f>
        <v>0</v>
      </c>
      <c r="J215" s="19">
        <v>464.51612903225805</v>
      </c>
      <c r="K215" s="19">
        <v>20958.064516129034</v>
      </c>
      <c r="L215" s="21" t="s">
        <v>2530</v>
      </c>
      <c r="M215" s="21" t="str">
        <f>IF(L215="Shp 500","Sim",IF(ISNA(_xlfn.XLOOKUP(C215,'Shp 500'!D:D,'Shp 500'!D:D)),"Não","Sim"))</f>
        <v>Não</v>
      </c>
      <c r="N215" s="21" t="str">
        <f>IF(L215="Fastmoss 500","Sim",IF(ISNA(_xlfn.XLOOKUP(_xlfn.XLOOKUP(C215,'Same Seller Hist'!E:E,'Same Seller Hist'!H:H),'Fastmoss 500'!D:D,'Fastmoss 500'!D:D)),"Não","Sim"))</f>
        <v>Sim</v>
      </c>
      <c r="O215" s="21" t="str">
        <f t="shared" si="9"/>
        <v>Não</v>
      </c>
      <c r="P215" s="21" t="str">
        <f t="shared" si="10"/>
        <v>Não</v>
      </c>
      <c r="Q215" s="21">
        <f t="shared" si="11"/>
        <v>1</v>
      </c>
    </row>
    <row r="216" spans="3:17" x14ac:dyDescent="0.35">
      <c r="C216" s="5">
        <f>_xlfn.XLOOKUP(F216,'Same Seller Hist'!H:H,'Same Seller Hist'!E:E)</f>
        <v>1067229535</v>
      </c>
      <c r="D216" s="5" t="str">
        <f>_xlfn.XLOOKUP(F216,'Same Seller Hist'!H:H,'Same Seller Hist'!D:D)</f>
        <v>ACME BRASIL</v>
      </c>
      <c r="E216" s="5">
        <f>_xlfn.XLOOKUP(F216,'Same Seller Hist'!H:H,'Same Seller Hist'!I:I)</f>
        <v>7.4961475853197896E+18</v>
      </c>
      <c r="F216" s="5" t="s">
        <v>89</v>
      </c>
      <c r="G216" s="5" t="str">
        <f>_xlfn.XLOOKUP(C216,'Same Seller Hist'!E:E,'Same Seller Hist'!F:F)</f>
        <v>Fashion</v>
      </c>
      <c r="H216" s="19">
        <f>_xlfn.IFNA(_xlfn.XLOOKUP(C216,'Shp 500'!D:D,'Shp 500'!I:I),0)</f>
        <v>0</v>
      </c>
      <c r="I216" s="19">
        <f>_xlfn.IFNA(_xlfn.XLOOKUP(C216,'Shp 500'!D:D,'Shp 500'!J:J),0)</f>
        <v>0</v>
      </c>
      <c r="J216" s="19">
        <v>451.61290322580646</v>
      </c>
      <c r="K216" s="19">
        <v>31470.967741935485</v>
      </c>
      <c r="L216" s="21" t="s">
        <v>2530</v>
      </c>
      <c r="M216" s="21" t="str">
        <f>IF(L216="Shp 500","Sim",IF(ISNA(_xlfn.XLOOKUP(C216,'Shp 500'!D:D,'Shp 500'!D:D)),"Não","Sim"))</f>
        <v>Não</v>
      </c>
      <c r="N216" s="21" t="str">
        <f>IF(L216="Fastmoss 500","Sim",IF(ISNA(_xlfn.XLOOKUP(_xlfn.XLOOKUP(C216,'Same Seller Hist'!E:E,'Same Seller Hist'!H:H),'Fastmoss 500'!D:D,'Fastmoss 500'!D:D)),"Não","Sim"))</f>
        <v>Sim</v>
      </c>
      <c r="O216" s="21" t="str">
        <f t="shared" si="9"/>
        <v>Não</v>
      </c>
      <c r="P216" s="21" t="str">
        <f t="shared" si="10"/>
        <v>Não</v>
      </c>
      <c r="Q216" s="21">
        <f t="shared" si="11"/>
        <v>1</v>
      </c>
    </row>
    <row r="217" spans="3:17" x14ac:dyDescent="0.35">
      <c r="C217" s="5">
        <f>_xlfn.XLOOKUP(F217,'Same Seller Hist'!H:H,'Same Seller Hist'!E:E)</f>
        <v>389800143</v>
      </c>
      <c r="D217" s="5" t="str">
        <f>_xlfn.XLOOKUP(F217,'Same Seller Hist'!H:H,'Same Seller Hist'!D:D)</f>
        <v>INVICTUS ESHOP</v>
      </c>
      <c r="E217" s="5">
        <f>_xlfn.XLOOKUP(F217,'Same Seller Hist'!H:H,'Same Seller Hist'!I:I)</f>
        <v>7.4961473838256896E+18</v>
      </c>
      <c r="F217" s="5" t="s">
        <v>509</v>
      </c>
      <c r="G217" s="5" t="str">
        <f>_xlfn.XLOOKUP(C217,'Same Seller Hist'!E:E,'Same Seller Hist'!F:F)</f>
        <v>FMCG</v>
      </c>
      <c r="H217" s="19">
        <f>_xlfn.IFNA(_xlfn.XLOOKUP(C217,'Shp 500'!D:D,'Shp 500'!I:I),0)</f>
        <v>0</v>
      </c>
      <c r="I217" s="19">
        <f>_xlfn.IFNA(_xlfn.XLOOKUP(C217,'Shp 500'!D:D,'Shp 500'!J:J),0)</f>
        <v>0</v>
      </c>
      <c r="J217" s="19">
        <v>448.38709677419354</v>
      </c>
      <c r="K217" s="19">
        <v>23325.806451612902</v>
      </c>
      <c r="L217" s="21" t="s">
        <v>2530</v>
      </c>
      <c r="M217" s="21" t="str">
        <f>IF(L217="Shp 500","Sim",IF(ISNA(_xlfn.XLOOKUP(C217,'Shp 500'!D:D,'Shp 500'!D:D)),"Não","Sim"))</f>
        <v>Não</v>
      </c>
      <c r="N217" s="21" t="str">
        <f>IF(L217="Fastmoss 500","Sim",IF(ISNA(_xlfn.XLOOKUP(_xlfn.XLOOKUP(C217,'Same Seller Hist'!E:E,'Same Seller Hist'!H:H),'Fastmoss 500'!D:D,'Fastmoss 500'!D:D)),"Não","Sim"))</f>
        <v>Sim</v>
      </c>
      <c r="O217" s="21" t="str">
        <f t="shared" si="9"/>
        <v>Não</v>
      </c>
      <c r="P217" s="21" t="str">
        <f t="shared" si="10"/>
        <v>Não</v>
      </c>
      <c r="Q217" s="21">
        <f t="shared" si="11"/>
        <v>1</v>
      </c>
    </row>
    <row r="218" spans="3:17" x14ac:dyDescent="0.35">
      <c r="C218" s="5">
        <f>_xlfn.XLOOKUP(F218,'Same Seller Hist'!H:H,'Same Seller Hist'!E:E)</f>
        <v>1013290785</v>
      </c>
      <c r="D218" s="5" t="str">
        <f>_xlfn.XLOOKUP(F218,'Same Seller Hist'!H:H,'Same Seller Hist'!D:D)</f>
        <v>Stella vista moda</v>
      </c>
      <c r="E218" s="5">
        <f>_xlfn.XLOOKUP(F218,'Same Seller Hist'!H:H,'Same Seller Hist'!I:I)</f>
        <v>7.4961473358216202E+18</v>
      </c>
      <c r="F218" s="5" t="s">
        <v>53</v>
      </c>
      <c r="G218" s="5" t="str">
        <f>_xlfn.XLOOKUP(C218,'Same Seller Hist'!E:E,'Same Seller Hist'!F:F)</f>
        <v>Fashion</v>
      </c>
      <c r="H218" s="19">
        <f>_xlfn.IFNA(_xlfn.XLOOKUP(C218,'Shp 500'!D:D,'Shp 500'!I:I),0)</f>
        <v>0</v>
      </c>
      <c r="I218" s="19">
        <f>_xlfn.IFNA(_xlfn.XLOOKUP(C218,'Shp 500'!D:D,'Shp 500'!J:J),0)</f>
        <v>0</v>
      </c>
      <c r="J218" s="19">
        <v>445.16129032258067</v>
      </c>
      <c r="K218" s="19">
        <v>32258.064516129034</v>
      </c>
      <c r="L218" s="21" t="s">
        <v>2530</v>
      </c>
      <c r="M218" s="21" t="str">
        <f>IF(L218="Shp 500","Sim",IF(ISNA(_xlfn.XLOOKUP(C218,'Shp 500'!D:D,'Shp 500'!D:D)),"Não","Sim"))</f>
        <v>Não</v>
      </c>
      <c r="N218" s="21" t="str">
        <f>IF(L218="Fastmoss 500","Sim",IF(ISNA(_xlfn.XLOOKUP(_xlfn.XLOOKUP(C218,'Same Seller Hist'!E:E,'Same Seller Hist'!H:H),'Fastmoss 500'!D:D,'Fastmoss 500'!D:D)),"Não","Sim"))</f>
        <v>Sim</v>
      </c>
      <c r="O218" s="21" t="str">
        <f t="shared" si="9"/>
        <v>Não</v>
      </c>
      <c r="P218" s="21" t="str">
        <f t="shared" si="10"/>
        <v>Não</v>
      </c>
      <c r="Q218" s="21">
        <f t="shared" si="11"/>
        <v>1</v>
      </c>
    </row>
    <row r="219" spans="3:17" x14ac:dyDescent="0.35">
      <c r="C219" s="5">
        <f>_xlfn.XLOOKUP(F219,'Same Seller Hist'!H:H,'Same Seller Hist'!E:E)</f>
        <v>1334088625</v>
      </c>
      <c r="D219" s="5" t="str">
        <f>_xlfn.XLOOKUP(F219,'Same Seller Hist'!H:H,'Same Seller Hist'!D:D)</f>
        <v>WYL Top Comércio</v>
      </c>
      <c r="E219" s="5">
        <f>_xlfn.XLOOKUP(F219,'Same Seller Hist'!H:H,'Same Seller Hist'!I:I)</f>
        <v>7.4961819702677002E+18</v>
      </c>
      <c r="F219" s="5" t="s">
        <v>206</v>
      </c>
      <c r="G219" s="5" t="str">
        <f>_xlfn.XLOOKUP(C219,'Same Seller Hist'!E:E,'Same Seller Hist'!F:F)</f>
        <v>FMCG</v>
      </c>
      <c r="H219" s="19">
        <f>_xlfn.IFNA(_xlfn.XLOOKUP(C219,'Shp 500'!D:D,'Shp 500'!I:I),0)</f>
        <v>0</v>
      </c>
      <c r="I219" s="19">
        <f>_xlfn.IFNA(_xlfn.XLOOKUP(C219,'Shp 500'!D:D,'Shp 500'!J:J),0)</f>
        <v>0</v>
      </c>
      <c r="J219" s="19">
        <v>441.93548387096774</v>
      </c>
      <c r="K219" s="19">
        <v>7809.677419354839</v>
      </c>
      <c r="L219" s="21" t="s">
        <v>2530</v>
      </c>
      <c r="M219" s="21" t="str">
        <f>IF(L219="Shp 500","Sim",IF(ISNA(_xlfn.XLOOKUP(C219,'Shp 500'!D:D,'Shp 500'!D:D)),"Não","Sim"))</f>
        <v>Não</v>
      </c>
      <c r="N219" s="21" t="str">
        <f>IF(L219="Fastmoss 500","Sim",IF(ISNA(_xlfn.XLOOKUP(_xlfn.XLOOKUP(C219,'Same Seller Hist'!E:E,'Same Seller Hist'!H:H),'Fastmoss 500'!D:D,'Fastmoss 500'!D:D)),"Não","Sim"))</f>
        <v>Sim</v>
      </c>
      <c r="O219" s="21" t="str">
        <f t="shared" si="9"/>
        <v>Não</v>
      </c>
      <c r="P219" s="21" t="str">
        <f t="shared" si="10"/>
        <v>Não</v>
      </c>
      <c r="Q219" s="21">
        <f t="shared" si="11"/>
        <v>1</v>
      </c>
    </row>
    <row r="220" spans="3:17" x14ac:dyDescent="0.35">
      <c r="C220" s="5">
        <v>1057319077</v>
      </c>
      <c r="D220" s="5" t="s">
        <v>82</v>
      </c>
      <c r="E220" s="5">
        <f>_xlfn.XLOOKUP(C220,'Same Seller Hist'!E:E,'Same Seller Hist'!I:I)</f>
        <v>7.49630477114543E+18</v>
      </c>
      <c r="F220" s="5" t="str">
        <f>_xlfn.XLOOKUP(C220,'Same Seller Hist'!E:E,'Same Seller Hist'!H:H)</f>
        <v>LEO BUY SHOP</v>
      </c>
      <c r="G220" s="5" t="s">
        <v>1734</v>
      </c>
      <c r="H220" s="19">
        <v>3971.5483870967741</v>
      </c>
      <c r="I220" s="19">
        <v>34373.153014242256</v>
      </c>
      <c r="J220" s="19">
        <f>_xlfn.IFNA(_xlfn.XLOOKUP(F220,'Fastmoss 500'!D:D,'Fastmoss 500'!O:O),0)</f>
        <v>1938.7096774193549</v>
      </c>
      <c r="K220" s="19">
        <f>_xlfn.IFNA(_xlfn.XLOOKUP(F220,'Fastmoss 500'!D:D,'Fastmoss 500'!N:N),0)</f>
        <v>138709.67741935485</v>
      </c>
      <c r="L220" s="21" t="s">
        <v>2528</v>
      </c>
      <c r="M220" s="21" t="str">
        <f>IF(L220="Shp 500","Sim",IF(ISNA(_xlfn.XLOOKUP(C220,'Shp 500'!D:D,'Shp 500'!D:D)),"Não","Sim"))</f>
        <v>Sim</v>
      </c>
      <c r="N220" s="21" t="str">
        <f>IF(L220="Fastmoss 500","Sim",IF(ISNA(_xlfn.XLOOKUP(_xlfn.XLOOKUP(C220,'Same Seller Hist'!E:E,'Same Seller Hist'!H:H),'Fastmoss 500'!D:D,'Fastmoss 500'!D:D)),"Não","Sim"))</f>
        <v>Sim</v>
      </c>
      <c r="O220" s="21" t="str">
        <f t="shared" si="9"/>
        <v>Sim</v>
      </c>
      <c r="P220" s="21" t="str">
        <f t="shared" si="10"/>
        <v>Não</v>
      </c>
      <c r="Q220" s="21">
        <f t="shared" si="11"/>
        <v>1</v>
      </c>
    </row>
    <row r="221" spans="3:17" x14ac:dyDescent="0.35">
      <c r="C221" s="5">
        <f>_xlfn.XLOOKUP(F221,'Same Seller Hist'!H:H,'Same Seller Hist'!E:E)</f>
        <v>1252832710</v>
      </c>
      <c r="D221" s="5" t="str">
        <f>_xlfn.XLOOKUP(F221,'Same Seller Hist'!H:H,'Same Seller Hist'!D:D)</f>
        <v>Ninevariedades</v>
      </c>
      <c r="E221" s="5">
        <f>_xlfn.XLOOKUP(F221,'Same Seller Hist'!H:H,'Same Seller Hist'!I:I)</f>
        <v>7.49414620601873E+18</v>
      </c>
      <c r="F221" s="5" t="s">
        <v>844</v>
      </c>
      <c r="G221" s="5">
        <f>_xlfn.XLOOKUP(C221,'Same Seller Hist'!E:E,'Same Seller Hist'!F:F)</f>
        <v>0</v>
      </c>
      <c r="H221" s="19">
        <f>_xlfn.IFNA(_xlfn.XLOOKUP(C221,'Shp 500'!D:D,'Shp 500'!I:I),0)</f>
        <v>0</v>
      </c>
      <c r="I221" s="19">
        <f>_xlfn.IFNA(_xlfn.XLOOKUP(C221,'Shp 500'!D:D,'Shp 500'!J:J),0)</f>
        <v>0</v>
      </c>
      <c r="J221" s="19">
        <v>432.25806451612902</v>
      </c>
      <c r="K221" s="19">
        <v>22806.451612903227</v>
      </c>
      <c r="L221" s="21" t="s">
        <v>2530</v>
      </c>
      <c r="M221" s="21" t="str">
        <f>IF(L221="Shp 500","Sim",IF(ISNA(_xlfn.XLOOKUP(C221,'Shp 500'!D:D,'Shp 500'!D:D)),"Não","Sim"))</f>
        <v>Não</v>
      </c>
      <c r="N221" s="21" t="str">
        <f>IF(L221="Fastmoss 500","Sim",IF(ISNA(_xlfn.XLOOKUP(_xlfn.XLOOKUP(C221,'Same Seller Hist'!E:E,'Same Seller Hist'!H:H),'Fastmoss 500'!D:D,'Fastmoss 500'!D:D)),"Não","Sim"))</f>
        <v>Sim</v>
      </c>
      <c r="O221" s="21" t="str">
        <f t="shared" si="9"/>
        <v>Não</v>
      </c>
      <c r="P221" s="21" t="str">
        <f t="shared" si="10"/>
        <v>Não</v>
      </c>
      <c r="Q221" s="21">
        <f t="shared" si="11"/>
        <v>1</v>
      </c>
    </row>
    <row r="222" spans="3:17" x14ac:dyDescent="0.35">
      <c r="C222" s="5">
        <f>_xlfn.XLOOKUP(F222,'Same Seller Hist'!H:H,'Same Seller Hist'!E:E)</f>
        <v>325503017</v>
      </c>
      <c r="D222" s="5" t="str">
        <f>_xlfn.XLOOKUP(F222,'Same Seller Hist'!H:H,'Same Seller Hist'!D:D)</f>
        <v>Galuno Artesanato em Madeira</v>
      </c>
      <c r="E222" s="5">
        <f>_xlfn.XLOOKUP(F222,'Same Seller Hist'!H:H,'Same Seller Hist'!I:I)</f>
        <v>7.4962166718757202E+18</v>
      </c>
      <c r="F222" s="5" t="s">
        <v>424</v>
      </c>
      <c r="G222" s="5" t="str">
        <f>_xlfn.XLOOKUP(C222,'Same Seller Hist'!E:E,'Same Seller Hist'!F:F)</f>
        <v>Lifestyle</v>
      </c>
      <c r="H222" s="19">
        <f>_xlfn.IFNA(_xlfn.XLOOKUP(C222,'Shp 500'!D:D,'Shp 500'!I:I),0)</f>
        <v>0</v>
      </c>
      <c r="I222" s="19">
        <f>_xlfn.IFNA(_xlfn.XLOOKUP(C222,'Shp 500'!D:D,'Shp 500'!J:J),0)</f>
        <v>0</v>
      </c>
      <c r="J222" s="19">
        <v>425.80645161290323</v>
      </c>
      <c r="K222" s="19">
        <v>7925.8064516129034</v>
      </c>
      <c r="L222" s="21" t="s">
        <v>2530</v>
      </c>
      <c r="M222" s="21" t="str">
        <f>IF(L222="Shp 500","Sim",IF(ISNA(_xlfn.XLOOKUP(C222,'Shp 500'!D:D,'Shp 500'!D:D)),"Não","Sim"))</f>
        <v>Não</v>
      </c>
      <c r="N222" s="21" t="str">
        <f>IF(L222="Fastmoss 500","Sim",IF(ISNA(_xlfn.XLOOKUP(_xlfn.XLOOKUP(C222,'Same Seller Hist'!E:E,'Same Seller Hist'!H:H),'Fastmoss 500'!D:D,'Fastmoss 500'!D:D)),"Não","Sim"))</f>
        <v>Sim</v>
      </c>
      <c r="O222" s="21" t="str">
        <f t="shared" si="9"/>
        <v>Não</v>
      </c>
      <c r="P222" s="21" t="str">
        <f t="shared" si="10"/>
        <v>Não</v>
      </c>
      <c r="Q222" s="21">
        <f t="shared" si="11"/>
        <v>1</v>
      </c>
    </row>
    <row r="223" spans="3:17" x14ac:dyDescent="0.35">
      <c r="C223" s="5">
        <f>_xlfn.XLOOKUP(F223,'Same Seller Hist'!H:H,'Same Seller Hist'!E:E)</f>
        <v>1420699091</v>
      </c>
      <c r="D223" s="5" t="str">
        <f>_xlfn.XLOOKUP(F223,'Same Seller Hist'!H:H,'Same Seller Hist'!D:D)</f>
        <v>Bestbrasil</v>
      </c>
      <c r="E223" s="5">
        <f>_xlfn.XLOOKUP(F223,'Same Seller Hist'!H:H,'Same Seller Hist'!I:I)</f>
        <v>7.4963197607471002E+18</v>
      </c>
      <c r="F223" s="5" t="s">
        <v>254</v>
      </c>
      <c r="G223" s="5" t="str">
        <f>_xlfn.XLOOKUP(C223,'Same Seller Hist'!E:E,'Same Seller Hist'!F:F)</f>
        <v>Lifestyle</v>
      </c>
      <c r="H223" s="19">
        <f>_xlfn.IFNA(_xlfn.XLOOKUP(C223,'Shp 500'!D:D,'Shp 500'!I:I),0)</f>
        <v>0</v>
      </c>
      <c r="I223" s="19">
        <f>_xlfn.IFNA(_xlfn.XLOOKUP(C223,'Shp 500'!D:D,'Shp 500'!J:J),0)</f>
        <v>0</v>
      </c>
      <c r="J223" s="19">
        <v>425.80645161290323</v>
      </c>
      <c r="K223" s="19">
        <v>18812.903225806451</v>
      </c>
      <c r="L223" s="21" t="s">
        <v>2530</v>
      </c>
      <c r="M223" s="21" t="str">
        <f>IF(L223="Shp 500","Sim",IF(ISNA(_xlfn.XLOOKUP(C223,'Shp 500'!D:D,'Shp 500'!D:D)),"Não","Sim"))</f>
        <v>Não</v>
      </c>
      <c r="N223" s="21" t="str">
        <f>IF(L223="Fastmoss 500","Sim",IF(ISNA(_xlfn.XLOOKUP(_xlfn.XLOOKUP(C223,'Same Seller Hist'!E:E,'Same Seller Hist'!H:H),'Fastmoss 500'!D:D,'Fastmoss 500'!D:D)),"Não","Sim"))</f>
        <v>Sim</v>
      </c>
      <c r="O223" s="21" t="str">
        <f t="shared" si="9"/>
        <v>Não</v>
      </c>
      <c r="P223" s="21" t="str">
        <f t="shared" si="10"/>
        <v>Não</v>
      </c>
      <c r="Q223" s="21">
        <f t="shared" si="11"/>
        <v>1</v>
      </c>
    </row>
    <row r="224" spans="3:17" x14ac:dyDescent="0.35">
      <c r="C224" s="5">
        <f>_xlfn.XLOOKUP(F224,'Same Seller Hist'!H:H,'Same Seller Hist'!E:E)</f>
        <v>1114645438</v>
      </c>
      <c r="D224" s="5" t="str">
        <f>_xlfn.XLOOKUP(F224,'Same Seller Hist'!H:H,'Same Seller Hist'!D:D)</f>
        <v>bettdow.br</v>
      </c>
      <c r="E224" s="5">
        <f>_xlfn.XLOOKUP(F224,'Same Seller Hist'!H:H,'Same Seller Hist'!I:I)</f>
        <v>7.4961473777790802E+18</v>
      </c>
      <c r="F224" s="5" t="s">
        <v>118</v>
      </c>
      <c r="G224" s="5" t="str">
        <f>_xlfn.XLOOKUP(C224,'Same Seller Hist'!E:E,'Same Seller Hist'!F:F)</f>
        <v>ELHA</v>
      </c>
      <c r="H224" s="19">
        <f>_xlfn.IFNA(_xlfn.XLOOKUP(C224,'Shp 500'!D:D,'Shp 500'!I:I),0)</f>
        <v>0</v>
      </c>
      <c r="I224" s="19">
        <f>_xlfn.IFNA(_xlfn.XLOOKUP(C224,'Shp 500'!D:D,'Shp 500'!J:J),0)</f>
        <v>0</v>
      </c>
      <c r="J224" s="19">
        <v>1035.483870967742</v>
      </c>
      <c r="K224" s="19">
        <v>83870.967741935485</v>
      </c>
      <c r="L224" s="21" t="s">
        <v>2530</v>
      </c>
      <c r="M224" s="21" t="str">
        <f>IF(L224="Shp 500","Sim",IF(ISNA(_xlfn.XLOOKUP(C224,'Shp 500'!D:D,'Shp 500'!D:D)),"Não","Sim"))</f>
        <v>Não</v>
      </c>
      <c r="N224" s="21" t="str">
        <f>IF(L224="Fastmoss 500","Sim",IF(ISNA(_xlfn.XLOOKUP(_xlfn.XLOOKUP(C224,'Same Seller Hist'!E:E,'Same Seller Hist'!H:H),'Fastmoss 500'!D:D,'Fastmoss 500'!D:D)),"Não","Sim"))</f>
        <v>Sim</v>
      </c>
      <c r="O224" s="21" t="str">
        <f t="shared" si="9"/>
        <v>Não</v>
      </c>
      <c r="P224" s="21" t="str">
        <f t="shared" si="10"/>
        <v>Não</v>
      </c>
      <c r="Q224" s="21">
        <f t="shared" si="11"/>
        <v>1</v>
      </c>
    </row>
    <row r="225" spans="3:17" x14ac:dyDescent="0.35">
      <c r="C225" s="5">
        <f>_xlfn.XLOOKUP(F225,'Same Seller Hist'!H:H,'Same Seller Hist'!E:E)</f>
        <v>1615209975</v>
      </c>
      <c r="D225" s="5" t="str">
        <f>_xlfn.XLOOKUP(F225,'Same Seller Hist'!H:H,'Same Seller Hist'!D:D)</f>
        <v>Lafu</v>
      </c>
      <c r="E225" s="5">
        <f>_xlfn.XLOOKUP(F225,'Same Seller Hist'!H:H,'Same Seller Hist'!I:I)</f>
        <v>7.4941284632876401E+18</v>
      </c>
      <c r="F225" s="5" t="s">
        <v>780</v>
      </c>
      <c r="G225" s="5" t="str">
        <f>_xlfn.XLOOKUP(C225,'Same Seller Hist'!E:E,'Same Seller Hist'!F:F)</f>
        <v>FMCG</v>
      </c>
      <c r="H225" s="19">
        <f>_xlfn.IFNA(_xlfn.XLOOKUP(C225,'Shp 500'!D:D,'Shp 500'!I:I),0)</f>
        <v>0</v>
      </c>
      <c r="I225" s="19">
        <f>_xlfn.IFNA(_xlfn.XLOOKUP(C225,'Shp 500'!D:D,'Shp 500'!J:J),0)</f>
        <v>0</v>
      </c>
      <c r="J225" s="19">
        <v>403.22580645161293</v>
      </c>
      <c r="K225" s="19">
        <v>20958.064516129034</v>
      </c>
      <c r="L225" s="21" t="s">
        <v>2530</v>
      </c>
      <c r="M225" s="21" t="str">
        <f>IF(L225="Shp 500","Sim",IF(ISNA(_xlfn.XLOOKUP(C225,'Shp 500'!D:D,'Shp 500'!D:D)),"Não","Sim"))</f>
        <v>Não</v>
      </c>
      <c r="N225" s="21" t="str">
        <f>IF(L225="Fastmoss 500","Sim",IF(ISNA(_xlfn.XLOOKUP(_xlfn.XLOOKUP(C225,'Same Seller Hist'!E:E,'Same Seller Hist'!H:H),'Fastmoss 500'!D:D,'Fastmoss 500'!D:D)),"Não","Sim"))</f>
        <v>Sim</v>
      </c>
      <c r="O225" s="21" t="str">
        <f t="shared" si="9"/>
        <v>Não</v>
      </c>
      <c r="P225" s="21" t="str">
        <f t="shared" si="10"/>
        <v>Não</v>
      </c>
      <c r="Q225" s="21">
        <f t="shared" si="11"/>
        <v>1</v>
      </c>
    </row>
    <row r="226" spans="3:17" x14ac:dyDescent="0.35">
      <c r="C226" s="5">
        <f>_xlfn.XLOOKUP(F226,'Same Seller Hist'!H:H,'Same Seller Hist'!E:E)</f>
        <v>684159964</v>
      </c>
      <c r="D226" s="5" t="str">
        <f>_xlfn.XLOOKUP(F226,'Same Seller Hist'!H:H,'Same Seller Hist'!D:D)</f>
        <v>Fu Acessórios</v>
      </c>
      <c r="E226" s="5">
        <f>_xlfn.XLOOKUP(F226,'Same Seller Hist'!H:H,'Same Seller Hist'!I:I)</f>
        <v>7.4961626052288502E+18</v>
      </c>
      <c r="F226" s="5" t="s">
        <v>675</v>
      </c>
      <c r="G226" s="5" t="str">
        <f>_xlfn.XLOOKUP(C226,'Same Seller Hist'!E:E,'Same Seller Hist'!F:F)</f>
        <v>ELHA</v>
      </c>
      <c r="H226" s="19">
        <f>_xlfn.IFNA(_xlfn.XLOOKUP(C226,'Shp 500'!D:D,'Shp 500'!I:I),0)</f>
        <v>0</v>
      </c>
      <c r="I226" s="19">
        <f>_xlfn.IFNA(_xlfn.XLOOKUP(C226,'Shp 500'!D:D,'Shp 500'!J:J),0)</f>
        <v>0</v>
      </c>
      <c r="J226" s="19">
        <v>400</v>
      </c>
      <c r="K226" s="19">
        <v>5993.5483870967746</v>
      </c>
      <c r="L226" s="21" t="s">
        <v>2530</v>
      </c>
      <c r="M226" s="21" t="str">
        <f>IF(L226="Shp 500","Sim",IF(ISNA(_xlfn.XLOOKUP(C226,'Shp 500'!D:D,'Shp 500'!D:D)),"Não","Sim"))</f>
        <v>Não</v>
      </c>
      <c r="N226" s="21" t="str">
        <f>IF(L226="Fastmoss 500","Sim",IF(ISNA(_xlfn.XLOOKUP(_xlfn.XLOOKUP(C226,'Same Seller Hist'!E:E,'Same Seller Hist'!H:H),'Fastmoss 500'!D:D,'Fastmoss 500'!D:D)),"Não","Sim"))</f>
        <v>Sim</v>
      </c>
      <c r="O226" s="21" t="str">
        <f t="shared" si="9"/>
        <v>Não</v>
      </c>
      <c r="P226" s="21" t="str">
        <f t="shared" si="10"/>
        <v>Não</v>
      </c>
      <c r="Q226" s="21">
        <f t="shared" si="11"/>
        <v>1</v>
      </c>
    </row>
    <row r="227" spans="3:17" x14ac:dyDescent="0.35">
      <c r="C227" s="5">
        <f>_xlfn.XLOOKUP(F227,'Same Seller Hist'!H:H,'Same Seller Hist'!E:E)</f>
        <v>932796296</v>
      </c>
      <c r="D227" s="5" t="str">
        <f>_xlfn.XLOOKUP(F227,'Same Seller Hist'!H:H,'Same Seller Hist'!D:D)</f>
        <v>LUNA SHOP BRASIL</v>
      </c>
      <c r="E227" s="5">
        <f>_xlfn.XLOOKUP(F227,'Same Seller Hist'!H:H,'Same Seller Hist'!I:I)</f>
        <v>7.4961819424250604E+18</v>
      </c>
      <c r="F227" s="5" t="s">
        <v>750</v>
      </c>
      <c r="G227" s="5" t="str">
        <f>_xlfn.XLOOKUP(C227,'Same Seller Hist'!E:E,'Same Seller Hist'!F:F)</f>
        <v>Lifestyle</v>
      </c>
      <c r="H227" s="19">
        <f>_xlfn.IFNA(_xlfn.XLOOKUP(C227,'Shp 500'!D:D,'Shp 500'!I:I),0)</f>
        <v>0</v>
      </c>
      <c r="I227" s="19">
        <f>_xlfn.IFNA(_xlfn.XLOOKUP(C227,'Shp 500'!D:D,'Shp 500'!J:J),0)</f>
        <v>0</v>
      </c>
      <c r="J227" s="19">
        <v>393.54838709677421</v>
      </c>
      <c r="K227" s="19">
        <v>9425.8064516129034</v>
      </c>
      <c r="L227" s="21" t="s">
        <v>2530</v>
      </c>
      <c r="M227" s="21" t="str">
        <f>IF(L227="Shp 500","Sim",IF(ISNA(_xlfn.XLOOKUP(C227,'Shp 500'!D:D,'Shp 500'!D:D)),"Não","Sim"))</f>
        <v>Não</v>
      </c>
      <c r="N227" s="21" t="str">
        <f>IF(L227="Fastmoss 500","Sim",IF(ISNA(_xlfn.XLOOKUP(_xlfn.XLOOKUP(C227,'Same Seller Hist'!E:E,'Same Seller Hist'!H:H),'Fastmoss 500'!D:D,'Fastmoss 500'!D:D)),"Não","Sim"))</f>
        <v>Sim</v>
      </c>
      <c r="O227" s="21" t="str">
        <f t="shared" si="9"/>
        <v>Não</v>
      </c>
      <c r="P227" s="21" t="str">
        <f t="shared" si="10"/>
        <v>Não</v>
      </c>
      <c r="Q227" s="21">
        <f t="shared" si="11"/>
        <v>1</v>
      </c>
    </row>
    <row r="228" spans="3:17" x14ac:dyDescent="0.35">
      <c r="C228" s="5">
        <f>_xlfn.XLOOKUP(F228,'Same Seller Hist'!H:H,'Same Seller Hist'!E:E)</f>
        <v>469995342</v>
      </c>
      <c r="D228" s="5" t="str">
        <f>_xlfn.XLOOKUP(F228,'Same Seller Hist'!H:H,'Same Seller Hist'!D:D)</f>
        <v>Atacadão do João Lingerie</v>
      </c>
      <c r="E228" s="5">
        <f>_xlfn.XLOOKUP(F228,'Same Seller Hist'!H:H,'Same Seller Hist'!I:I)</f>
        <v>7.4941126196287498E+18</v>
      </c>
      <c r="F228" s="5" t="s">
        <v>849</v>
      </c>
      <c r="G228" s="5">
        <f>_xlfn.XLOOKUP(C228,'Same Seller Hist'!E:E,'Same Seller Hist'!F:F)</f>
        <v>0</v>
      </c>
      <c r="H228" s="19">
        <f>_xlfn.IFNA(_xlfn.XLOOKUP(C228,'Shp 500'!D:D,'Shp 500'!I:I),0)</f>
        <v>0</v>
      </c>
      <c r="I228" s="19">
        <f>_xlfn.IFNA(_xlfn.XLOOKUP(C228,'Shp 500'!D:D,'Shp 500'!J:J),0)</f>
        <v>0</v>
      </c>
      <c r="J228" s="19">
        <v>393.54838709677421</v>
      </c>
      <c r="K228" s="19">
        <v>21483.870967741936</v>
      </c>
      <c r="L228" s="21" t="s">
        <v>2530</v>
      </c>
      <c r="M228" s="21" t="str">
        <f>IF(L228="Shp 500","Sim",IF(ISNA(_xlfn.XLOOKUP(C228,'Shp 500'!D:D,'Shp 500'!D:D)),"Não","Sim"))</f>
        <v>Não</v>
      </c>
      <c r="N228" s="21" t="str">
        <f>IF(L228="Fastmoss 500","Sim",IF(ISNA(_xlfn.XLOOKUP(_xlfn.XLOOKUP(C228,'Same Seller Hist'!E:E,'Same Seller Hist'!H:H),'Fastmoss 500'!D:D,'Fastmoss 500'!D:D)),"Não","Sim"))</f>
        <v>Sim</v>
      </c>
      <c r="O228" s="21" t="str">
        <f t="shared" si="9"/>
        <v>Não</v>
      </c>
      <c r="P228" s="21" t="str">
        <f t="shared" si="10"/>
        <v>Não</v>
      </c>
      <c r="Q228" s="21">
        <f t="shared" si="11"/>
        <v>1</v>
      </c>
    </row>
    <row r="229" spans="3:17" x14ac:dyDescent="0.35">
      <c r="C229" s="5">
        <f>_xlfn.XLOOKUP(F229,'Same Seller Hist'!H:H,'Same Seller Hist'!E:E)</f>
        <v>305942764</v>
      </c>
      <c r="D229" s="5" t="str">
        <f>_xlfn.XLOOKUP(F229,'Same Seller Hist'!H:H,'Same Seller Hist'!D:D)</f>
        <v>GrupoGeta</v>
      </c>
      <c r="E229" s="5">
        <f>_xlfn.XLOOKUP(F229,'Same Seller Hist'!H:H,'Same Seller Hist'!I:I)</f>
        <v>7.4962416790237696E+18</v>
      </c>
      <c r="F229" s="5" t="s">
        <v>397</v>
      </c>
      <c r="G229" s="5" t="str">
        <f>_xlfn.XLOOKUP(C229,'Same Seller Hist'!E:E,'Same Seller Hist'!F:F)</f>
        <v>Lifestyle</v>
      </c>
      <c r="H229" s="19">
        <f>_xlfn.IFNA(_xlfn.XLOOKUP(C229,'Shp 500'!D:D,'Shp 500'!I:I),0)</f>
        <v>0</v>
      </c>
      <c r="I229" s="19">
        <f>_xlfn.IFNA(_xlfn.XLOOKUP(C229,'Shp 500'!D:D,'Shp 500'!J:J),0)</f>
        <v>0</v>
      </c>
      <c r="J229" s="19">
        <v>390.32258064516128</v>
      </c>
      <c r="K229" s="19">
        <v>12690.322580645161</v>
      </c>
      <c r="L229" s="21" t="s">
        <v>2530</v>
      </c>
      <c r="M229" s="21" t="str">
        <f>IF(L229="Shp 500","Sim",IF(ISNA(_xlfn.XLOOKUP(C229,'Shp 500'!D:D,'Shp 500'!D:D)),"Não","Sim"))</f>
        <v>Não</v>
      </c>
      <c r="N229" s="21" t="str">
        <f>IF(L229="Fastmoss 500","Sim",IF(ISNA(_xlfn.XLOOKUP(_xlfn.XLOOKUP(C229,'Same Seller Hist'!E:E,'Same Seller Hist'!H:H),'Fastmoss 500'!D:D,'Fastmoss 500'!D:D)),"Não","Sim"))</f>
        <v>Sim</v>
      </c>
      <c r="O229" s="21" t="str">
        <f t="shared" si="9"/>
        <v>Não</v>
      </c>
      <c r="P229" s="21" t="str">
        <f t="shared" si="10"/>
        <v>Não</v>
      </c>
      <c r="Q229" s="21">
        <f t="shared" si="11"/>
        <v>1</v>
      </c>
    </row>
    <row r="230" spans="3:17" x14ac:dyDescent="0.35">
      <c r="C230" s="5">
        <f>_xlfn.XLOOKUP(F230,'Same Seller Hist'!H:H,'Same Seller Hist'!E:E)</f>
        <v>1506918672</v>
      </c>
      <c r="D230" s="5" t="str">
        <f>_xlfn.XLOOKUP(F230,'Same Seller Hist'!H:H,'Same Seller Hist'!D:D)</f>
        <v>Loja do Sol</v>
      </c>
      <c r="E230" s="5">
        <f>_xlfn.XLOOKUP(F230,'Same Seller Hist'!H:H,'Same Seller Hist'!I:I)</f>
        <v>7.4961869234503997E+18</v>
      </c>
      <c r="F230" s="5" t="s">
        <v>292</v>
      </c>
      <c r="G230" s="5" t="str">
        <f>_xlfn.XLOOKUP(C230,'Same Seller Hist'!E:E,'Same Seller Hist'!F:F)</f>
        <v>Lifestyle</v>
      </c>
      <c r="H230" s="19">
        <f>_xlfn.IFNA(_xlfn.XLOOKUP(C230,'Shp 500'!D:D,'Shp 500'!I:I),0)</f>
        <v>0</v>
      </c>
      <c r="I230" s="19">
        <f>_xlfn.IFNA(_xlfn.XLOOKUP(C230,'Shp 500'!D:D,'Shp 500'!J:J),0)</f>
        <v>0</v>
      </c>
      <c r="J230" s="19">
        <v>387.09677419354841</v>
      </c>
      <c r="K230" s="19">
        <v>12316.129032258064</v>
      </c>
      <c r="L230" s="21" t="s">
        <v>2530</v>
      </c>
      <c r="M230" s="21" t="str">
        <f>IF(L230="Shp 500","Sim",IF(ISNA(_xlfn.XLOOKUP(C230,'Shp 500'!D:D,'Shp 500'!D:D)),"Não","Sim"))</f>
        <v>Não</v>
      </c>
      <c r="N230" s="21" t="str">
        <f>IF(L230="Fastmoss 500","Sim",IF(ISNA(_xlfn.XLOOKUP(_xlfn.XLOOKUP(C230,'Same Seller Hist'!E:E,'Same Seller Hist'!H:H),'Fastmoss 500'!D:D,'Fastmoss 500'!D:D)),"Não","Sim"))</f>
        <v>Sim</v>
      </c>
      <c r="O230" s="21" t="str">
        <f t="shared" si="9"/>
        <v>Não</v>
      </c>
      <c r="P230" s="21" t="str">
        <f t="shared" si="10"/>
        <v>Não</v>
      </c>
      <c r="Q230" s="21">
        <f t="shared" si="11"/>
        <v>1</v>
      </c>
    </row>
    <row r="231" spans="3:17" x14ac:dyDescent="0.35">
      <c r="C231" s="5">
        <f>_xlfn.XLOOKUP(F231,'Same Seller Hist'!H:H,'Same Seller Hist'!E:E)</f>
        <v>1068177515</v>
      </c>
      <c r="D231" s="5" t="str">
        <f>_xlfn.XLOOKUP(F231,'Same Seller Hist'!H:H,'Same Seller Hist'!D:D)</f>
        <v>YAYA COMERCIO</v>
      </c>
      <c r="E231" s="5">
        <f>_xlfn.XLOOKUP(F231,'Same Seller Hist'!H:H,'Same Seller Hist'!I:I)</f>
        <v>7.4962361551515505E+18</v>
      </c>
      <c r="F231" s="5" t="s">
        <v>91</v>
      </c>
      <c r="G231" s="5" t="str">
        <f>_xlfn.XLOOKUP(C231,'Same Seller Hist'!E:E,'Same Seller Hist'!F:F)</f>
        <v>FMCG</v>
      </c>
      <c r="H231" s="19">
        <f>_xlfn.IFNA(_xlfn.XLOOKUP(C231,'Shp 500'!D:D,'Shp 500'!I:I),0)</f>
        <v>0</v>
      </c>
      <c r="I231" s="19">
        <f>_xlfn.IFNA(_xlfn.XLOOKUP(C231,'Shp 500'!D:D,'Shp 500'!J:J),0)</f>
        <v>0</v>
      </c>
      <c r="J231" s="19">
        <v>383.87096774193549</v>
      </c>
      <c r="K231" s="19">
        <v>9496.7741935483864</v>
      </c>
      <c r="L231" s="21" t="s">
        <v>2530</v>
      </c>
      <c r="M231" s="21" t="str">
        <f>IF(L231="Shp 500","Sim",IF(ISNA(_xlfn.XLOOKUP(C231,'Shp 500'!D:D,'Shp 500'!D:D)),"Não","Sim"))</f>
        <v>Não</v>
      </c>
      <c r="N231" s="21" t="str">
        <f>IF(L231="Fastmoss 500","Sim",IF(ISNA(_xlfn.XLOOKUP(_xlfn.XLOOKUP(C231,'Same Seller Hist'!E:E,'Same Seller Hist'!H:H),'Fastmoss 500'!D:D,'Fastmoss 500'!D:D)),"Não","Sim"))</f>
        <v>Sim</v>
      </c>
      <c r="O231" s="21" t="str">
        <f t="shared" si="9"/>
        <v>Não</v>
      </c>
      <c r="P231" s="21" t="str">
        <f t="shared" si="10"/>
        <v>Não</v>
      </c>
      <c r="Q231" s="21">
        <f t="shared" si="11"/>
        <v>1</v>
      </c>
    </row>
    <row r="232" spans="3:17" x14ac:dyDescent="0.35">
      <c r="C232" s="5">
        <v>1171273264</v>
      </c>
      <c r="D232" s="5" t="s">
        <v>1529</v>
      </c>
      <c r="E232" s="5">
        <f>_xlfn.XLOOKUP(C232,'Same Seller Hist'!E:E,'Same Seller Hist'!I:I)</f>
        <v>7.49616355422434E+18</v>
      </c>
      <c r="F232" s="5" t="str">
        <f>_xlfn.XLOOKUP(C232,'Same Seller Hist'!E:E,'Same Seller Hist'!H:H)</f>
        <v>Monica Fashion Brasil</v>
      </c>
      <c r="G232" s="5" t="s">
        <v>1734</v>
      </c>
      <c r="H232" s="19">
        <v>1134.0322580645161</v>
      </c>
      <c r="I232" s="19">
        <v>3686.8094674805161</v>
      </c>
      <c r="J232" s="19">
        <f>_xlfn.IFNA(_xlfn.XLOOKUP(F232,'Fastmoss 500'!D:D,'Fastmoss 500'!O:O),0)</f>
        <v>1254.8387096774193</v>
      </c>
      <c r="K232" s="19">
        <f>_xlfn.IFNA(_xlfn.XLOOKUP(F232,'Fastmoss 500'!D:D,'Fastmoss 500'!N:N),0)</f>
        <v>17438.709677419356</v>
      </c>
      <c r="L232" s="21" t="s">
        <v>2528</v>
      </c>
      <c r="M232" s="21" t="str">
        <f>IF(L232="Shp 500","Sim",IF(ISNA(_xlfn.XLOOKUP(C232,'Shp 500'!D:D,'Shp 500'!D:D)),"Não","Sim"))</f>
        <v>Sim</v>
      </c>
      <c r="N232" s="21" t="str">
        <f>IF(L232="Fastmoss 500","Sim",IF(ISNA(_xlfn.XLOOKUP(_xlfn.XLOOKUP(C232,'Same Seller Hist'!E:E,'Same Seller Hist'!H:H),'Fastmoss 500'!D:D,'Fastmoss 500'!D:D)),"Não","Sim"))</f>
        <v>Sim</v>
      </c>
      <c r="O232" s="21" t="str">
        <f t="shared" si="9"/>
        <v>Sim</v>
      </c>
      <c r="P232" s="21" t="str">
        <f t="shared" si="10"/>
        <v>Não</v>
      </c>
      <c r="Q232" s="21">
        <f t="shared" si="11"/>
        <v>1</v>
      </c>
    </row>
    <row r="233" spans="3:17" x14ac:dyDescent="0.35">
      <c r="C233" s="5">
        <f>_xlfn.XLOOKUP(F233,'Same Seller Hist'!H:H,'Same Seller Hist'!E:E)</f>
        <v>1553752047</v>
      </c>
      <c r="D233" s="5" t="str">
        <f>_xlfn.XLOOKUP(F233,'Same Seller Hist'!H:H,'Same Seller Hist'!D:D)</f>
        <v>Dibea.store</v>
      </c>
      <c r="E233" s="5">
        <f>_xlfn.XLOOKUP(F233,'Same Seller Hist'!H:H,'Same Seller Hist'!I:I)</f>
        <v>7.4962065042038098E+18</v>
      </c>
      <c r="F233" s="5" t="s">
        <v>860</v>
      </c>
      <c r="G233" s="5">
        <f>_xlfn.XLOOKUP(C233,'Same Seller Hist'!E:E,'Same Seller Hist'!F:F)</f>
        <v>0</v>
      </c>
      <c r="H233" s="19">
        <f>_xlfn.IFNA(_xlfn.XLOOKUP(C233,'Shp 500'!D:D,'Shp 500'!I:I),0)</f>
        <v>0</v>
      </c>
      <c r="I233" s="19">
        <f>_xlfn.IFNA(_xlfn.XLOOKUP(C233,'Shp 500'!D:D,'Shp 500'!J:J),0)</f>
        <v>0</v>
      </c>
      <c r="J233" s="19">
        <v>377.41935483870969</v>
      </c>
      <c r="K233" s="19">
        <v>16654.838709677417</v>
      </c>
      <c r="L233" s="21" t="s">
        <v>2530</v>
      </c>
      <c r="M233" s="21" t="str">
        <f>IF(L233="Shp 500","Sim",IF(ISNA(_xlfn.XLOOKUP(C233,'Shp 500'!D:D,'Shp 500'!D:D)),"Não","Sim"))</f>
        <v>Não</v>
      </c>
      <c r="N233" s="21" t="str">
        <f>IF(L233="Fastmoss 500","Sim",IF(ISNA(_xlfn.XLOOKUP(_xlfn.XLOOKUP(C233,'Same Seller Hist'!E:E,'Same Seller Hist'!H:H),'Fastmoss 500'!D:D,'Fastmoss 500'!D:D)),"Não","Sim"))</f>
        <v>Sim</v>
      </c>
      <c r="O233" s="21" t="str">
        <f t="shared" si="9"/>
        <v>Não</v>
      </c>
      <c r="P233" s="21" t="str">
        <f t="shared" si="10"/>
        <v>Não</v>
      </c>
      <c r="Q233" s="21">
        <f t="shared" si="11"/>
        <v>1</v>
      </c>
    </row>
    <row r="234" spans="3:17" x14ac:dyDescent="0.35">
      <c r="C234" s="5">
        <f>_xlfn.XLOOKUP(F234,'Same Seller Hist'!H:H,'Same Seller Hist'!E:E)</f>
        <v>651304190</v>
      </c>
      <c r="D234" s="5" t="str">
        <f>_xlfn.XLOOKUP(F234,'Same Seller Hist'!H:H,'Same Seller Hist'!D:D)</f>
        <v>Fast Star Store</v>
      </c>
      <c r="E234" s="5">
        <f>_xlfn.XLOOKUP(F234,'Same Seller Hist'!H:H,'Same Seller Hist'!I:I)</f>
        <v>7.4961625155517501E+18</v>
      </c>
      <c r="F234" s="5" t="s">
        <v>660</v>
      </c>
      <c r="G234" s="5" t="str">
        <f>_xlfn.XLOOKUP(C234,'Same Seller Hist'!E:E,'Same Seller Hist'!F:F)</f>
        <v>ELHA</v>
      </c>
      <c r="H234" s="19">
        <f>_xlfn.IFNA(_xlfn.XLOOKUP(C234,'Shp 500'!D:D,'Shp 500'!I:I),0)</f>
        <v>0</v>
      </c>
      <c r="I234" s="19">
        <f>_xlfn.IFNA(_xlfn.XLOOKUP(C234,'Shp 500'!D:D,'Shp 500'!J:J),0)</f>
        <v>0</v>
      </c>
      <c r="J234" s="19">
        <v>377.41935483870969</v>
      </c>
      <c r="K234" s="19">
        <v>17780.645161290322</v>
      </c>
      <c r="L234" s="21" t="s">
        <v>2530</v>
      </c>
      <c r="M234" s="21" t="str">
        <f>IF(L234="Shp 500","Sim",IF(ISNA(_xlfn.XLOOKUP(C234,'Shp 500'!D:D,'Shp 500'!D:D)),"Não","Sim"))</f>
        <v>Não</v>
      </c>
      <c r="N234" s="21" t="str">
        <f>IF(L234="Fastmoss 500","Sim",IF(ISNA(_xlfn.XLOOKUP(_xlfn.XLOOKUP(C234,'Same Seller Hist'!E:E,'Same Seller Hist'!H:H),'Fastmoss 500'!D:D,'Fastmoss 500'!D:D)),"Não","Sim"))</f>
        <v>Sim</v>
      </c>
      <c r="O234" s="21" t="str">
        <f t="shared" si="9"/>
        <v>Não</v>
      </c>
      <c r="P234" s="21" t="str">
        <f t="shared" si="10"/>
        <v>Não</v>
      </c>
      <c r="Q234" s="21">
        <f t="shared" si="11"/>
        <v>1</v>
      </c>
    </row>
    <row r="235" spans="3:17" x14ac:dyDescent="0.35">
      <c r="C235" s="5">
        <f>_xlfn.XLOOKUP(F235,'Same Seller Hist'!H:H,'Same Seller Hist'!E:E)</f>
        <v>1494995608</v>
      </c>
      <c r="D235" s="5" t="str">
        <f>_xlfn.XLOOKUP(F235,'Same Seller Hist'!H:H,'Same Seller Hist'!D:D)</f>
        <v>HUAAWEI</v>
      </c>
      <c r="E235" s="5">
        <f>_xlfn.XLOOKUP(F235,'Same Seller Hist'!H:H,'Same Seller Hist'!I:I)</f>
        <v>7.4941303619913902E+18</v>
      </c>
      <c r="F235" s="5" t="s">
        <v>865</v>
      </c>
      <c r="G235" s="5">
        <f>_xlfn.XLOOKUP(C235,'Same Seller Hist'!E:E,'Same Seller Hist'!F:F)</f>
        <v>0</v>
      </c>
      <c r="H235" s="19">
        <f>_xlfn.IFNA(_xlfn.XLOOKUP(C235,'Shp 500'!D:D,'Shp 500'!I:I),0)</f>
        <v>0</v>
      </c>
      <c r="I235" s="19">
        <f>_xlfn.IFNA(_xlfn.XLOOKUP(C235,'Shp 500'!D:D,'Shp 500'!J:J),0)</f>
        <v>0</v>
      </c>
      <c r="J235" s="19">
        <v>377.41935483870969</v>
      </c>
      <c r="K235" s="19">
        <v>35483.870967741932</v>
      </c>
      <c r="L235" s="21" t="s">
        <v>2530</v>
      </c>
      <c r="M235" s="21" t="str">
        <f>IF(L235="Shp 500","Sim",IF(ISNA(_xlfn.XLOOKUP(C235,'Shp 500'!D:D,'Shp 500'!D:D)),"Não","Sim"))</f>
        <v>Não</v>
      </c>
      <c r="N235" s="21" t="str">
        <f>IF(L235="Fastmoss 500","Sim",IF(ISNA(_xlfn.XLOOKUP(_xlfn.XLOOKUP(C235,'Same Seller Hist'!E:E,'Same Seller Hist'!H:H),'Fastmoss 500'!D:D,'Fastmoss 500'!D:D)),"Não","Sim"))</f>
        <v>Sim</v>
      </c>
      <c r="O235" s="21" t="str">
        <f t="shared" si="9"/>
        <v>Não</v>
      </c>
      <c r="P235" s="21" t="str">
        <f t="shared" si="10"/>
        <v>Não</v>
      </c>
      <c r="Q235" s="21">
        <f t="shared" si="11"/>
        <v>1</v>
      </c>
    </row>
    <row r="236" spans="3:17" x14ac:dyDescent="0.35">
      <c r="C236" s="5">
        <f>_xlfn.XLOOKUP(F236,'Same Seller Hist'!H:H,'Same Seller Hist'!E:E)</f>
        <v>662618933</v>
      </c>
      <c r="D236" s="5" t="str">
        <f>_xlfn.XLOOKUP(F236,'Same Seller Hist'!H:H,'Same Seller Hist'!D:D)</f>
        <v>Fit House</v>
      </c>
      <c r="E236" s="5">
        <f>_xlfn.XLOOKUP(F236,'Same Seller Hist'!H:H,'Same Seller Hist'!I:I)</f>
        <v>7.4961823029968497E+18</v>
      </c>
      <c r="F236" s="5" t="s">
        <v>667</v>
      </c>
      <c r="G236" s="5" t="str">
        <f>_xlfn.XLOOKUP(C236,'Same Seller Hist'!E:E,'Same Seller Hist'!F:F)</f>
        <v>Fashion</v>
      </c>
      <c r="H236" s="19">
        <f>_xlfn.IFNA(_xlfn.XLOOKUP(C236,'Shp 500'!D:D,'Shp 500'!I:I),0)</f>
        <v>0</v>
      </c>
      <c r="I236" s="19">
        <f>_xlfn.IFNA(_xlfn.XLOOKUP(C236,'Shp 500'!D:D,'Shp 500'!J:J),0)</f>
        <v>0</v>
      </c>
      <c r="J236" s="19">
        <v>374.19354838709677</v>
      </c>
      <c r="K236" s="19">
        <v>25306.451612903227</v>
      </c>
      <c r="L236" s="21" t="s">
        <v>2530</v>
      </c>
      <c r="M236" s="21" t="str">
        <f>IF(L236="Shp 500","Sim",IF(ISNA(_xlfn.XLOOKUP(C236,'Shp 500'!D:D,'Shp 500'!D:D)),"Não","Sim"))</f>
        <v>Não</v>
      </c>
      <c r="N236" s="21" t="str">
        <f>IF(L236="Fastmoss 500","Sim",IF(ISNA(_xlfn.XLOOKUP(_xlfn.XLOOKUP(C236,'Same Seller Hist'!E:E,'Same Seller Hist'!H:H),'Fastmoss 500'!D:D,'Fastmoss 500'!D:D)),"Não","Sim"))</f>
        <v>Sim</v>
      </c>
      <c r="O236" s="21" t="str">
        <f t="shared" si="9"/>
        <v>Não</v>
      </c>
      <c r="P236" s="21" t="str">
        <f t="shared" si="10"/>
        <v>Não</v>
      </c>
      <c r="Q236" s="21">
        <f t="shared" si="11"/>
        <v>1</v>
      </c>
    </row>
    <row r="237" spans="3:17" x14ac:dyDescent="0.35">
      <c r="C237" s="5">
        <f>_xlfn.XLOOKUP(F237,'Same Seller Hist'!H:H,'Same Seller Hist'!E:E)</f>
        <v>1021246116</v>
      </c>
      <c r="D237" s="5" t="str">
        <f>_xlfn.XLOOKUP(F237,'Same Seller Hist'!H:H,'Same Seller Hist'!D:D)</f>
        <v>AimiCosmeticos</v>
      </c>
      <c r="E237" s="5">
        <f>_xlfn.XLOOKUP(F237,'Same Seller Hist'!H:H,'Same Seller Hist'!I:I)</f>
        <v>7.4942508158863596E+18</v>
      </c>
      <c r="F237" s="5" t="s">
        <v>847</v>
      </c>
      <c r="G237" s="5">
        <f>_xlfn.XLOOKUP(C237,'Same Seller Hist'!E:E,'Same Seller Hist'!F:F)</f>
        <v>0</v>
      </c>
      <c r="H237" s="19">
        <f>_xlfn.IFNA(_xlfn.XLOOKUP(C237,'Shp 500'!D:D,'Shp 500'!I:I),0)</f>
        <v>0</v>
      </c>
      <c r="I237" s="19">
        <f>_xlfn.IFNA(_xlfn.XLOOKUP(C237,'Shp 500'!D:D,'Shp 500'!J:J),0)</f>
        <v>0</v>
      </c>
      <c r="J237" s="19">
        <v>374.19354838709677</v>
      </c>
      <c r="K237" s="19">
        <v>5558.0645161290322</v>
      </c>
      <c r="L237" s="21" t="s">
        <v>2530</v>
      </c>
      <c r="M237" s="21" t="str">
        <f>IF(L237="Shp 500","Sim",IF(ISNA(_xlfn.XLOOKUP(C237,'Shp 500'!D:D,'Shp 500'!D:D)),"Não","Sim"))</f>
        <v>Não</v>
      </c>
      <c r="N237" s="21" t="str">
        <f>IF(L237="Fastmoss 500","Sim",IF(ISNA(_xlfn.XLOOKUP(_xlfn.XLOOKUP(C237,'Same Seller Hist'!E:E,'Same Seller Hist'!H:H),'Fastmoss 500'!D:D,'Fastmoss 500'!D:D)),"Não","Sim"))</f>
        <v>Sim</v>
      </c>
      <c r="O237" s="21" t="str">
        <f t="shared" si="9"/>
        <v>Não</v>
      </c>
      <c r="P237" s="21" t="str">
        <f t="shared" si="10"/>
        <v>Não</v>
      </c>
      <c r="Q237" s="21">
        <f t="shared" si="11"/>
        <v>1</v>
      </c>
    </row>
    <row r="238" spans="3:17" x14ac:dyDescent="0.35">
      <c r="C238" s="5">
        <f>_xlfn.XLOOKUP(F238,'Same Seller Hist'!H:H,'Same Seller Hist'!E:E)</f>
        <v>1512229821</v>
      </c>
      <c r="D238" s="5" t="str">
        <f>_xlfn.XLOOKUP(F238,'Same Seller Hist'!H:H,'Same Seller Hist'!D:D)</f>
        <v>miseenscene.brasil</v>
      </c>
      <c r="E238" s="5">
        <f>_xlfn.XLOOKUP(F238,'Same Seller Hist'!H:H,'Same Seller Hist'!I:I)</f>
        <v>7.4962621320563599E+18</v>
      </c>
      <c r="F238" s="5" t="s">
        <v>297</v>
      </c>
      <c r="G238" s="5" t="str">
        <f>_xlfn.XLOOKUP(C238,'Same Seller Hist'!E:E,'Same Seller Hist'!F:F)</f>
        <v>FMCG</v>
      </c>
      <c r="H238" s="19">
        <f>_xlfn.IFNA(_xlfn.XLOOKUP(C238,'Shp 500'!D:D,'Shp 500'!I:I),0)</f>
        <v>0</v>
      </c>
      <c r="I238" s="19">
        <f>_xlfn.IFNA(_xlfn.XLOOKUP(C238,'Shp 500'!D:D,'Shp 500'!J:J),0)</f>
        <v>0</v>
      </c>
      <c r="J238" s="19">
        <v>367.74193548387098</v>
      </c>
      <c r="K238" s="19">
        <v>48387.096774193546</v>
      </c>
      <c r="L238" s="21" t="s">
        <v>2530</v>
      </c>
      <c r="M238" s="21" t="str">
        <f>IF(L238="Shp 500","Sim",IF(ISNA(_xlfn.XLOOKUP(C238,'Shp 500'!D:D,'Shp 500'!D:D)),"Não","Sim"))</f>
        <v>Não</v>
      </c>
      <c r="N238" s="21" t="str">
        <f>IF(L238="Fastmoss 500","Sim",IF(ISNA(_xlfn.XLOOKUP(_xlfn.XLOOKUP(C238,'Same Seller Hist'!E:E,'Same Seller Hist'!H:H),'Fastmoss 500'!D:D,'Fastmoss 500'!D:D)),"Não","Sim"))</f>
        <v>Sim</v>
      </c>
      <c r="O238" s="21" t="str">
        <f t="shared" si="9"/>
        <v>Não</v>
      </c>
      <c r="P238" s="21" t="str">
        <f t="shared" si="10"/>
        <v>Não</v>
      </c>
      <c r="Q238" s="21">
        <f t="shared" si="11"/>
        <v>1</v>
      </c>
    </row>
    <row r="239" spans="3:17" x14ac:dyDescent="0.35">
      <c r="C239" s="5">
        <f>_xlfn.XLOOKUP(F239,'Same Seller Hist'!H:H,'Same Seller Hist'!E:E)</f>
        <v>290919980</v>
      </c>
      <c r="D239" s="5" t="str">
        <f>_xlfn.XLOOKUP(F239,'Same Seller Hist'!H:H,'Same Seller Hist'!D:D)</f>
        <v>Cationi Modas</v>
      </c>
      <c r="E239" s="5">
        <f>_xlfn.XLOOKUP(F239,'Same Seller Hist'!H:H,'Same Seller Hist'!I:I)</f>
        <v>7.4941005461281495E+18</v>
      </c>
      <c r="F239" s="5" t="s">
        <v>377</v>
      </c>
      <c r="G239" s="5" t="str">
        <f>_xlfn.XLOOKUP(C239,'Same Seller Hist'!E:E,'Same Seller Hist'!F:F)</f>
        <v>Fashion</v>
      </c>
      <c r="H239" s="19">
        <f>_xlfn.IFNA(_xlfn.XLOOKUP(C239,'Shp 500'!D:D,'Shp 500'!I:I),0)</f>
        <v>0</v>
      </c>
      <c r="I239" s="19">
        <f>_xlfn.IFNA(_xlfn.XLOOKUP(C239,'Shp 500'!D:D,'Shp 500'!J:J),0)</f>
        <v>0</v>
      </c>
      <c r="J239" s="19">
        <v>364.51612903225805</v>
      </c>
      <c r="K239" s="19">
        <v>13841.935483870968</v>
      </c>
      <c r="L239" s="21" t="s">
        <v>2530</v>
      </c>
      <c r="M239" s="21" t="str">
        <f>IF(L239="Shp 500","Sim",IF(ISNA(_xlfn.XLOOKUP(C239,'Shp 500'!D:D,'Shp 500'!D:D)),"Não","Sim"))</f>
        <v>Não</v>
      </c>
      <c r="N239" s="21" t="str">
        <f>IF(L239="Fastmoss 500","Sim",IF(ISNA(_xlfn.XLOOKUP(_xlfn.XLOOKUP(C239,'Same Seller Hist'!E:E,'Same Seller Hist'!H:H),'Fastmoss 500'!D:D,'Fastmoss 500'!D:D)),"Não","Sim"))</f>
        <v>Sim</v>
      </c>
      <c r="O239" s="21" t="str">
        <f t="shared" si="9"/>
        <v>Não</v>
      </c>
      <c r="P239" s="21" t="str">
        <f t="shared" si="10"/>
        <v>Não</v>
      </c>
      <c r="Q239" s="21">
        <f t="shared" si="11"/>
        <v>1</v>
      </c>
    </row>
    <row r="240" spans="3:17" x14ac:dyDescent="0.35">
      <c r="C240" s="5">
        <v>1177319319</v>
      </c>
      <c r="D240" s="5" t="s">
        <v>1308</v>
      </c>
      <c r="E240" s="5">
        <f>_xlfn.XLOOKUP(C240,'Same Seller Hist'!E:E,'Same Seller Hist'!I:I)</f>
        <v>7.4961626035106898E+18</v>
      </c>
      <c r="F240" s="5" t="str">
        <f>_xlfn.XLOOKUP(C240,'Same Seller Hist'!E:E,'Same Seller Hist'!H:H)</f>
        <v>CARPEI</v>
      </c>
      <c r="G240" s="5" t="s">
        <v>1734</v>
      </c>
      <c r="H240" s="19">
        <v>2768.4516129032259</v>
      </c>
      <c r="I240" s="19">
        <v>11635.882039454258</v>
      </c>
      <c r="J240" s="19">
        <f>_xlfn.IFNA(_xlfn.XLOOKUP(F240,'Fastmoss 500'!D:D,'Fastmoss 500'!O:O),0)</f>
        <v>1116.1290322580646</v>
      </c>
      <c r="K240" s="19">
        <f>_xlfn.IFNA(_xlfn.XLOOKUP(F240,'Fastmoss 500'!D:D,'Fastmoss 500'!N:N),0)</f>
        <v>27932.258064516129</v>
      </c>
      <c r="L240" s="21" t="s">
        <v>2528</v>
      </c>
      <c r="M240" s="21" t="str">
        <f>IF(L240="Shp 500","Sim",IF(ISNA(_xlfn.XLOOKUP(C240,'Shp 500'!D:D,'Shp 500'!D:D)),"Não","Sim"))</f>
        <v>Sim</v>
      </c>
      <c r="N240" s="21" t="str">
        <f>IF(L240="Fastmoss 500","Sim",IF(ISNA(_xlfn.XLOOKUP(_xlfn.XLOOKUP(C240,'Same Seller Hist'!E:E,'Same Seller Hist'!H:H),'Fastmoss 500'!D:D,'Fastmoss 500'!D:D)),"Não","Sim"))</f>
        <v>Sim</v>
      </c>
      <c r="O240" s="21" t="str">
        <f t="shared" si="9"/>
        <v>Sim</v>
      </c>
      <c r="P240" s="21" t="str">
        <f t="shared" si="10"/>
        <v>Não</v>
      </c>
      <c r="Q240" s="21">
        <f t="shared" si="11"/>
        <v>1</v>
      </c>
    </row>
    <row r="241" spans="3:17" x14ac:dyDescent="0.35">
      <c r="C241" s="5">
        <f>_xlfn.XLOOKUP(F241,'Same Seller Hist'!H:H,'Same Seller Hist'!E:E)</f>
        <v>276244678</v>
      </c>
      <c r="D241" s="5" t="str">
        <f>_xlfn.XLOOKUP(F241,'Same Seller Hist'!H:H,'Same Seller Hist'!D:D)</f>
        <v>NUTRU Nutrition</v>
      </c>
      <c r="E241" s="5">
        <f>_xlfn.XLOOKUP(F241,'Same Seller Hist'!H:H,'Same Seller Hist'!I:I)</f>
        <v>7.4962124517099704E+18</v>
      </c>
      <c r="F241" s="5" t="s">
        <v>363</v>
      </c>
      <c r="G241" s="5" t="str">
        <f>_xlfn.XLOOKUP(C241,'Same Seller Hist'!E:E,'Same Seller Hist'!F:F)</f>
        <v>FMCG</v>
      </c>
      <c r="H241" s="19">
        <f>_xlfn.IFNA(_xlfn.XLOOKUP(C241,'Shp 500'!D:D,'Shp 500'!I:I),0)</f>
        <v>0</v>
      </c>
      <c r="I241" s="19">
        <f>_xlfn.IFNA(_xlfn.XLOOKUP(C241,'Shp 500'!D:D,'Shp 500'!J:J),0)</f>
        <v>0</v>
      </c>
      <c r="J241" s="19">
        <v>351.61290322580646</v>
      </c>
      <c r="K241" s="19">
        <v>11206.451612903225</v>
      </c>
      <c r="L241" s="21" t="s">
        <v>2530</v>
      </c>
      <c r="M241" s="21" t="str">
        <f>IF(L241="Shp 500","Sim",IF(ISNA(_xlfn.XLOOKUP(C241,'Shp 500'!D:D,'Shp 500'!D:D)),"Não","Sim"))</f>
        <v>Não</v>
      </c>
      <c r="N241" s="21" t="str">
        <f>IF(L241="Fastmoss 500","Sim",IF(ISNA(_xlfn.XLOOKUP(_xlfn.XLOOKUP(C241,'Same Seller Hist'!E:E,'Same Seller Hist'!H:H),'Fastmoss 500'!D:D,'Fastmoss 500'!D:D)),"Não","Sim"))</f>
        <v>Sim</v>
      </c>
      <c r="O241" s="21" t="str">
        <f t="shared" si="9"/>
        <v>Não</v>
      </c>
      <c r="P241" s="21" t="str">
        <f t="shared" si="10"/>
        <v>Não</v>
      </c>
      <c r="Q241" s="21">
        <f t="shared" si="11"/>
        <v>1</v>
      </c>
    </row>
    <row r="242" spans="3:17" x14ac:dyDescent="0.35">
      <c r="C242" s="5">
        <f>_xlfn.XLOOKUP(F242,'Same Seller Hist'!H:H,'Same Seller Hist'!E:E)</f>
        <v>426565286</v>
      </c>
      <c r="D242" s="5" t="str">
        <f>_xlfn.XLOOKUP(F242,'Same Seller Hist'!H:H,'Same Seller Hist'!D:D)</f>
        <v>Z&amp;D LINGERIE SHOP</v>
      </c>
      <c r="E242" s="5">
        <f>_xlfn.XLOOKUP(F242,'Same Seller Hist'!H:H,'Same Seller Hist'!I:I)</f>
        <v>7.4962401699688899E+18</v>
      </c>
      <c r="F242" s="5" t="s">
        <v>562</v>
      </c>
      <c r="G242" s="5" t="str">
        <f>_xlfn.XLOOKUP(C242,'Same Seller Hist'!E:E,'Same Seller Hist'!F:F)</f>
        <v>Fashion</v>
      </c>
      <c r="H242" s="19">
        <f>_xlfn.IFNA(_xlfn.XLOOKUP(C242,'Shp 500'!D:D,'Shp 500'!I:I),0)</f>
        <v>0</v>
      </c>
      <c r="I242" s="19">
        <f>_xlfn.IFNA(_xlfn.XLOOKUP(C242,'Shp 500'!D:D,'Shp 500'!J:J),0)</f>
        <v>0</v>
      </c>
      <c r="J242" s="19">
        <v>348.38709677419354</v>
      </c>
      <c r="K242" s="19">
        <v>12370.967741935483</v>
      </c>
      <c r="L242" s="21" t="s">
        <v>2530</v>
      </c>
      <c r="M242" s="21" t="str">
        <f>IF(L242="Shp 500","Sim",IF(ISNA(_xlfn.XLOOKUP(C242,'Shp 500'!D:D,'Shp 500'!D:D)),"Não","Sim"))</f>
        <v>Não</v>
      </c>
      <c r="N242" s="21" t="str">
        <f>IF(L242="Fastmoss 500","Sim",IF(ISNA(_xlfn.XLOOKUP(_xlfn.XLOOKUP(C242,'Same Seller Hist'!E:E,'Same Seller Hist'!H:H),'Fastmoss 500'!D:D,'Fastmoss 500'!D:D)),"Não","Sim"))</f>
        <v>Sim</v>
      </c>
      <c r="O242" s="21" t="str">
        <f t="shared" si="9"/>
        <v>Não</v>
      </c>
      <c r="P242" s="21" t="str">
        <f t="shared" si="10"/>
        <v>Não</v>
      </c>
      <c r="Q242" s="21">
        <f t="shared" si="11"/>
        <v>1</v>
      </c>
    </row>
    <row r="243" spans="3:17" x14ac:dyDescent="0.35">
      <c r="C243" s="5">
        <v>1177903362</v>
      </c>
      <c r="D243" s="5" t="s">
        <v>1301</v>
      </c>
      <c r="E243" s="5">
        <f>_xlfn.XLOOKUP(C243,'Same Seller Hist'!E:E,'Same Seller Hist'!I:I)</f>
        <v>7.4961519207800801E+18</v>
      </c>
      <c r="F243" s="5" t="str">
        <f>_xlfn.XLOOKUP(C243,'Same Seller Hist'!E:E,'Same Seller Hist'!H:H)</f>
        <v>Loja Coala</v>
      </c>
      <c r="G243" s="5" t="s">
        <v>906</v>
      </c>
      <c r="H243" s="19">
        <v>3130.3548387096776</v>
      </c>
      <c r="I243" s="19">
        <v>23406.528794378486</v>
      </c>
      <c r="J243" s="19">
        <f>_xlfn.IFNA(_xlfn.XLOOKUP(F243,'Fastmoss 500'!D:D,'Fastmoss 500'!O:O),0)</f>
        <v>858.06451612903231</v>
      </c>
      <c r="K243" s="19">
        <f>_xlfn.IFNA(_xlfn.XLOOKUP(F243,'Fastmoss 500'!D:D,'Fastmoss 500'!N:N),0)</f>
        <v>35483.870967741932</v>
      </c>
      <c r="L243" s="21" t="s">
        <v>2528</v>
      </c>
      <c r="M243" s="21" t="str">
        <f>IF(L243="Shp 500","Sim",IF(ISNA(_xlfn.XLOOKUP(C243,'Shp 500'!D:D,'Shp 500'!D:D)),"Não","Sim"))</f>
        <v>Sim</v>
      </c>
      <c r="N243" s="21" t="str">
        <f>IF(L243="Fastmoss 500","Sim",IF(ISNA(_xlfn.XLOOKUP(_xlfn.XLOOKUP(C243,'Same Seller Hist'!E:E,'Same Seller Hist'!H:H),'Fastmoss 500'!D:D,'Fastmoss 500'!D:D)),"Não","Sim"))</f>
        <v>Sim</v>
      </c>
      <c r="O243" s="21" t="str">
        <f t="shared" si="9"/>
        <v>Sim</v>
      </c>
      <c r="P243" s="21" t="str">
        <f t="shared" si="10"/>
        <v>Não</v>
      </c>
      <c r="Q243" s="21">
        <f t="shared" si="11"/>
        <v>1</v>
      </c>
    </row>
    <row r="244" spans="3:17" x14ac:dyDescent="0.35">
      <c r="C244" s="5">
        <f>_xlfn.XLOOKUP(F244,'Same Seller Hist'!H:H,'Same Seller Hist'!E:E)</f>
        <v>1021128939</v>
      </c>
      <c r="D244" s="5" t="str">
        <f>_xlfn.XLOOKUP(F244,'Same Seller Hist'!H:H,'Same Seller Hist'!D:D)</f>
        <v>CASA MANIA</v>
      </c>
      <c r="E244" s="5">
        <f>_xlfn.XLOOKUP(F244,'Same Seller Hist'!H:H,'Same Seller Hist'!I:I)</f>
        <v>7.4961622731198597E+18</v>
      </c>
      <c r="F244" s="5" t="s">
        <v>55</v>
      </c>
      <c r="G244" s="5" t="str">
        <f>_xlfn.XLOOKUP(C244,'Same Seller Hist'!E:E,'Same Seller Hist'!F:F)</f>
        <v>Lifestyle</v>
      </c>
      <c r="H244" s="19">
        <f>_xlfn.IFNA(_xlfn.XLOOKUP(C244,'Shp 500'!D:D,'Shp 500'!I:I),0)</f>
        <v>0</v>
      </c>
      <c r="I244" s="19">
        <f>_xlfn.IFNA(_xlfn.XLOOKUP(C244,'Shp 500'!D:D,'Shp 500'!J:J),0)</f>
        <v>0</v>
      </c>
      <c r="J244" s="19">
        <v>348.38709677419354</v>
      </c>
      <c r="K244" s="19">
        <v>12200</v>
      </c>
      <c r="L244" s="21" t="s">
        <v>2530</v>
      </c>
      <c r="M244" s="21" t="str">
        <f>IF(L244="Shp 500","Sim",IF(ISNA(_xlfn.XLOOKUP(C244,'Shp 500'!D:D,'Shp 500'!D:D)),"Não","Sim"))</f>
        <v>Não</v>
      </c>
      <c r="N244" s="21" t="str">
        <f>IF(L244="Fastmoss 500","Sim",IF(ISNA(_xlfn.XLOOKUP(_xlfn.XLOOKUP(C244,'Same Seller Hist'!E:E,'Same Seller Hist'!H:H),'Fastmoss 500'!D:D,'Fastmoss 500'!D:D)),"Não","Sim"))</f>
        <v>Sim</v>
      </c>
      <c r="O244" s="21" t="str">
        <f t="shared" si="9"/>
        <v>Não</v>
      </c>
      <c r="P244" s="21" t="str">
        <f t="shared" si="10"/>
        <v>Não</v>
      </c>
      <c r="Q244" s="21">
        <f t="shared" si="11"/>
        <v>1</v>
      </c>
    </row>
    <row r="245" spans="3:17" x14ac:dyDescent="0.35">
      <c r="C245" s="5">
        <f>_xlfn.XLOOKUP(F245,'Same Seller Hist'!H:H,'Same Seller Hist'!E:E)</f>
        <v>1206343082</v>
      </c>
      <c r="D245" s="5" t="str">
        <f>_xlfn.XLOOKUP(F245,'Same Seller Hist'!H:H,'Same Seller Hist'!D:D)</f>
        <v>ALUBEN A</v>
      </c>
      <c r="E245" s="5">
        <f>_xlfn.XLOOKUP(F245,'Same Seller Hist'!H:H,'Same Seller Hist'!I:I)</f>
        <v>7.4961818016536003E+18</v>
      </c>
      <c r="F245" s="5" t="s">
        <v>151</v>
      </c>
      <c r="G245" s="5" t="str">
        <f>_xlfn.XLOOKUP(C245,'Same Seller Hist'!E:E,'Same Seller Hist'!F:F)</f>
        <v>ELHA</v>
      </c>
      <c r="H245" s="19">
        <f>_xlfn.IFNA(_xlfn.XLOOKUP(C245,'Shp 500'!D:D,'Shp 500'!I:I),0)</f>
        <v>0</v>
      </c>
      <c r="I245" s="19">
        <f>_xlfn.IFNA(_xlfn.XLOOKUP(C245,'Shp 500'!D:D,'Shp 500'!J:J),0)</f>
        <v>0</v>
      </c>
      <c r="J245" s="19">
        <v>338.70967741935482</v>
      </c>
      <c r="K245" s="19">
        <v>7422.5806451612907</v>
      </c>
      <c r="L245" s="21" t="s">
        <v>2530</v>
      </c>
      <c r="M245" s="21" t="str">
        <f>IF(L245="Shp 500","Sim",IF(ISNA(_xlfn.XLOOKUP(C245,'Shp 500'!D:D,'Shp 500'!D:D)),"Não","Sim"))</f>
        <v>Não</v>
      </c>
      <c r="N245" s="21" t="str">
        <f>IF(L245="Fastmoss 500","Sim",IF(ISNA(_xlfn.XLOOKUP(_xlfn.XLOOKUP(C245,'Same Seller Hist'!E:E,'Same Seller Hist'!H:H),'Fastmoss 500'!D:D,'Fastmoss 500'!D:D)),"Não","Sim"))</f>
        <v>Sim</v>
      </c>
      <c r="O245" s="21" t="str">
        <f t="shared" si="9"/>
        <v>Não</v>
      </c>
      <c r="P245" s="21" t="str">
        <f t="shared" si="10"/>
        <v>Não</v>
      </c>
      <c r="Q245" s="21">
        <f t="shared" si="11"/>
        <v>1</v>
      </c>
    </row>
    <row r="246" spans="3:17" x14ac:dyDescent="0.35">
      <c r="C246" s="5">
        <f>_xlfn.XLOOKUP(F246,'Same Seller Hist'!H:H,'Same Seller Hist'!E:E)</f>
        <v>336137394</v>
      </c>
      <c r="D246" s="5" t="str">
        <f>_xlfn.XLOOKUP(F246,'Same Seller Hist'!H:H,'Same Seller Hist'!D:D)</f>
        <v>BENSTAR</v>
      </c>
      <c r="E246" s="5">
        <f>_xlfn.XLOOKUP(F246,'Same Seller Hist'!H:H,'Same Seller Hist'!I:I)</f>
        <v>7.4961625224868301E+18</v>
      </c>
      <c r="F246" s="5" t="s">
        <v>442</v>
      </c>
      <c r="G246" s="5" t="str">
        <f>_xlfn.XLOOKUP(C246,'Same Seller Hist'!E:E,'Same Seller Hist'!F:F)</f>
        <v>Lifestyle</v>
      </c>
      <c r="H246" s="19">
        <f>_xlfn.IFNA(_xlfn.XLOOKUP(C246,'Shp 500'!D:D,'Shp 500'!I:I),0)</f>
        <v>0</v>
      </c>
      <c r="I246" s="19">
        <f>_xlfn.IFNA(_xlfn.XLOOKUP(C246,'Shp 500'!D:D,'Shp 500'!J:J),0)</f>
        <v>0</v>
      </c>
      <c r="J246" s="19">
        <v>332.25806451612902</v>
      </c>
      <c r="K246" s="19">
        <v>12658.064516129032</v>
      </c>
      <c r="L246" s="21" t="s">
        <v>2530</v>
      </c>
      <c r="M246" s="21" t="str">
        <f>IF(L246="Shp 500","Sim",IF(ISNA(_xlfn.XLOOKUP(C246,'Shp 500'!D:D,'Shp 500'!D:D)),"Não","Sim"))</f>
        <v>Não</v>
      </c>
      <c r="N246" s="21" t="str">
        <f>IF(L246="Fastmoss 500","Sim",IF(ISNA(_xlfn.XLOOKUP(_xlfn.XLOOKUP(C246,'Same Seller Hist'!E:E,'Same Seller Hist'!H:H),'Fastmoss 500'!D:D,'Fastmoss 500'!D:D)),"Não","Sim"))</f>
        <v>Sim</v>
      </c>
      <c r="O246" s="21" t="str">
        <f t="shared" si="9"/>
        <v>Não</v>
      </c>
      <c r="P246" s="21" t="str">
        <f t="shared" si="10"/>
        <v>Não</v>
      </c>
      <c r="Q246" s="21">
        <f t="shared" si="11"/>
        <v>1</v>
      </c>
    </row>
    <row r="247" spans="3:17" x14ac:dyDescent="0.35">
      <c r="C247" s="5">
        <v>1220163366</v>
      </c>
      <c r="D247" s="5" t="s">
        <v>155</v>
      </c>
      <c r="E247" s="5">
        <f>_xlfn.XLOOKUP(C247,'Same Seller Hist'!E:E,'Same Seller Hist'!I:I)</f>
        <v>7.4961799266974095E+18</v>
      </c>
      <c r="F247" s="5" t="str">
        <f>_xlfn.XLOOKUP(C247,'Same Seller Hist'!E:E,'Same Seller Hist'!H:H)</f>
        <v>Belifou shop</v>
      </c>
      <c r="G247" s="5" t="s">
        <v>1734</v>
      </c>
      <c r="H247" s="19">
        <v>1114.2903225806419</v>
      </c>
      <c r="I247" s="19">
        <v>9683.502954858388</v>
      </c>
      <c r="J247" s="19">
        <f>_xlfn.IFNA(_xlfn.XLOOKUP(F247,'Fastmoss 500'!D:D,'Fastmoss 500'!O:O),0)</f>
        <v>322.58064516129031</v>
      </c>
      <c r="K247" s="19">
        <f>_xlfn.IFNA(_xlfn.XLOOKUP(F247,'Fastmoss 500'!D:D,'Fastmoss 500'!N:N),0)</f>
        <v>16448.387096774193</v>
      </c>
      <c r="L247" s="21" t="s">
        <v>2528</v>
      </c>
      <c r="M247" s="21" t="str">
        <f>IF(L247="Shp 500","Sim",IF(ISNA(_xlfn.XLOOKUP(C247,'Shp 500'!D:D,'Shp 500'!D:D)),"Não","Sim"))</f>
        <v>Sim</v>
      </c>
      <c r="N247" s="21" t="str">
        <f>IF(L247="Fastmoss 500","Sim",IF(ISNA(_xlfn.XLOOKUP(_xlfn.XLOOKUP(C247,'Same Seller Hist'!E:E,'Same Seller Hist'!H:H),'Fastmoss 500'!D:D,'Fastmoss 500'!D:D)),"Não","Sim"))</f>
        <v>Sim</v>
      </c>
      <c r="O247" s="21" t="str">
        <f t="shared" si="9"/>
        <v>Sim</v>
      </c>
      <c r="P247" s="21" t="str">
        <f t="shared" si="10"/>
        <v>Não</v>
      </c>
      <c r="Q247" s="21">
        <f t="shared" si="11"/>
        <v>1</v>
      </c>
    </row>
    <row r="248" spans="3:17" x14ac:dyDescent="0.35">
      <c r="C248" s="5">
        <f>_xlfn.XLOOKUP(F248,'Same Seller Hist'!H:H,'Same Seller Hist'!E:E)</f>
        <v>360601185</v>
      </c>
      <c r="D248" s="5" t="str">
        <f>_xlfn.XLOOKUP(F248,'Same Seller Hist'!H:H,'Same Seller Hist'!D:D)</f>
        <v>reidasbiblias</v>
      </c>
      <c r="E248" s="5">
        <f>_xlfn.XLOOKUP(F248,'Same Seller Hist'!H:H,'Same Seller Hist'!I:I)</f>
        <v>7.4962102048274801E+18</v>
      </c>
      <c r="F248" s="5" t="s">
        <v>466</v>
      </c>
      <c r="G248" s="5" t="str">
        <f>_xlfn.XLOOKUP(C248,'Same Seller Hist'!E:E,'Same Seller Hist'!F:F)</f>
        <v>FMCG</v>
      </c>
      <c r="H248" s="19">
        <f>_xlfn.IFNA(_xlfn.XLOOKUP(C248,'Shp 500'!D:D,'Shp 500'!I:I),0)</f>
        <v>0</v>
      </c>
      <c r="I248" s="19">
        <f>_xlfn.IFNA(_xlfn.XLOOKUP(C248,'Shp 500'!D:D,'Shp 500'!J:J),0)</f>
        <v>0</v>
      </c>
      <c r="J248" s="19">
        <v>332.25806451612902</v>
      </c>
      <c r="K248" s="19">
        <v>18025.806451612902</v>
      </c>
      <c r="L248" s="21" t="s">
        <v>2530</v>
      </c>
      <c r="M248" s="21" t="str">
        <f>IF(L248="Shp 500","Sim",IF(ISNA(_xlfn.XLOOKUP(C248,'Shp 500'!D:D,'Shp 500'!D:D)),"Não","Sim"))</f>
        <v>Não</v>
      </c>
      <c r="N248" s="21" t="str">
        <f>IF(L248="Fastmoss 500","Sim",IF(ISNA(_xlfn.XLOOKUP(_xlfn.XLOOKUP(C248,'Same Seller Hist'!E:E,'Same Seller Hist'!H:H),'Fastmoss 500'!D:D,'Fastmoss 500'!D:D)),"Não","Sim"))</f>
        <v>Sim</v>
      </c>
      <c r="O248" s="21" t="str">
        <f t="shared" si="9"/>
        <v>Não</v>
      </c>
      <c r="P248" s="21" t="str">
        <f t="shared" si="10"/>
        <v>Não</v>
      </c>
      <c r="Q248" s="21">
        <f t="shared" si="11"/>
        <v>1</v>
      </c>
    </row>
    <row r="249" spans="3:17" x14ac:dyDescent="0.35">
      <c r="C249" s="5">
        <f>_xlfn.XLOOKUP(F249,'Same Seller Hist'!H:H,'Same Seller Hist'!E:E)</f>
        <v>214802433</v>
      </c>
      <c r="D249" s="5" t="str">
        <f>_xlfn.XLOOKUP(F249,'Same Seller Hist'!H:H,'Same Seller Hist'!D:D)</f>
        <v>Aik Amor Brasil</v>
      </c>
      <c r="E249" s="5">
        <f>_xlfn.XLOOKUP(F249,'Same Seller Hist'!H:H,'Same Seller Hist'!I:I)</f>
        <v>7.4961882398937201E+18</v>
      </c>
      <c r="F249" s="5" t="s">
        <v>351</v>
      </c>
      <c r="G249" s="5" t="str">
        <f>_xlfn.XLOOKUP(C249,'Same Seller Hist'!E:E,'Same Seller Hist'!F:F)</f>
        <v>Fashion</v>
      </c>
      <c r="H249" s="19">
        <f>_xlfn.IFNA(_xlfn.XLOOKUP(C249,'Shp 500'!D:D,'Shp 500'!I:I),0)</f>
        <v>0</v>
      </c>
      <c r="I249" s="19">
        <f>_xlfn.IFNA(_xlfn.XLOOKUP(C249,'Shp 500'!D:D,'Shp 500'!J:J),0)</f>
        <v>0</v>
      </c>
      <c r="J249" s="19">
        <v>329.03225806451616</v>
      </c>
      <c r="K249" s="19">
        <v>11367.741935483871</v>
      </c>
      <c r="L249" s="21" t="s">
        <v>2530</v>
      </c>
      <c r="M249" s="21" t="str">
        <f>IF(L249="Shp 500","Sim",IF(ISNA(_xlfn.XLOOKUP(C249,'Shp 500'!D:D,'Shp 500'!D:D)),"Não","Sim"))</f>
        <v>Não</v>
      </c>
      <c r="N249" s="21" t="str">
        <f>IF(L249="Fastmoss 500","Sim",IF(ISNA(_xlfn.XLOOKUP(_xlfn.XLOOKUP(C249,'Same Seller Hist'!E:E,'Same Seller Hist'!H:H),'Fastmoss 500'!D:D,'Fastmoss 500'!D:D)),"Não","Sim"))</f>
        <v>Sim</v>
      </c>
      <c r="O249" s="21" t="str">
        <f t="shared" si="9"/>
        <v>Não</v>
      </c>
      <c r="P249" s="21" t="str">
        <f t="shared" si="10"/>
        <v>Não</v>
      </c>
      <c r="Q249" s="21">
        <f t="shared" si="11"/>
        <v>1</v>
      </c>
    </row>
    <row r="250" spans="3:17" x14ac:dyDescent="0.35">
      <c r="C250" s="5">
        <f>_xlfn.XLOOKUP(F250,'Same Seller Hist'!H:H,'Same Seller Hist'!E:E)</f>
        <v>344585949</v>
      </c>
      <c r="D250" s="5" t="str">
        <f>_xlfn.XLOOKUP(F250,'Same Seller Hist'!H:H,'Same Seller Hist'!D:D)</f>
        <v>Lookli BR</v>
      </c>
      <c r="E250" s="5">
        <f>_xlfn.XLOOKUP(F250,'Same Seller Hist'!H:H,'Same Seller Hist'!I:I)</f>
        <v>7.4962202388271903E+18</v>
      </c>
      <c r="F250" s="5" t="s">
        <v>454</v>
      </c>
      <c r="G250" s="5" t="str">
        <f>_xlfn.XLOOKUP(C250,'Same Seller Hist'!E:E,'Same Seller Hist'!F:F)</f>
        <v>ELHA</v>
      </c>
      <c r="H250" s="19">
        <f>_xlfn.IFNA(_xlfn.XLOOKUP(C250,'Shp 500'!D:D,'Shp 500'!I:I),0)</f>
        <v>0</v>
      </c>
      <c r="I250" s="19">
        <f>_xlfn.IFNA(_xlfn.XLOOKUP(C250,'Shp 500'!D:D,'Shp 500'!J:J),0)</f>
        <v>0</v>
      </c>
      <c r="J250" s="19">
        <v>325.80645161290323</v>
      </c>
      <c r="K250" s="19">
        <v>3516.1290322580644</v>
      </c>
      <c r="L250" s="21" t="s">
        <v>2530</v>
      </c>
      <c r="M250" s="21" t="str">
        <f>IF(L250="Shp 500","Sim",IF(ISNA(_xlfn.XLOOKUP(C250,'Shp 500'!D:D,'Shp 500'!D:D)),"Não","Sim"))</f>
        <v>Não</v>
      </c>
      <c r="N250" s="21" t="str">
        <f>IF(L250="Fastmoss 500","Sim",IF(ISNA(_xlfn.XLOOKUP(_xlfn.XLOOKUP(C250,'Same Seller Hist'!E:E,'Same Seller Hist'!H:H),'Fastmoss 500'!D:D,'Fastmoss 500'!D:D)),"Não","Sim"))</f>
        <v>Sim</v>
      </c>
      <c r="O250" s="21" t="str">
        <f t="shared" si="9"/>
        <v>Não</v>
      </c>
      <c r="P250" s="21" t="str">
        <f t="shared" si="10"/>
        <v>Não</v>
      </c>
      <c r="Q250" s="21">
        <f t="shared" si="11"/>
        <v>1</v>
      </c>
    </row>
    <row r="251" spans="3:17" x14ac:dyDescent="0.35">
      <c r="C251" s="5">
        <f>_xlfn.XLOOKUP(F251,'Same Seller Hist'!H:H,'Same Seller Hist'!E:E)</f>
        <v>1462786458</v>
      </c>
      <c r="D251" s="5" t="str">
        <f>_xlfn.XLOOKUP(F251,'Same Seller Hist'!H:H,'Same Seller Hist'!D:D)</f>
        <v>JOHNNY HOME STORE LTDA</v>
      </c>
      <c r="E251" s="5">
        <f>_xlfn.XLOOKUP(F251,'Same Seller Hist'!H:H,'Same Seller Hist'!I:I)</f>
        <v>7.4961797548867195E+18</v>
      </c>
      <c r="F251" s="5" t="s">
        <v>273</v>
      </c>
      <c r="G251" s="5" t="str">
        <f>_xlfn.XLOOKUP(C251,'Same Seller Hist'!E:E,'Same Seller Hist'!F:F)</f>
        <v>Lifestyle</v>
      </c>
      <c r="H251" s="19">
        <f>_xlfn.IFNA(_xlfn.XLOOKUP(C251,'Shp 500'!D:D,'Shp 500'!I:I),0)</f>
        <v>0</v>
      </c>
      <c r="I251" s="19">
        <f>_xlfn.IFNA(_xlfn.XLOOKUP(C251,'Shp 500'!D:D,'Shp 500'!J:J),0)</f>
        <v>0</v>
      </c>
      <c r="J251" s="19">
        <v>325.80645161290323</v>
      </c>
      <c r="K251" s="19">
        <v>12287.096774193549</v>
      </c>
      <c r="L251" s="21" t="s">
        <v>2530</v>
      </c>
      <c r="M251" s="21" t="str">
        <f>IF(L251="Shp 500","Sim",IF(ISNA(_xlfn.XLOOKUP(C251,'Shp 500'!D:D,'Shp 500'!D:D)),"Não","Sim"))</f>
        <v>Não</v>
      </c>
      <c r="N251" s="21" t="str">
        <f>IF(L251="Fastmoss 500","Sim",IF(ISNA(_xlfn.XLOOKUP(_xlfn.XLOOKUP(C251,'Same Seller Hist'!E:E,'Same Seller Hist'!H:H),'Fastmoss 500'!D:D,'Fastmoss 500'!D:D)),"Não","Sim"))</f>
        <v>Sim</v>
      </c>
      <c r="O251" s="21" t="str">
        <f t="shared" si="9"/>
        <v>Não</v>
      </c>
      <c r="P251" s="21" t="str">
        <f t="shared" si="10"/>
        <v>Não</v>
      </c>
      <c r="Q251" s="21">
        <f t="shared" si="11"/>
        <v>1</v>
      </c>
    </row>
    <row r="252" spans="3:17" x14ac:dyDescent="0.35">
      <c r="C252" s="5">
        <v>1222999175</v>
      </c>
      <c r="D252" s="5" t="s">
        <v>1709</v>
      </c>
      <c r="E252" s="5">
        <f>_xlfn.XLOOKUP(C252,'Same Seller Hist'!E:E,'Same Seller Hist'!I:I)</f>
        <v>7.49618636074978E+18</v>
      </c>
      <c r="F252" s="5" t="str">
        <f>_xlfn.XLOOKUP(C252,'Same Seller Hist'!E:E,'Same Seller Hist'!H:H)</f>
        <v>Mazur Cosméticos</v>
      </c>
      <c r="G252" s="5" t="s">
        <v>906</v>
      </c>
      <c r="H252" s="19">
        <v>831.83870967741939</v>
      </c>
      <c r="I252" s="19">
        <v>3159.6700536737517</v>
      </c>
      <c r="J252" s="19">
        <f>_xlfn.IFNA(_xlfn.XLOOKUP(F252,'Fastmoss 500'!D:D,'Fastmoss 500'!O:O),0)</f>
        <v>912.90322580645159</v>
      </c>
      <c r="K252" s="19">
        <f>_xlfn.IFNA(_xlfn.XLOOKUP(F252,'Fastmoss 500'!D:D,'Fastmoss 500'!N:N),0)</f>
        <v>23787.096774193549</v>
      </c>
      <c r="L252" s="21" t="s">
        <v>2528</v>
      </c>
      <c r="M252" s="21" t="str">
        <f>IF(L252="Shp 500","Sim",IF(ISNA(_xlfn.XLOOKUP(C252,'Shp 500'!D:D,'Shp 500'!D:D)),"Não","Sim"))</f>
        <v>Sim</v>
      </c>
      <c r="N252" s="21" t="str">
        <f>IF(L252="Fastmoss 500","Sim",IF(ISNA(_xlfn.XLOOKUP(_xlfn.XLOOKUP(C252,'Same Seller Hist'!E:E,'Same Seller Hist'!H:H),'Fastmoss 500'!D:D,'Fastmoss 500'!D:D)),"Não","Sim"))</f>
        <v>Sim</v>
      </c>
      <c r="O252" s="21" t="str">
        <f t="shared" si="9"/>
        <v>Sim</v>
      </c>
      <c r="P252" s="21" t="str">
        <f t="shared" si="10"/>
        <v>Não</v>
      </c>
      <c r="Q252" s="21">
        <f t="shared" si="11"/>
        <v>1</v>
      </c>
    </row>
    <row r="253" spans="3:17" x14ac:dyDescent="0.35">
      <c r="C253" s="5">
        <f>_xlfn.XLOOKUP(F253,'Same Seller Hist'!H:H,'Same Seller Hist'!E:E)</f>
        <v>1050793987</v>
      </c>
      <c r="D253" s="5" t="str">
        <f>_xlfn.XLOOKUP(F253,'Same Seller Hist'!H:H,'Same Seller Hist'!D:D)</f>
        <v>RAEGA MODA FEMININA</v>
      </c>
      <c r="E253" s="5">
        <f>_xlfn.XLOOKUP(F253,'Same Seller Hist'!H:H,'Same Seller Hist'!I:I)</f>
        <v>7.4961890154595297E+18</v>
      </c>
      <c r="F253" s="5" t="s">
        <v>77</v>
      </c>
      <c r="G253" s="5" t="str">
        <f>_xlfn.XLOOKUP(C253,'Same Seller Hist'!E:E,'Same Seller Hist'!F:F)</f>
        <v>Fashion</v>
      </c>
      <c r="H253" s="19">
        <f>_xlfn.IFNA(_xlfn.XLOOKUP(C253,'Shp 500'!D:D,'Shp 500'!I:I),0)</f>
        <v>0</v>
      </c>
      <c r="I253" s="19">
        <f>_xlfn.IFNA(_xlfn.XLOOKUP(C253,'Shp 500'!D:D,'Shp 500'!J:J),0)</f>
        <v>0</v>
      </c>
      <c r="J253" s="19">
        <v>322.58064516129031</v>
      </c>
      <c r="K253" s="19">
        <v>16958.064516129034</v>
      </c>
      <c r="L253" s="21" t="s">
        <v>2530</v>
      </c>
      <c r="M253" s="21" t="str">
        <f>IF(L253="Shp 500","Sim",IF(ISNA(_xlfn.XLOOKUP(C253,'Shp 500'!D:D,'Shp 500'!D:D)),"Não","Sim"))</f>
        <v>Não</v>
      </c>
      <c r="N253" s="21" t="str">
        <f>IF(L253="Fastmoss 500","Sim",IF(ISNA(_xlfn.XLOOKUP(_xlfn.XLOOKUP(C253,'Same Seller Hist'!E:E,'Same Seller Hist'!H:H),'Fastmoss 500'!D:D,'Fastmoss 500'!D:D)),"Não","Sim"))</f>
        <v>Sim</v>
      </c>
      <c r="O253" s="21" t="str">
        <f t="shared" si="9"/>
        <v>Não</v>
      </c>
      <c r="P253" s="21" t="str">
        <f t="shared" si="10"/>
        <v>Não</v>
      </c>
      <c r="Q253" s="21">
        <f t="shared" si="11"/>
        <v>1</v>
      </c>
    </row>
    <row r="254" spans="3:17" x14ac:dyDescent="0.35">
      <c r="C254" s="5">
        <f>_xlfn.XLOOKUP(F254,'Same Seller Hist'!H:H,'Same Seller Hist'!E:E)</f>
        <v>1485858575</v>
      </c>
      <c r="D254" s="5" t="str">
        <f>_xlfn.XLOOKUP(F254,'Same Seller Hist'!H:H,'Same Seller Hist'!D:D)</f>
        <v>QUARXERY SKINCARE BR</v>
      </c>
      <c r="E254" s="5">
        <f>_xlfn.XLOOKUP(F254,'Same Seller Hist'!H:H,'Same Seller Hist'!I:I)</f>
        <v>7.4962000047939604E+18</v>
      </c>
      <c r="F254" s="5" t="s">
        <v>281</v>
      </c>
      <c r="G254" s="5" t="str">
        <f>_xlfn.XLOOKUP(C254,'Same Seller Hist'!E:E,'Same Seller Hist'!F:F)</f>
        <v>FMCG</v>
      </c>
      <c r="H254" s="19">
        <f>_xlfn.IFNA(_xlfn.XLOOKUP(C254,'Shp 500'!D:D,'Shp 500'!I:I),0)</f>
        <v>0</v>
      </c>
      <c r="I254" s="19">
        <f>_xlfn.IFNA(_xlfn.XLOOKUP(C254,'Shp 500'!D:D,'Shp 500'!J:J),0)</f>
        <v>0</v>
      </c>
      <c r="J254" s="19">
        <v>319.35483870967744</v>
      </c>
      <c r="K254" s="19">
        <v>13829.032258064517</v>
      </c>
      <c r="L254" s="21" t="s">
        <v>2530</v>
      </c>
      <c r="M254" s="21" t="str">
        <f>IF(L254="Shp 500","Sim",IF(ISNA(_xlfn.XLOOKUP(C254,'Shp 500'!D:D,'Shp 500'!D:D)),"Não","Sim"))</f>
        <v>Não</v>
      </c>
      <c r="N254" s="21" t="str">
        <f>IF(L254="Fastmoss 500","Sim",IF(ISNA(_xlfn.XLOOKUP(_xlfn.XLOOKUP(C254,'Same Seller Hist'!E:E,'Same Seller Hist'!H:H),'Fastmoss 500'!D:D,'Fastmoss 500'!D:D)),"Não","Sim"))</f>
        <v>Sim</v>
      </c>
      <c r="O254" s="21" t="str">
        <f t="shared" si="9"/>
        <v>Não</v>
      </c>
      <c r="P254" s="21" t="str">
        <f t="shared" si="10"/>
        <v>Não</v>
      </c>
      <c r="Q254" s="21">
        <f t="shared" si="11"/>
        <v>1</v>
      </c>
    </row>
    <row r="255" spans="3:17" x14ac:dyDescent="0.35">
      <c r="C255" s="5">
        <v>1224363395</v>
      </c>
      <c r="D255" s="5" t="s">
        <v>1410</v>
      </c>
      <c r="E255" s="5">
        <f>_xlfn.XLOOKUP(C255,'Same Seller Hist'!E:E,'Same Seller Hist'!I:I)</f>
        <v>7.4961704307732296E+18</v>
      </c>
      <c r="F255" s="5" t="str">
        <f>_xlfn.XLOOKUP(C255,'Same Seller Hist'!E:E,'Same Seller Hist'!H:H)</f>
        <v>Belifou</v>
      </c>
      <c r="G255" s="5" t="s">
        <v>1734</v>
      </c>
      <c r="H255" s="19">
        <v>1553.8709677419322</v>
      </c>
      <c r="I255" s="19">
        <v>12363.34933900258</v>
      </c>
      <c r="J255" s="19">
        <f>_xlfn.IFNA(_xlfn.XLOOKUP(F255,'Fastmoss 500'!D:D,'Fastmoss 500'!O:O),0)</f>
        <v>380.64516129032256</v>
      </c>
      <c r="K255" s="19">
        <f>_xlfn.IFNA(_xlfn.XLOOKUP(F255,'Fastmoss 500'!D:D,'Fastmoss 500'!N:N),0)</f>
        <v>28587.096774193549</v>
      </c>
      <c r="L255" s="21" t="s">
        <v>2528</v>
      </c>
      <c r="M255" s="21" t="str">
        <f>IF(L255="Shp 500","Sim",IF(ISNA(_xlfn.XLOOKUP(C255,'Shp 500'!D:D,'Shp 500'!D:D)),"Não","Sim"))</f>
        <v>Sim</v>
      </c>
      <c r="N255" s="21" t="str">
        <f>IF(L255="Fastmoss 500","Sim",IF(ISNA(_xlfn.XLOOKUP(_xlfn.XLOOKUP(C255,'Same Seller Hist'!E:E,'Same Seller Hist'!H:H),'Fastmoss 500'!D:D,'Fastmoss 500'!D:D)),"Não","Sim"))</f>
        <v>Sim</v>
      </c>
      <c r="O255" s="21" t="str">
        <f t="shared" si="9"/>
        <v>Sim</v>
      </c>
      <c r="P255" s="21" t="str">
        <f t="shared" si="10"/>
        <v>Não</v>
      </c>
      <c r="Q255" s="21">
        <f t="shared" si="11"/>
        <v>1</v>
      </c>
    </row>
    <row r="256" spans="3:17" x14ac:dyDescent="0.35">
      <c r="C256" s="5">
        <f>_xlfn.XLOOKUP(F256,'Same Seller Hist'!H:H,'Same Seller Hist'!E:E)</f>
        <v>1649593273</v>
      </c>
      <c r="D256" s="5" t="str">
        <f>_xlfn.XLOOKUP(F256,'Same Seller Hist'!H:H,'Same Seller Hist'!D:D)</f>
        <v>SC TECH STORE</v>
      </c>
      <c r="E256" s="5">
        <f>_xlfn.XLOOKUP(F256,'Same Seller Hist'!H:H,'Same Seller Hist'!I:I)</f>
        <v>7.4961623008435497E+18</v>
      </c>
      <c r="F256" s="5" t="s">
        <v>781</v>
      </c>
      <c r="G256" s="5" t="str">
        <f>_xlfn.XLOOKUP(C256,'Same Seller Hist'!E:E,'Same Seller Hist'!F:F)</f>
        <v>FMCG</v>
      </c>
      <c r="H256" s="19">
        <f>_xlfn.IFNA(_xlfn.XLOOKUP(C256,'Shp 500'!D:D,'Shp 500'!I:I),0)</f>
        <v>0</v>
      </c>
      <c r="I256" s="19">
        <f>_xlfn.IFNA(_xlfn.XLOOKUP(C256,'Shp 500'!D:D,'Shp 500'!J:J),0)</f>
        <v>0</v>
      </c>
      <c r="J256" s="19">
        <v>316.12903225806451</v>
      </c>
      <c r="K256" s="19">
        <v>9767.7419354838712</v>
      </c>
      <c r="L256" s="21" t="s">
        <v>2530</v>
      </c>
      <c r="M256" s="21" t="str">
        <f>IF(L256="Shp 500","Sim",IF(ISNA(_xlfn.XLOOKUP(C256,'Shp 500'!D:D,'Shp 500'!D:D)),"Não","Sim"))</f>
        <v>Não</v>
      </c>
      <c r="N256" s="21" t="str">
        <f>IF(L256="Fastmoss 500","Sim",IF(ISNA(_xlfn.XLOOKUP(_xlfn.XLOOKUP(C256,'Same Seller Hist'!E:E,'Same Seller Hist'!H:H),'Fastmoss 500'!D:D,'Fastmoss 500'!D:D)),"Não","Sim"))</f>
        <v>Sim</v>
      </c>
      <c r="O256" s="21" t="str">
        <f t="shared" si="9"/>
        <v>Não</v>
      </c>
      <c r="P256" s="21" t="str">
        <f t="shared" si="10"/>
        <v>Não</v>
      </c>
      <c r="Q256" s="21">
        <f t="shared" si="11"/>
        <v>1</v>
      </c>
    </row>
    <row r="257" spans="3:17" x14ac:dyDescent="0.35">
      <c r="C257" s="5">
        <f>_xlfn.XLOOKUP(F257,'Same Seller Hist'!H:H,'Same Seller Hist'!E:E)</f>
        <v>1229047031</v>
      </c>
      <c r="D257" s="5" t="str">
        <f>_xlfn.XLOOKUP(F257,'Same Seller Hist'!H:H,'Same Seller Hist'!D:D)</f>
        <v>Unibom.store</v>
      </c>
      <c r="E257" s="5">
        <f>_xlfn.XLOOKUP(F257,'Same Seller Hist'!H:H,'Same Seller Hist'!I:I)</f>
        <v>7.4961760417134295E+18</v>
      </c>
      <c r="F257" s="5" t="s">
        <v>833</v>
      </c>
      <c r="G257" s="5">
        <f>_xlfn.XLOOKUP(C257,'Same Seller Hist'!E:E,'Same Seller Hist'!F:F)</f>
        <v>0</v>
      </c>
      <c r="H257" s="19">
        <f>_xlfn.IFNA(_xlfn.XLOOKUP(C257,'Shp 500'!D:D,'Shp 500'!I:I),0)</f>
        <v>0</v>
      </c>
      <c r="I257" s="19">
        <f>_xlfn.IFNA(_xlfn.XLOOKUP(C257,'Shp 500'!D:D,'Shp 500'!J:J),0)</f>
        <v>0</v>
      </c>
      <c r="J257" s="19">
        <v>316.12903225806451</v>
      </c>
      <c r="K257" s="19">
        <v>19938.709677419356</v>
      </c>
      <c r="L257" s="21" t="s">
        <v>2530</v>
      </c>
      <c r="M257" s="21" t="str">
        <f>IF(L257="Shp 500","Sim",IF(ISNA(_xlfn.XLOOKUP(C257,'Shp 500'!D:D,'Shp 500'!D:D)),"Não","Sim"))</f>
        <v>Não</v>
      </c>
      <c r="N257" s="21" t="str">
        <f>IF(L257="Fastmoss 500","Sim",IF(ISNA(_xlfn.XLOOKUP(_xlfn.XLOOKUP(C257,'Same Seller Hist'!E:E,'Same Seller Hist'!H:H),'Fastmoss 500'!D:D,'Fastmoss 500'!D:D)),"Não","Sim"))</f>
        <v>Sim</v>
      </c>
      <c r="O257" s="21" t="str">
        <f t="shared" si="9"/>
        <v>Não</v>
      </c>
      <c r="P257" s="21" t="str">
        <f t="shared" si="10"/>
        <v>Não</v>
      </c>
      <c r="Q257" s="21">
        <f t="shared" si="11"/>
        <v>1</v>
      </c>
    </row>
    <row r="258" spans="3:17" x14ac:dyDescent="0.35">
      <c r="C258" s="5">
        <f>_xlfn.XLOOKUP(F258,'Same Seller Hist'!H:H,'Same Seller Hist'!E:E)</f>
        <v>1577747933</v>
      </c>
      <c r="D258" s="5" t="str">
        <f>_xlfn.XLOOKUP(F258,'Same Seller Hist'!H:H,'Same Seller Hist'!D:D)</f>
        <v>TOYA ORALCARE</v>
      </c>
      <c r="E258" s="5">
        <f>_xlfn.XLOOKUP(F258,'Same Seller Hist'!H:H,'Same Seller Hist'!I:I)</f>
        <v>7.4941888444645704E+18</v>
      </c>
      <c r="F258" s="5" t="s">
        <v>898</v>
      </c>
      <c r="G258" s="5" t="str">
        <f>_xlfn.XLOOKUP(C258,'Same Seller Hist'!E:E,'Same Seller Hist'!F:F)</f>
        <v>FMCG</v>
      </c>
      <c r="H258" s="19">
        <f>_xlfn.IFNA(_xlfn.XLOOKUP(C258,'Shp 500'!D:D,'Shp 500'!I:I),0)</f>
        <v>0</v>
      </c>
      <c r="I258" s="19">
        <f>_xlfn.IFNA(_xlfn.XLOOKUP(C258,'Shp 500'!D:D,'Shp 500'!J:J),0)</f>
        <v>0</v>
      </c>
      <c r="J258" s="19">
        <v>312.90322580645159</v>
      </c>
      <c r="K258" s="19">
        <v>7841.9354838709678</v>
      </c>
      <c r="L258" s="21" t="s">
        <v>2530</v>
      </c>
      <c r="M258" s="21" t="str">
        <f>IF(L258="Shp 500","Sim",IF(ISNA(_xlfn.XLOOKUP(C258,'Shp 500'!D:D,'Shp 500'!D:D)),"Não","Sim"))</f>
        <v>Não</v>
      </c>
      <c r="N258" s="21" t="str">
        <f>IF(L258="Fastmoss 500","Sim",IF(ISNA(_xlfn.XLOOKUP(_xlfn.XLOOKUP(C258,'Same Seller Hist'!E:E,'Same Seller Hist'!H:H),'Fastmoss 500'!D:D,'Fastmoss 500'!D:D)),"Não","Sim"))</f>
        <v>Sim</v>
      </c>
      <c r="O258" s="21" t="str">
        <f t="shared" si="9"/>
        <v>Não</v>
      </c>
      <c r="P258" s="21" t="str">
        <f t="shared" si="10"/>
        <v>Não</v>
      </c>
      <c r="Q258" s="21">
        <f t="shared" si="11"/>
        <v>1</v>
      </c>
    </row>
    <row r="259" spans="3:17" x14ac:dyDescent="0.35">
      <c r="C259" s="5">
        <f>_xlfn.XLOOKUP(F259,'Same Seller Hist'!H:H,'Same Seller Hist'!E:E)</f>
        <v>449186740</v>
      </c>
      <c r="D259" s="5" t="str">
        <f>_xlfn.XLOOKUP(F259,'Same Seller Hist'!H:H,'Same Seller Hist'!D:D)</f>
        <v>mi-loja-feminina</v>
      </c>
      <c r="E259" s="5">
        <f>_xlfn.XLOOKUP(F259,'Same Seller Hist'!H:H,'Same Seller Hist'!I:I)</f>
        <v>7.4961818255450102E+18</v>
      </c>
      <c r="F259" s="5" t="s">
        <v>881</v>
      </c>
      <c r="G259" s="5">
        <f>_xlfn.XLOOKUP(C259,'Same Seller Hist'!E:E,'Same Seller Hist'!F:F)</f>
        <v>0</v>
      </c>
      <c r="H259" s="19">
        <f>_xlfn.IFNA(_xlfn.XLOOKUP(C259,'Shp 500'!D:D,'Shp 500'!I:I),0)</f>
        <v>0</v>
      </c>
      <c r="I259" s="19">
        <f>_xlfn.IFNA(_xlfn.XLOOKUP(C259,'Shp 500'!D:D,'Shp 500'!J:J),0)</f>
        <v>0</v>
      </c>
      <c r="J259" s="19">
        <v>309.67741935483872</v>
      </c>
      <c r="K259" s="19">
        <v>24132.258064516129</v>
      </c>
      <c r="L259" s="21" t="s">
        <v>2530</v>
      </c>
      <c r="M259" s="21" t="str">
        <f>IF(L259="Shp 500","Sim",IF(ISNA(_xlfn.XLOOKUP(C259,'Shp 500'!D:D,'Shp 500'!D:D)),"Não","Sim"))</f>
        <v>Não</v>
      </c>
      <c r="N259" s="21" t="str">
        <f>IF(L259="Fastmoss 500","Sim",IF(ISNA(_xlfn.XLOOKUP(_xlfn.XLOOKUP(C259,'Same Seller Hist'!E:E,'Same Seller Hist'!H:H),'Fastmoss 500'!D:D,'Fastmoss 500'!D:D)),"Não","Sim"))</f>
        <v>Sim</v>
      </c>
      <c r="O259" s="21" t="str">
        <f t="shared" si="9"/>
        <v>Não</v>
      </c>
      <c r="P259" s="21" t="str">
        <f t="shared" si="10"/>
        <v>Não</v>
      </c>
      <c r="Q259" s="21">
        <f t="shared" si="11"/>
        <v>1</v>
      </c>
    </row>
    <row r="260" spans="3:17" x14ac:dyDescent="0.35">
      <c r="C260" s="5">
        <f>_xlfn.XLOOKUP(F260,'Same Seller Hist'!H:H,'Same Seller Hist'!E:E)</f>
        <v>346391109</v>
      </c>
      <c r="D260" s="5" t="str">
        <f>_xlfn.XLOOKUP(F260,'Same Seller Hist'!H:H,'Same Seller Hist'!D:D)</f>
        <v>RF DECOR</v>
      </c>
      <c r="E260" s="5">
        <f>_xlfn.XLOOKUP(F260,'Same Seller Hist'!H:H,'Same Seller Hist'!I:I)</f>
        <v>7.4941172784110899E+18</v>
      </c>
      <c r="F260" s="5" t="s">
        <v>895</v>
      </c>
      <c r="G260" s="5">
        <f>_xlfn.XLOOKUP(C260,'Same Seller Hist'!E:E,'Same Seller Hist'!F:F)</f>
        <v>0</v>
      </c>
      <c r="H260" s="19">
        <f>_xlfn.IFNA(_xlfn.XLOOKUP(C260,'Shp 500'!D:D,'Shp 500'!I:I),0)</f>
        <v>0</v>
      </c>
      <c r="I260" s="19">
        <f>_xlfn.IFNA(_xlfn.XLOOKUP(C260,'Shp 500'!D:D,'Shp 500'!J:J),0)</f>
        <v>0</v>
      </c>
      <c r="J260" s="19">
        <v>309.67741935483872</v>
      </c>
      <c r="K260" s="19">
        <v>20590.322580645163</v>
      </c>
      <c r="L260" s="21" t="s">
        <v>2530</v>
      </c>
      <c r="M260" s="21" t="str">
        <f>IF(L260="Shp 500","Sim",IF(ISNA(_xlfn.XLOOKUP(C260,'Shp 500'!D:D,'Shp 500'!D:D)),"Não","Sim"))</f>
        <v>Não</v>
      </c>
      <c r="N260" s="21" t="str">
        <f>IF(L260="Fastmoss 500","Sim",IF(ISNA(_xlfn.XLOOKUP(_xlfn.XLOOKUP(C260,'Same Seller Hist'!E:E,'Same Seller Hist'!H:H),'Fastmoss 500'!D:D,'Fastmoss 500'!D:D)),"Não","Sim"))</f>
        <v>Sim</v>
      </c>
      <c r="O260" s="21" t="str">
        <f t="shared" si="9"/>
        <v>Não</v>
      </c>
      <c r="P260" s="21" t="str">
        <f t="shared" si="10"/>
        <v>Não</v>
      </c>
      <c r="Q260" s="21">
        <f t="shared" si="11"/>
        <v>1</v>
      </c>
    </row>
    <row r="261" spans="3:17" x14ac:dyDescent="0.35">
      <c r="C261" s="5">
        <f>_xlfn.XLOOKUP(F261,'Same Seller Hist'!H:H,'Same Seller Hist'!E:E)</f>
        <v>630468467</v>
      </c>
      <c r="D261" s="5" t="str">
        <f>_xlfn.XLOOKUP(F261,'Same Seller Hist'!H:H,'Same Seller Hist'!D:D)</f>
        <v>Pijamas São Pedro</v>
      </c>
      <c r="E261" s="5">
        <f>_xlfn.XLOOKUP(F261,'Same Seller Hist'!H:H,'Same Seller Hist'!I:I)</f>
        <v>7.49615496154641E+18</v>
      </c>
      <c r="F261" s="5" t="s">
        <v>893</v>
      </c>
      <c r="G261" s="5">
        <f>_xlfn.XLOOKUP(C261,'Same Seller Hist'!E:E,'Same Seller Hist'!F:F)</f>
        <v>0</v>
      </c>
      <c r="H261" s="19">
        <f>_xlfn.IFNA(_xlfn.XLOOKUP(C261,'Shp 500'!D:D,'Shp 500'!I:I),0)</f>
        <v>0</v>
      </c>
      <c r="I261" s="19">
        <f>_xlfn.IFNA(_xlfn.XLOOKUP(C261,'Shp 500'!D:D,'Shp 500'!J:J),0)</f>
        <v>0</v>
      </c>
      <c r="J261" s="19">
        <v>309.67741935483872</v>
      </c>
      <c r="K261" s="19">
        <v>9993.5483870967746</v>
      </c>
      <c r="L261" s="21" t="s">
        <v>2530</v>
      </c>
      <c r="M261" s="21" t="str">
        <f>IF(L261="Shp 500","Sim",IF(ISNA(_xlfn.XLOOKUP(C261,'Shp 500'!D:D,'Shp 500'!D:D)),"Não","Sim"))</f>
        <v>Não</v>
      </c>
      <c r="N261" s="21" t="str">
        <f>IF(L261="Fastmoss 500","Sim",IF(ISNA(_xlfn.XLOOKUP(_xlfn.XLOOKUP(C261,'Same Seller Hist'!E:E,'Same Seller Hist'!H:H),'Fastmoss 500'!D:D,'Fastmoss 500'!D:D)),"Não","Sim"))</f>
        <v>Sim</v>
      </c>
      <c r="O261" s="21" t="str">
        <f t="shared" si="9"/>
        <v>Não</v>
      </c>
      <c r="P261" s="21" t="str">
        <f t="shared" si="10"/>
        <v>Não</v>
      </c>
      <c r="Q261" s="21">
        <f t="shared" si="11"/>
        <v>1</v>
      </c>
    </row>
    <row r="262" spans="3:17" x14ac:dyDescent="0.35">
      <c r="C262" s="5">
        <f>_xlfn.XLOOKUP(F262,'Same Seller Hist'!H:H,'Same Seller Hist'!E:E)</f>
        <v>505370631</v>
      </c>
      <c r="D262" s="5" t="str">
        <f>_xlfn.XLOOKUP(F262,'Same Seller Hist'!H:H,'Same Seller Hist'!D:D)</f>
        <v>ENCANTO LINGERIE BRAS</v>
      </c>
      <c r="E262" s="5">
        <f>_xlfn.XLOOKUP(F262,'Same Seller Hist'!H:H,'Same Seller Hist'!I:I)</f>
        <v>7.49421973035106E+18</v>
      </c>
      <c r="F262" s="5" t="s">
        <v>861</v>
      </c>
      <c r="G262" s="5">
        <f>_xlfn.XLOOKUP(C262,'Same Seller Hist'!E:E,'Same Seller Hist'!F:F)</f>
        <v>0</v>
      </c>
      <c r="H262" s="19">
        <f>_xlfn.IFNA(_xlfn.XLOOKUP(C262,'Shp 500'!D:D,'Shp 500'!I:I),0)</f>
        <v>0</v>
      </c>
      <c r="I262" s="19">
        <f>_xlfn.IFNA(_xlfn.XLOOKUP(C262,'Shp 500'!D:D,'Shp 500'!J:J),0)</f>
        <v>0</v>
      </c>
      <c r="J262" s="19">
        <v>309.67741935483872</v>
      </c>
      <c r="K262" s="19">
        <v>14038.709677419354</v>
      </c>
      <c r="L262" s="21" t="s">
        <v>2530</v>
      </c>
      <c r="M262" s="21" t="str">
        <f>IF(L262="Shp 500","Sim",IF(ISNA(_xlfn.XLOOKUP(C262,'Shp 500'!D:D,'Shp 500'!D:D)),"Não","Sim"))</f>
        <v>Não</v>
      </c>
      <c r="N262" s="21" t="str">
        <f>IF(L262="Fastmoss 500","Sim",IF(ISNA(_xlfn.XLOOKUP(_xlfn.XLOOKUP(C262,'Same Seller Hist'!E:E,'Same Seller Hist'!H:H),'Fastmoss 500'!D:D,'Fastmoss 500'!D:D)),"Não","Sim"))</f>
        <v>Sim</v>
      </c>
      <c r="O262" s="21" t="str">
        <f t="shared" si="9"/>
        <v>Não</v>
      </c>
      <c r="P262" s="21" t="str">
        <f t="shared" si="10"/>
        <v>Não</v>
      </c>
      <c r="Q262" s="21">
        <f t="shared" si="11"/>
        <v>1</v>
      </c>
    </row>
    <row r="263" spans="3:17" x14ac:dyDescent="0.35">
      <c r="C263" s="5">
        <f>_xlfn.XLOOKUP(F263,'Same Seller Hist'!H:H,'Same Seller Hist'!E:E)</f>
        <v>908267517</v>
      </c>
      <c r="D263" s="5" t="str">
        <f>_xlfn.XLOOKUP(F263,'Same Seller Hist'!H:H,'Same Seller Hist'!D:D)</f>
        <v>smile label</v>
      </c>
      <c r="E263" s="5">
        <f>_xlfn.XLOOKUP(F263,'Same Seller Hist'!H:H,'Same Seller Hist'!I:I)</f>
        <v>7.4961823981627904E+18</v>
      </c>
      <c r="F263" s="5" t="s">
        <v>745</v>
      </c>
      <c r="G263" s="5" t="str">
        <f>_xlfn.XLOOKUP(C263,'Same Seller Hist'!E:E,'Same Seller Hist'!F:F)</f>
        <v>Fashion</v>
      </c>
      <c r="H263" s="19">
        <f>_xlfn.IFNA(_xlfn.XLOOKUP(C263,'Shp 500'!D:D,'Shp 500'!I:I),0)</f>
        <v>0</v>
      </c>
      <c r="I263" s="19">
        <f>_xlfn.IFNA(_xlfn.XLOOKUP(C263,'Shp 500'!D:D,'Shp 500'!J:J),0)</f>
        <v>0</v>
      </c>
      <c r="J263" s="19">
        <v>303.22580645161293</v>
      </c>
      <c r="K263" s="19">
        <v>38709.677419354841</v>
      </c>
      <c r="L263" s="21" t="s">
        <v>2530</v>
      </c>
      <c r="M263" s="21" t="str">
        <f>IF(L263="Shp 500","Sim",IF(ISNA(_xlfn.XLOOKUP(C263,'Shp 500'!D:D,'Shp 500'!D:D)),"Não","Sim"))</f>
        <v>Não</v>
      </c>
      <c r="N263" s="21" t="str">
        <f>IF(L263="Fastmoss 500","Sim",IF(ISNA(_xlfn.XLOOKUP(_xlfn.XLOOKUP(C263,'Same Seller Hist'!E:E,'Same Seller Hist'!H:H),'Fastmoss 500'!D:D,'Fastmoss 500'!D:D)),"Não","Sim"))</f>
        <v>Sim</v>
      </c>
      <c r="O263" s="21" t="str">
        <f t="shared" si="9"/>
        <v>Não</v>
      </c>
      <c r="P263" s="21" t="str">
        <f t="shared" si="10"/>
        <v>Não</v>
      </c>
      <c r="Q263" s="21">
        <f t="shared" si="11"/>
        <v>1</v>
      </c>
    </row>
    <row r="264" spans="3:17" x14ac:dyDescent="0.35">
      <c r="C264" s="5">
        <f>_xlfn.XLOOKUP(F264,'Same Seller Hist'!H:H,'Same Seller Hist'!E:E)</f>
        <v>378519055</v>
      </c>
      <c r="D264" s="5" t="str">
        <f>_xlfn.XLOOKUP(F264,'Same Seller Hist'!H:H,'Same Seller Hist'!D:D)</f>
        <v>EusouMiguel</v>
      </c>
      <c r="E264" s="5">
        <f>_xlfn.XLOOKUP(F264,'Same Seller Hist'!H:H,'Same Seller Hist'!I:I)</f>
        <v>7.4962401866415104E+18</v>
      </c>
      <c r="F264" s="5" t="s">
        <v>493</v>
      </c>
      <c r="G264" s="5" t="str">
        <f>_xlfn.XLOOKUP(C264,'Same Seller Hist'!E:E,'Same Seller Hist'!F:F)</f>
        <v>Fashion</v>
      </c>
      <c r="H264" s="19">
        <f>_xlfn.IFNA(_xlfn.XLOOKUP(C264,'Shp 500'!D:D,'Shp 500'!I:I),0)</f>
        <v>0</v>
      </c>
      <c r="I264" s="19">
        <f>_xlfn.IFNA(_xlfn.XLOOKUP(C264,'Shp 500'!D:D,'Shp 500'!J:J),0)</f>
        <v>0</v>
      </c>
      <c r="J264" s="19">
        <v>303.22580645161293</v>
      </c>
      <c r="K264" s="19">
        <v>12429.032258064517</v>
      </c>
      <c r="L264" s="21" t="s">
        <v>2530</v>
      </c>
      <c r="M264" s="21" t="str">
        <f>IF(L264="Shp 500","Sim",IF(ISNA(_xlfn.XLOOKUP(C264,'Shp 500'!D:D,'Shp 500'!D:D)),"Não","Sim"))</f>
        <v>Não</v>
      </c>
      <c r="N264" s="21" t="str">
        <f>IF(L264="Fastmoss 500","Sim",IF(ISNA(_xlfn.XLOOKUP(_xlfn.XLOOKUP(C264,'Same Seller Hist'!E:E,'Same Seller Hist'!H:H),'Fastmoss 500'!D:D,'Fastmoss 500'!D:D)),"Não","Sim"))</f>
        <v>Sim</v>
      </c>
      <c r="O264" s="21" t="str">
        <f t="shared" ref="O264:O327" si="12">IF(AND(M264="Sim",N264="Sim"),"Sim","Não")</f>
        <v>Não</v>
      </c>
      <c r="P264" s="21" t="str">
        <f t="shared" ref="P264:P327" si="13">IF(I264&gt;K264,"Sim","Não")</f>
        <v>Não</v>
      </c>
      <c r="Q264" s="21">
        <f t="shared" ref="Q264:Q327" si="14">COUNTIFS(C:C,C264)</f>
        <v>1</v>
      </c>
    </row>
    <row r="265" spans="3:17" x14ac:dyDescent="0.35">
      <c r="C265" s="5">
        <v>1242044379</v>
      </c>
      <c r="D265" s="5" t="s">
        <v>1579</v>
      </c>
      <c r="E265" s="5">
        <f>_xlfn.XLOOKUP(C265,'Same Seller Hist'!E:E,'Same Seller Hist'!I:I)</f>
        <v>7.4950922247513395E+18</v>
      </c>
      <c r="F265" s="5" t="str">
        <f>_xlfn.XLOOKUP(C265,'Same Seller Hist'!E:E,'Same Seller Hist'!H:H)</f>
        <v>Dark Lab</v>
      </c>
      <c r="G265" s="5" t="s">
        <v>903</v>
      </c>
      <c r="H265" s="19">
        <v>1016.2258064516129</v>
      </c>
      <c r="I265" s="19">
        <v>12150.095874346711</v>
      </c>
      <c r="J265" s="19">
        <f>_xlfn.IFNA(_xlfn.XLOOKUP(F265,'Fastmoss 500'!D:D,'Fastmoss 500'!O:O),0)</f>
        <v>916.12903225806451</v>
      </c>
      <c r="K265" s="19">
        <f>_xlfn.IFNA(_xlfn.XLOOKUP(F265,'Fastmoss 500'!D:D,'Fastmoss 500'!N:N),0)</f>
        <v>54838.709677419356</v>
      </c>
      <c r="L265" s="21" t="s">
        <v>2528</v>
      </c>
      <c r="M265" s="21" t="str">
        <f>IF(L265="Shp 500","Sim",IF(ISNA(_xlfn.XLOOKUP(C265,'Shp 500'!D:D,'Shp 500'!D:D)),"Não","Sim"))</f>
        <v>Sim</v>
      </c>
      <c r="N265" s="21" t="str">
        <f>IF(L265="Fastmoss 500","Sim",IF(ISNA(_xlfn.XLOOKUP(_xlfn.XLOOKUP(C265,'Same Seller Hist'!E:E,'Same Seller Hist'!H:H),'Fastmoss 500'!D:D,'Fastmoss 500'!D:D)),"Não","Sim"))</f>
        <v>Sim</v>
      </c>
      <c r="O265" s="21" t="str">
        <f t="shared" si="12"/>
        <v>Sim</v>
      </c>
      <c r="P265" s="21" t="str">
        <f t="shared" si="13"/>
        <v>Não</v>
      </c>
      <c r="Q265" s="21">
        <f t="shared" si="14"/>
        <v>1</v>
      </c>
    </row>
    <row r="266" spans="3:17" x14ac:dyDescent="0.35">
      <c r="C266" s="5">
        <f>_xlfn.XLOOKUP(F266,'Same Seller Hist'!H:H,'Same Seller Hist'!E:E)</f>
        <v>998725688</v>
      </c>
      <c r="D266" s="5" t="str">
        <f>_xlfn.XLOOKUP(F266,'Same Seller Hist'!H:H,'Same Seller Hist'!D:D)</f>
        <v>IBUKI.BR</v>
      </c>
      <c r="E266" s="5">
        <f>_xlfn.XLOOKUP(F266,'Same Seller Hist'!H:H,'Same Seller Hist'!I:I)</f>
        <v>7.4942361005892905E+18</v>
      </c>
      <c r="F266" s="5" t="s">
        <v>866</v>
      </c>
      <c r="G266" s="5">
        <f>_xlfn.XLOOKUP(C266,'Same Seller Hist'!E:E,'Same Seller Hist'!F:F)</f>
        <v>0</v>
      </c>
      <c r="H266" s="19">
        <f>_xlfn.IFNA(_xlfn.XLOOKUP(C266,'Shp 500'!D:D,'Shp 500'!I:I),0)</f>
        <v>0</v>
      </c>
      <c r="I266" s="19">
        <f>_xlfn.IFNA(_xlfn.XLOOKUP(C266,'Shp 500'!D:D,'Shp 500'!J:J),0)</f>
        <v>0</v>
      </c>
      <c r="J266" s="19">
        <v>296.77419354838707</v>
      </c>
      <c r="K266" s="19">
        <v>4603.2258064516127</v>
      </c>
      <c r="L266" s="21" t="s">
        <v>2530</v>
      </c>
      <c r="M266" s="21" t="str">
        <f>IF(L266="Shp 500","Sim",IF(ISNA(_xlfn.XLOOKUP(C266,'Shp 500'!D:D,'Shp 500'!D:D)),"Não","Sim"))</f>
        <v>Não</v>
      </c>
      <c r="N266" s="21" t="str">
        <f>IF(L266="Fastmoss 500","Sim",IF(ISNA(_xlfn.XLOOKUP(_xlfn.XLOOKUP(C266,'Same Seller Hist'!E:E,'Same Seller Hist'!H:H),'Fastmoss 500'!D:D,'Fastmoss 500'!D:D)),"Não","Sim"))</f>
        <v>Sim</v>
      </c>
      <c r="O266" s="21" t="str">
        <f t="shared" si="12"/>
        <v>Não</v>
      </c>
      <c r="P266" s="21" t="str">
        <f t="shared" si="13"/>
        <v>Não</v>
      </c>
      <c r="Q266" s="21">
        <f t="shared" si="14"/>
        <v>1</v>
      </c>
    </row>
    <row r="267" spans="3:17" x14ac:dyDescent="0.35">
      <c r="C267" s="5">
        <f>_xlfn.XLOOKUP(F267,'Same Seller Hist'!H:H,'Same Seller Hist'!E:E)</f>
        <v>843263540</v>
      </c>
      <c r="D267" s="5" t="str">
        <f>_xlfn.XLOOKUP(F267,'Same Seller Hist'!H:H,'Same Seller Hist'!D:D)</f>
        <v>Gummy Original</v>
      </c>
      <c r="E267" s="5">
        <f>_xlfn.XLOOKUP(F267,'Same Seller Hist'!H:H,'Same Seller Hist'!I:I)</f>
        <v>7.4961621943153101E+18</v>
      </c>
      <c r="F267" s="5" t="s">
        <v>729</v>
      </c>
      <c r="G267" s="5" t="str">
        <f>_xlfn.XLOOKUP(C267,'Same Seller Hist'!E:E,'Same Seller Hist'!F:F)</f>
        <v>FMCG</v>
      </c>
      <c r="H267" s="19">
        <f>_xlfn.IFNA(_xlfn.XLOOKUP(C267,'Shp 500'!D:D,'Shp 500'!I:I),0)</f>
        <v>0</v>
      </c>
      <c r="I267" s="19">
        <f>_xlfn.IFNA(_xlfn.XLOOKUP(C267,'Shp 500'!D:D,'Shp 500'!J:J),0)</f>
        <v>0</v>
      </c>
      <c r="J267" s="19">
        <v>296.77419354838707</v>
      </c>
      <c r="K267" s="19">
        <v>30670.967741935485</v>
      </c>
      <c r="L267" s="21" t="s">
        <v>2530</v>
      </c>
      <c r="M267" s="21" t="str">
        <f>IF(L267="Shp 500","Sim",IF(ISNA(_xlfn.XLOOKUP(C267,'Shp 500'!D:D,'Shp 500'!D:D)),"Não","Sim"))</f>
        <v>Não</v>
      </c>
      <c r="N267" s="21" t="str">
        <f>IF(L267="Fastmoss 500","Sim",IF(ISNA(_xlfn.XLOOKUP(_xlfn.XLOOKUP(C267,'Same Seller Hist'!E:E,'Same Seller Hist'!H:H),'Fastmoss 500'!D:D,'Fastmoss 500'!D:D)),"Não","Sim"))</f>
        <v>Sim</v>
      </c>
      <c r="O267" s="21" t="str">
        <f t="shared" si="12"/>
        <v>Não</v>
      </c>
      <c r="P267" s="21" t="str">
        <f t="shared" si="13"/>
        <v>Não</v>
      </c>
      <c r="Q267" s="21">
        <f t="shared" si="14"/>
        <v>1</v>
      </c>
    </row>
    <row r="268" spans="3:17" x14ac:dyDescent="0.35">
      <c r="C268" s="5">
        <f>_xlfn.XLOOKUP(F268,'Same Seller Hist'!H:H,'Same Seller Hist'!E:E)</f>
        <v>950793915</v>
      </c>
      <c r="D268" s="5" t="str">
        <f>_xlfn.XLOOKUP(F268,'Same Seller Hist'!H:H,'Same Seller Hist'!D:D)</f>
        <v>confeccoes universo khader</v>
      </c>
      <c r="E268" s="5">
        <f>_xlfn.XLOOKUP(F268,'Same Seller Hist'!H:H,'Same Seller Hist'!I:I)</f>
        <v>7.4941800091293696E+18</v>
      </c>
      <c r="F268" s="5" t="s">
        <v>856</v>
      </c>
      <c r="G268" s="5">
        <f>_xlfn.XLOOKUP(C268,'Same Seller Hist'!E:E,'Same Seller Hist'!F:F)</f>
        <v>0</v>
      </c>
      <c r="H268" s="19">
        <f>_xlfn.IFNA(_xlfn.XLOOKUP(C268,'Shp 500'!D:D,'Shp 500'!I:I),0)</f>
        <v>0</v>
      </c>
      <c r="I268" s="19">
        <f>_xlfn.IFNA(_xlfn.XLOOKUP(C268,'Shp 500'!D:D,'Shp 500'!J:J),0)</f>
        <v>0</v>
      </c>
      <c r="J268" s="19">
        <v>293.54838709677421</v>
      </c>
      <c r="K268" s="19">
        <v>14196.774193548386</v>
      </c>
      <c r="L268" s="21" t="s">
        <v>2530</v>
      </c>
      <c r="M268" s="21" t="str">
        <f>IF(L268="Shp 500","Sim",IF(ISNA(_xlfn.XLOOKUP(C268,'Shp 500'!D:D,'Shp 500'!D:D)),"Não","Sim"))</f>
        <v>Não</v>
      </c>
      <c r="N268" s="21" t="str">
        <f>IF(L268="Fastmoss 500","Sim",IF(ISNA(_xlfn.XLOOKUP(_xlfn.XLOOKUP(C268,'Same Seller Hist'!E:E,'Same Seller Hist'!H:H),'Fastmoss 500'!D:D,'Fastmoss 500'!D:D)),"Não","Sim"))</f>
        <v>Sim</v>
      </c>
      <c r="O268" s="21" t="str">
        <f t="shared" si="12"/>
        <v>Não</v>
      </c>
      <c r="P268" s="21" t="str">
        <f t="shared" si="13"/>
        <v>Não</v>
      </c>
      <c r="Q268" s="21">
        <f t="shared" si="14"/>
        <v>1</v>
      </c>
    </row>
    <row r="269" spans="3:17" x14ac:dyDescent="0.35">
      <c r="C269" s="5">
        <f>_xlfn.XLOOKUP(F269,'Same Seller Hist'!H:H,'Same Seller Hist'!E:E)</f>
        <v>380728205</v>
      </c>
      <c r="D269" s="5" t="str">
        <f>_xlfn.XLOOKUP(F269,'Same Seller Hist'!H:H,'Same Seller Hist'!D:D)</f>
        <v>Apenas Ouse Lingerie</v>
      </c>
      <c r="E269" s="5">
        <f>_xlfn.XLOOKUP(F269,'Same Seller Hist'!H:H,'Same Seller Hist'!I:I)</f>
        <v>7.4962298546193295E+18</v>
      </c>
      <c r="F269" s="5" t="s">
        <v>500</v>
      </c>
      <c r="G269" s="5" t="str">
        <f>_xlfn.XLOOKUP(C269,'Same Seller Hist'!E:E,'Same Seller Hist'!F:F)</f>
        <v>Fashion</v>
      </c>
      <c r="H269" s="19">
        <f>_xlfn.IFNA(_xlfn.XLOOKUP(C269,'Shp 500'!D:D,'Shp 500'!I:I),0)</f>
        <v>0</v>
      </c>
      <c r="I269" s="19">
        <f>_xlfn.IFNA(_xlfn.XLOOKUP(C269,'Shp 500'!D:D,'Shp 500'!J:J),0)</f>
        <v>0</v>
      </c>
      <c r="J269" s="19">
        <v>293.54838709677421</v>
      </c>
      <c r="K269" s="19">
        <v>9787.0967741935492</v>
      </c>
      <c r="L269" s="21" t="s">
        <v>2530</v>
      </c>
      <c r="M269" s="21" t="str">
        <f>IF(L269="Shp 500","Sim",IF(ISNA(_xlfn.XLOOKUP(C269,'Shp 500'!D:D,'Shp 500'!D:D)),"Não","Sim"))</f>
        <v>Não</v>
      </c>
      <c r="N269" s="21" t="str">
        <f>IF(L269="Fastmoss 500","Sim",IF(ISNA(_xlfn.XLOOKUP(_xlfn.XLOOKUP(C269,'Same Seller Hist'!E:E,'Same Seller Hist'!H:H),'Fastmoss 500'!D:D,'Fastmoss 500'!D:D)),"Não","Sim"))</f>
        <v>Sim</v>
      </c>
      <c r="O269" s="21" t="str">
        <f t="shared" si="12"/>
        <v>Não</v>
      </c>
      <c r="P269" s="21" t="str">
        <f t="shared" si="13"/>
        <v>Não</v>
      </c>
      <c r="Q269" s="21">
        <f t="shared" si="14"/>
        <v>1</v>
      </c>
    </row>
    <row r="270" spans="3:17" x14ac:dyDescent="0.35">
      <c r="C270" s="5">
        <f>_xlfn.XLOOKUP(F270,'Same Seller Hist'!H:H,'Same Seller Hist'!E:E)</f>
        <v>283145548</v>
      </c>
      <c r="D270" s="5" t="str">
        <f>_xlfn.XLOOKUP(F270,'Same Seller Hist'!H:H,'Same Seller Hist'!D:D)</f>
        <v>MAIS MAKE BRASIL</v>
      </c>
      <c r="E270" s="5">
        <f>_xlfn.XLOOKUP(F270,'Same Seller Hist'!H:H,'Same Seller Hist'!I:I)</f>
        <v>7.4941461101765898E+18</v>
      </c>
      <c r="F270" s="5" t="s">
        <v>878</v>
      </c>
      <c r="G270" s="5">
        <f>_xlfn.XLOOKUP(C270,'Same Seller Hist'!E:E,'Same Seller Hist'!F:F)</f>
        <v>0</v>
      </c>
      <c r="H270" s="19">
        <f>_xlfn.IFNA(_xlfn.XLOOKUP(C270,'Shp 500'!D:D,'Shp 500'!I:I),0)</f>
        <v>0</v>
      </c>
      <c r="I270" s="19">
        <f>_xlfn.IFNA(_xlfn.XLOOKUP(C270,'Shp 500'!D:D,'Shp 500'!J:J),0)</f>
        <v>0</v>
      </c>
      <c r="J270" s="19">
        <v>293.54838709677421</v>
      </c>
      <c r="K270" s="19">
        <v>14948.387096774193</v>
      </c>
      <c r="L270" s="21" t="s">
        <v>2530</v>
      </c>
      <c r="M270" s="21" t="str">
        <f>IF(L270="Shp 500","Sim",IF(ISNA(_xlfn.XLOOKUP(C270,'Shp 500'!D:D,'Shp 500'!D:D)),"Não","Sim"))</f>
        <v>Não</v>
      </c>
      <c r="N270" s="21" t="str">
        <f>IF(L270="Fastmoss 500","Sim",IF(ISNA(_xlfn.XLOOKUP(_xlfn.XLOOKUP(C270,'Same Seller Hist'!E:E,'Same Seller Hist'!H:H),'Fastmoss 500'!D:D,'Fastmoss 500'!D:D)),"Não","Sim"))</f>
        <v>Sim</v>
      </c>
      <c r="O270" s="21" t="str">
        <f t="shared" si="12"/>
        <v>Não</v>
      </c>
      <c r="P270" s="21" t="str">
        <f t="shared" si="13"/>
        <v>Não</v>
      </c>
      <c r="Q270" s="21">
        <f t="shared" si="14"/>
        <v>1</v>
      </c>
    </row>
    <row r="271" spans="3:17" x14ac:dyDescent="0.35">
      <c r="C271" s="5">
        <f>_xlfn.XLOOKUP(F271,'Same Seller Hist'!H:H,'Same Seller Hist'!E:E)</f>
        <v>1467221745</v>
      </c>
      <c r="D271" s="5" t="str">
        <f>_xlfn.XLOOKUP(F271,'Same Seller Hist'!H:H,'Same Seller Hist'!D:D)</f>
        <v>Mizzil</v>
      </c>
      <c r="E271" s="5">
        <f>_xlfn.XLOOKUP(F271,'Same Seller Hist'!H:H,'Same Seller Hist'!I:I)</f>
        <v>7.4941550915097999E+18</v>
      </c>
      <c r="F271" s="5" t="s">
        <v>884</v>
      </c>
      <c r="G271" s="5">
        <f>_xlfn.XLOOKUP(C271,'Same Seller Hist'!E:E,'Same Seller Hist'!F:F)</f>
        <v>0</v>
      </c>
      <c r="H271" s="19">
        <f>_xlfn.IFNA(_xlfn.XLOOKUP(C271,'Shp 500'!D:D,'Shp 500'!I:I),0)</f>
        <v>0</v>
      </c>
      <c r="I271" s="19">
        <f>_xlfn.IFNA(_xlfn.XLOOKUP(C271,'Shp 500'!D:D,'Shp 500'!J:J),0)</f>
        <v>0</v>
      </c>
      <c r="J271" s="19">
        <v>290.32258064516128</v>
      </c>
      <c r="K271" s="19">
        <v>10722.58064516129</v>
      </c>
      <c r="L271" s="21" t="s">
        <v>2530</v>
      </c>
      <c r="M271" s="21" t="str">
        <f>IF(L271="Shp 500","Sim",IF(ISNA(_xlfn.XLOOKUP(C271,'Shp 500'!D:D,'Shp 500'!D:D)),"Não","Sim"))</f>
        <v>Não</v>
      </c>
      <c r="N271" s="21" t="str">
        <f>IF(L271="Fastmoss 500","Sim",IF(ISNA(_xlfn.XLOOKUP(_xlfn.XLOOKUP(C271,'Same Seller Hist'!E:E,'Same Seller Hist'!H:H),'Fastmoss 500'!D:D,'Fastmoss 500'!D:D)),"Não","Sim"))</f>
        <v>Sim</v>
      </c>
      <c r="O271" s="21" t="str">
        <f t="shared" si="12"/>
        <v>Não</v>
      </c>
      <c r="P271" s="21" t="str">
        <f t="shared" si="13"/>
        <v>Não</v>
      </c>
      <c r="Q271" s="21">
        <f t="shared" si="14"/>
        <v>1</v>
      </c>
    </row>
    <row r="272" spans="3:17" x14ac:dyDescent="0.35">
      <c r="C272" s="5">
        <f>_xlfn.XLOOKUP(F272,'Same Seller Hist'!H:H,'Same Seller Hist'!E:E)</f>
        <v>1344835721</v>
      </c>
      <c r="D272" s="5" t="str">
        <f>_xlfn.XLOOKUP(F272,'Same Seller Hist'!H:H,'Same Seller Hist'!D:D)</f>
        <v>MEGGAFLEX</v>
      </c>
      <c r="E272" s="5">
        <f>_xlfn.XLOOKUP(F272,'Same Seller Hist'!H:H,'Same Seller Hist'!I:I)</f>
        <v>7.4962286813403197E+18</v>
      </c>
      <c r="F272" s="5" t="s">
        <v>212</v>
      </c>
      <c r="G272" s="5" t="str">
        <f>_xlfn.XLOOKUP(C272,'Same Seller Hist'!E:E,'Same Seller Hist'!F:F)</f>
        <v>Lifestyle</v>
      </c>
      <c r="H272" s="19">
        <f>_xlfn.IFNA(_xlfn.XLOOKUP(C272,'Shp 500'!D:D,'Shp 500'!I:I),0)</f>
        <v>0</v>
      </c>
      <c r="I272" s="19">
        <f>_xlfn.IFNA(_xlfn.XLOOKUP(C272,'Shp 500'!D:D,'Shp 500'!J:J),0)</f>
        <v>0</v>
      </c>
      <c r="J272" s="19">
        <v>290.32258064516128</v>
      </c>
      <c r="K272" s="19">
        <v>32258.064516129034</v>
      </c>
      <c r="L272" s="21" t="s">
        <v>2530</v>
      </c>
      <c r="M272" s="21" t="str">
        <f>IF(L272="Shp 500","Sim",IF(ISNA(_xlfn.XLOOKUP(C272,'Shp 500'!D:D,'Shp 500'!D:D)),"Não","Sim"))</f>
        <v>Não</v>
      </c>
      <c r="N272" s="21" t="str">
        <f>IF(L272="Fastmoss 500","Sim",IF(ISNA(_xlfn.XLOOKUP(_xlfn.XLOOKUP(C272,'Same Seller Hist'!E:E,'Same Seller Hist'!H:H),'Fastmoss 500'!D:D,'Fastmoss 500'!D:D)),"Não","Sim"))</f>
        <v>Sim</v>
      </c>
      <c r="O272" s="21" t="str">
        <f t="shared" si="12"/>
        <v>Não</v>
      </c>
      <c r="P272" s="21" t="str">
        <f t="shared" si="13"/>
        <v>Não</v>
      </c>
      <c r="Q272" s="21">
        <f t="shared" si="14"/>
        <v>1</v>
      </c>
    </row>
    <row r="273" spans="3:17" x14ac:dyDescent="0.35">
      <c r="C273" s="5">
        <f>_xlfn.XLOOKUP(F273,'Same Seller Hist'!H:H,'Same Seller Hist'!E:E)</f>
        <v>1620515295</v>
      </c>
      <c r="D273" s="5" t="str">
        <f>_xlfn.XLOOKUP(F273,'Same Seller Hist'!H:H,'Same Seller Hist'!D:D)</f>
        <v>Manyoo BRSHOP</v>
      </c>
      <c r="E273" s="5">
        <f>_xlfn.XLOOKUP(F273,'Same Seller Hist'!H:H,'Same Seller Hist'!I:I)</f>
        <v>7.4942685548423096E+18</v>
      </c>
      <c r="F273" s="5" t="s">
        <v>879</v>
      </c>
      <c r="G273" s="5" t="str">
        <f>_xlfn.XLOOKUP(C273,'Same Seller Hist'!E:E,'Same Seller Hist'!F:F)</f>
        <v>Fashion</v>
      </c>
      <c r="H273" s="19">
        <f>_xlfn.IFNA(_xlfn.XLOOKUP(C273,'Shp 500'!D:D,'Shp 500'!I:I),0)</f>
        <v>0</v>
      </c>
      <c r="I273" s="19">
        <f>_xlfn.IFNA(_xlfn.XLOOKUP(C273,'Shp 500'!D:D,'Shp 500'!J:J),0)</f>
        <v>0</v>
      </c>
      <c r="J273" s="19">
        <v>287.09677419354841</v>
      </c>
      <c r="K273" s="19">
        <v>14380.645161290322</v>
      </c>
      <c r="L273" s="21" t="s">
        <v>2530</v>
      </c>
      <c r="M273" s="21" t="str">
        <f>IF(L273="Shp 500","Sim",IF(ISNA(_xlfn.XLOOKUP(C273,'Shp 500'!D:D,'Shp 500'!D:D)),"Não","Sim"))</f>
        <v>Não</v>
      </c>
      <c r="N273" s="21" t="str">
        <f>IF(L273="Fastmoss 500","Sim",IF(ISNA(_xlfn.XLOOKUP(_xlfn.XLOOKUP(C273,'Same Seller Hist'!E:E,'Same Seller Hist'!H:H),'Fastmoss 500'!D:D,'Fastmoss 500'!D:D)),"Não","Sim"))</f>
        <v>Sim</v>
      </c>
      <c r="O273" s="21" t="str">
        <f t="shared" si="12"/>
        <v>Não</v>
      </c>
      <c r="P273" s="21" t="str">
        <f t="shared" si="13"/>
        <v>Não</v>
      </c>
      <c r="Q273" s="21">
        <f t="shared" si="14"/>
        <v>1</v>
      </c>
    </row>
    <row r="274" spans="3:17" x14ac:dyDescent="0.35">
      <c r="C274" s="5">
        <f>_xlfn.XLOOKUP(F274,'Same Seller Hist'!H:H,'Same Seller Hist'!E:E)</f>
        <v>329201119</v>
      </c>
      <c r="D274" s="5" t="str">
        <f>_xlfn.XLOOKUP(F274,'Same Seller Hist'!H:H,'Same Seller Hist'!D:D)</f>
        <v>VirtualShopsp</v>
      </c>
      <c r="E274" s="5">
        <f>_xlfn.XLOOKUP(F274,'Same Seller Hist'!H:H,'Same Seller Hist'!I:I)</f>
        <v>7.4940938608383396E+18</v>
      </c>
      <c r="F274" s="5" t="s">
        <v>901</v>
      </c>
      <c r="G274" s="5">
        <f>_xlfn.XLOOKUP(C274,'Same Seller Hist'!E:E,'Same Seller Hist'!F:F)</f>
        <v>0</v>
      </c>
      <c r="H274" s="19">
        <f>_xlfn.IFNA(_xlfn.XLOOKUP(C274,'Shp 500'!D:D,'Shp 500'!I:I),0)</f>
        <v>0</v>
      </c>
      <c r="I274" s="19">
        <f>_xlfn.IFNA(_xlfn.XLOOKUP(C274,'Shp 500'!D:D,'Shp 500'!J:J),0)</f>
        <v>0</v>
      </c>
      <c r="J274" s="19">
        <v>287.09677419354841</v>
      </c>
      <c r="K274" s="19">
        <v>9658.0645161290322</v>
      </c>
      <c r="L274" s="21" t="s">
        <v>2530</v>
      </c>
      <c r="M274" s="21" t="str">
        <f>IF(L274="Shp 500","Sim",IF(ISNA(_xlfn.XLOOKUP(C274,'Shp 500'!D:D,'Shp 500'!D:D)),"Não","Sim"))</f>
        <v>Não</v>
      </c>
      <c r="N274" s="21" t="str">
        <f>IF(L274="Fastmoss 500","Sim",IF(ISNA(_xlfn.XLOOKUP(_xlfn.XLOOKUP(C274,'Same Seller Hist'!E:E,'Same Seller Hist'!H:H),'Fastmoss 500'!D:D,'Fastmoss 500'!D:D)),"Não","Sim"))</f>
        <v>Sim</v>
      </c>
      <c r="O274" s="21" t="str">
        <f t="shared" si="12"/>
        <v>Não</v>
      </c>
      <c r="P274" s="21" t="str">
        <f t="shared" si="13"/>
        <v>Não</v>
      </c>
      <c r="Q274" s="21">
        <f t="shared" si="14"/>
        <v>1</v>
      </c>
    </row>
    <row r="275" spans="3:17" x14ac:dyDescent="0.35">
      <c r="C275" s="5">
        <f>_xlfn.XLOOKUP(F275,'Same Seller Hist'!H:H,'Same Seller Hist'!E:E)</f>
        <v>378093609</v>
      </c>
      <c r="D275" s="5" t="str">
        <f>_xlfn.XLOOKUP(F275,'Same Seller Hist'!H:H,'Same Seller Hist'!D:D)</f>
        <v>Misuli.tk</v>
      </c>
      <c r="E275" s="5">
        <f>_xlfn.XLOOKUP(F275,'Same Seller Hist'!H:H,'Same Seller Hist'!I:I)</f>
        <v>7.4961811741606195E+18</v>
      </c>
      <c r="F275" s="5" t="s">
        <v>883</v>
      </c>
      <c r="G275" s="5">
        <f>_xlfn.XLOOKUP(C275,'Same Seller Hist'!E:E,'Same Seller Hist'!F:F)</f>
        <v>0</v>
      </c>
      <c r="H275" s="19">
        <f>_xlfn.IFNA(_xlfn.XLOOKUP(C275,'Shp 500'!D:D,'Shp 500'!I:I),0)</f>
        <v>0</v>
      </c>
      <c r="I275" s="19">
        <f>_xlfn.IFNA(_xlfn.XLOOKUP(C275,'Shp 500'!D:D,'Shp 500'!J:J),0)</f>
        <v>0</v>
      </c>
      <c r="J275" s="19">
        <v>283.87096774193549</v>
      </c>
      <c r="K275" s="19">
        <v>10267.741935483871</v>
      </c>
      <c r="L275" s="21" t="s">
        <v>2530</v>
      </c>
      <c r="M275" s="21" t="str">
        <f>IF(L275="Shp 500","Sim",IF(ISNA(_xlfn.XLOOKUP(C275,'Shp 500'!D:D,'Shp 500'!D:D)),"Não","Sim"))</f>
        <v>Não</v>
      </c>
      <c r="N275" s="21" t="str">
        <f>IF(L275="Fastmoss 500","Sim",IF(ISNA(_xlfn.XLOOKUP(_xlfn.XLOOKUP(C275,'Same Seller Hist'!E:E,'Same Seller Hist'!H:H),'Fastmoss 500'!D:D,'Fastmoss 500'!D:D)),"Não","Sim"))</f>
        <v>Sim</v>
      </c>
      <c r="O275" s="21" t="str">
        <f t="shared" si="12"/>
        <v>Não</v>
      </c>
      <c r="P275" s="21" t="str">
        <f t="shared" si="13"/>
        <v>Não</v>
      </c>
      <c r="Q275" s="21">
        <f t="shared" si="14"/>
        <v>1</v>
      </c>
    </row>
    <row r="276" spans="3:17" x14ac:dyDescent="0.35">
      <c r="C276" s="5">
        <f>_xlfn.XLOOKUP(F276,'Same Seller Hist'!H:H,'Same Seller Hist'!E:E)</f>
        <v>1484181071</v>
      </c>
      <c r="D276" s="5" t="str">
        <f>_xlfn.XLOOKUP(F276,'Same Seller Hist'!H:H,'Same Seller Hist'!D:D)</f>
        <v>JY Fitness BR</v>
      </c>
      <c r="E276" s="5">
        <f>_xlfn.XLOOKUP(F276,'Same Seller Hist'!H:H,'Same Seller Hist'!I:I)</f>
        <v>7.4961616565350902E+18</v>
      </c>
      <c r="F276" s="5" t="s">
        <v>279</v>
      </c>
      <c r="G276" s="5" t="str">
        <f>_xlfn.XLOOKUP(C276,'Same Seller Hist'!E:E,'Same Seller Hist'!F:F)</f>
        <v>Fashion</v>
      </c>
      <c r="H276" s="19">
        <f>_xlfn.IFNA(_xlfn.XLOOKUP(C276,'Shp 500'!D:D,'Shp 500'!I:I),0)</f>
        <v>0</v>
      </c>
      <c r="I276" s="19">
        <f>_xlfn.IFNA(_xlfn.XLOOKUP(C276,'Shp 500'!D:D,'Shp 500'!J:J),0)</f>
        <v>0</v>
      </c>
      <c r="J276" s="19">
        <v>283.87096774193549</v>
      </c>
      <c r="K276" s="19">
        <v>11345.161290322581</v>
      </c>
      <c r="L276" s="21" t="s">
        <v>2530</v>
      </c>
      <c r="M276" s="21" t="str">
        <f>IF(L276="Shp 500","Sim",IF(ISNA(_xlfn.XLOOKUP(C276,'Shp 500'!D:D,'Shp 500'!D:D)),"Não","Sim"))</f>
        <v>Não</v>
      </c>
      <c r="N276" s="21" t="str">
        <f>IF(L276="Fastmoss 500","Sim",IF(ISNA(_xlfn.XLOOKUP(_xlfn.XLOOKUP(C276,'Same Seller Hist'!E:E,'Same Seller Hist'!H:H),'Fastmoss 500'!D:D,'Fastmoss 500'!D:D)),"Não","Sim"))</f>
        <v>Sim</v>
      </c>
      <c r="O276" s="21" t="str">
        <f t="shared" si="12"/>
        <v>Não</v>
      </c>
      <c r="P276" s="21" t="str">
        <f t="shared" si="13"/>
        <v>Não</v>
      </c>
      <c r="Q276" s="21">
        <f t="shared" si="14"/>
        <v>1</v>
      </c>
    </row>
    <row r="277" spans="3:17" x14ac:dyDescent="0.35">
      <c r="C277" s="5">
        <v>1264631014</v>
      </c>
      <c r="D277" s="5" t="s">
        <v>1606</v>
      </c>
      <c r="E277" s="5">
        <f>_xlfn.XLOOKUP(C277,'Same Seller Hist'!E:E,'Same Seller Hist'!I:I)</f>
        <v>7.4961616106136197E+18</v>
      </c>
      <c r="F277" s="5" t="str">
        <f>_xlfn.XLOOKUP(C277,'Same Seller Hist'!E:E,'Same Seller Hist'!H:H)</f>
        <v>TOP VIDA BRASIL</v>
      </c>
      <c r="G277" s="5" t="s">
        <v>1734</v>
      </c>
      <c r="H277" s="19">
        <v>974.32258064515815</v>
      </c>
      <c r="I277" s="19">
        <v>7077.4793647981296</v>
      </c>
      <c r="J277" s="19">
        <f>_xlfn.IFNA(_xlfn.XLOOKUP(F277,'Fastmoss 500'!D:D,'Fastmoss 500'!O:O),0)</f>
        <v>1083.8709677419354</v>
      </c>
      <c r="K277" s="19">
        <f>_xlfn.IFNA(_xlfn.XLOOKUP(F277,'Fastmoss 500'!D:D,'Fastmoss 500'!N:N),0)</f>
        <v>45161.290322580644</v>
      </c>
      <c r="L277" s="21" t="s">
        <v>2528</v>
      </c>
      <c r="M277" s="21" t="str">
        <f>IF(L277="Shp 500","Sim",IF(ISNA(_xlfn.XLOOKUP(C277,'Shp 500'!D:D,'Shp 500'!D:D)),"Não","Sim"))</f>
        <v>Sim</v>
      </c>
      <c r="N277" s="21" t="str">
        <f>IF(L277="Fastmoss 500","Sim",IF(ISNA(_xlfn.XLOOKUP(_xlfn.XLOOKUP(C277,'Same Seller Hist'!E:E,'Same Seller Hist'!H:H),'Fastmoss 500'!D:D,'Fastmoss 500'!D:D)),"Não","Sim"))</f>
        <v>Sim</v>
      </c>
      <c r="O277" s="21" t="str">
        <f t="shared" si="12"/>
        <v>Sim</v>
      </c>
      <c r="P277" s="21" t="str">
        <f t="shared" si="13"/>
        <v>Não</v>
      </c>
      <c r="Q277" s="21">
        <f t="shared" si="14"/>
        <v>1</v>
      </c>
    </row>
    <row r="278" spans="3:17" x14ac:dyDescent="0.35">
      <c r="C278" s="5">
        <f>_xlfn.XLOOKUP(F278,'Same Seller Hist'!H:H,'Same Seller Hist'!E:E)</f>
        <v>1356910862</v>
      </c>
      <c r="D278" s="5" t="str">
        <f>_xlfn.XLOOKUP(F278,'Same Seller Hist'!H:H,'Same Seller Hist'!D:D)</f>
        <v>novo comecio</v>
      </c>
      <c r="E278" s="5">
        <f>_xlfn.XLOOKUP(F278,'Same Seller Hist'!H:H,'Same Seller Hist'!I:I)</f>
        <v>7.4962128284029102E+18</v>
      </c>
      <c r="F278" s="5" t="s">
        <v>214</v>
      </c>
      <c r="G278" s="5" t="str">
        <f>_xlfn.XLOOKUP(C278,'Same Seller Hist'!E:E,'Same Seller Hist'!F:F)</f>
        <v>ELHA</v>
      </c>
      <c r="H278" s="19">
        <f>_xlfn.IFNA(_xlfn.XLOOKUP(C278,'Shp 500'!D:D,'Shp 500'!I:I),0)</f>
        <v>0</v>
      </c>
      <c r="I278" s="19">
        <f>_xlfn.IFNA(_xlfn.XLOOKUP(C278,'Shp 500'!D:D,'Shp 500'!J:J),0)</f>
        <v>0</v>
      </c>
      <c r="J278" s="19">
        <v>280.64516129032256</v>
      </c>
      <c r="K278" s="19">
        <v>13951.612903225807</v>
      </c>
      <c r="L278" s="21" t="s">
        <v>2530</v>
      </c>
      <c r="M278" s="21" t="str">
        <f>IF(L278="Shp 500","Sim",IF(ISNA(_xlfn.XLOOKUP(C278,'Shp 500'!D:D,'Shp 500'!D:D)),"Não","Sim"))</f>
        <v>Não</v>
      </c>
      <c r="N278" s="21" t="str">
        <f>IF(L278="Fastmoss 500","Sim",IF(ISNA(_xlfn.XLOOKUP(_xlfn.XLOOKUP(C278,'Same Seller Hist'!E:E,'Same Seller Hist'!H:H),'Fastmoss 500'!D:D,'Fastmoss 500'!D:D)),"Não","Sim"))</f>
        <v>Sim</v>
      </c>
      <c r="O278" s="21" t="str">
        <f t="shared" si="12"/>
        <v>Não</v>
      </c>
      <c r="P278" s="21" t="str">
        <f t="shared" si="13"/>
        <v>Não</v>
      </c>
      <c r="Q278" s="21">
        <f t="shared" si="14"/>
        <v>1</v>
      </c>
    </row>
    <row r="279" spans="3:17" x14ac:dyDescent="0.35">
      <c r="C279" s="5">
        <f>_xlfn.XLOOKUP(F279,'Same Seller Hist'!H:H,'Same Seller Hist'!E:E)</f>
        <v>421577530</v>
      </c>
      <c r="D279" s="5" t="str">
        <f>_xlfn.XLOOKUP(F279,'Same Seller Hist'!H:H,'Same Seller Hist'!D:D)</f>
        <v>ZIZZI MODA</v>
      </c>
      <c r="E279" s="5">
        <f>_xlfn.XLOOKUP(F279,'Same Seller Hist'!H:H,'Same Seller Hist'!I:I)</f>
        <v>7.4941325565380803E+18</v>
      </c>
      <c r="F279" s="5" t="s">
        <v>902</v>
      </c>
      <c r="G279" s="5">
        <f>_xlfn.XLOOKUP(C279,'Same Seller Hist'!E:E,'Same Seller Hist'!F:F)</f>
        <v>0</v>
      </c>
      <c r="H279" s="19">
        <f>_xlfn.IFNA(_xlfn.XLOOKUP(C279,'Shp 500'!D:D,'Shp 500'!I:I),0)</f>
        <v>0</v>
      </c>
      <c r="I279" s="19">
        <f>_xlfn.IFNA(_xlfn.XLOOKUP(C279,'Shp 500'!D:D,'Shp 500'!J:J),0)</f>
        <v>0</v>
      </c>
      <c r="J279" s="19">
        <v>280.64516129032256</v>
      </c>
      <c r="K279" s="19">
        <v>8800</v>
      </c>
      <c r="L279" s="21" t="s">
        <v>2530</v>
      </c>
      <c r="M279" s="21" t="str">
        <f>IF(L279="Shp 500","Sim",IF(ISNA(_xlfn.XLOOKUP(C279,'Shp 500'!D:D,'Shp 500'!D:D)),"Não","Sim"))</f>
        <v>Não</v>
      </c>
      <c r="N279" s="21" t="str">
        <f>IF(L279="Fastmoss 500","Sim",IF(ISNA(_xlfn.XLOOKUP(_xlfn.XLOOKUP(C279,'Same Seller Hist'!E:E,'Same Seller Hist'!H:H),'Fastmoss 500'!D:D,'Fastmoss 500'!D:D)),"Não","Sim"))</f>
        <v>Sim</v>
      </c>
      <c r="O279" s="21" t="str">
        <f t="shared" si="12"/>
        <v>Não</v>
      </c>
      <c r="P279" s="21" t="str">
        <f t="shared" si="13"/>
        <v>Não</v>
      </c>
      <c r="Q279" s="21">
        <f t="shared" si="14"/>
        <v>1</v>
      </c>
    </row>
    <row r="280" spans="3:17" x14ac:dyDescent="0.35">
      <c r="C280" s="5">
        <v>1267153913</v>
      </c>
      <c r="D280" s="5" t="s">
        <v>1450</v>
      </c>
      <c r="E280" s="5">
        <f>_xlfn.XLOOKUP(C280,'Same Seller Hist'!E:E,'Same Seller Hist'!I:I)</f>
        <v>7.4961665766555904E+18</v>
      </c>
      <c r="F280" s="5" t="str">
        <f>_xlfn.XLOOKUP(C280,'Same Seller Hist'!E:E,'Same Seller Hist'!H:H)</f>
        <v>TG ZDQ</v>
      </c>
      <c r="G280" s="5" t="s">
        <v>1734</v>
      </c>
      <c r="H280" s="19">
        <v>1352.1935483870934</v>
      </c>
      <c r="I280" s="19">
        <v>11585.943751508485</v>
      </c>
      <c r="J280" s="19">
        <f>_xlfn.IFNA(_xlfn.XLOOKUP(F280,'Fastmoss 500'!D:D,'Fastmoss 500'!O:O),0)</f>
        <v>967.74193548387098</v>
      </c>
      <c r="K280" s="19">
        <f>_xlfn.IFNA(_xlfn.XLOOKUP(F280,'Fastmoss 500'!D:D,'Fastmoss 500'!N:N),0)</f>
        <v>38709.677419354841</v>
      </c>
      <c r="L280" s="21" t="s">
        <v>2528</v>
      </c>
      <c r="M280" s="21" t="str">
        <f>IF(L280="Shp 500","Sim",IF(ISNA(_xlfn.XLOOKUP(C280,'Shp 500'!D:D,'Shp 500'!D:D)),"Não","Sim"))</f>
        <v>Sim</v>
      </c>
      <c r="N280" s="21" t="str">
        <f>IF(L280="Fastmoss 500","Sim",IF(ISNA(_xlfn.XLOOKUP(_xlfn.XLOOKUP(C280,'Same Seller Hist'!E:E,'Same Seller Hist'!H:H),'Fastmoss 500'!D:D,'Fastmoss 500'!D:D)),"Não","Sim"))</f>
        <v>Sim</v>
      </c>
      <c r="O280" s="21" t="str">
        <f t="shared" si="12"/>
        <v>Sim</v>
      </c>
      <c r="P280" s="21" t="str">
        <f t="shared" si="13"/>
        <v>Não</v>
      </c>
      <c r="Q280" s="21">
        <f t="shared" si="14"/>
        <v>1</v>
      </c>
    </row>
    <row r="281" spans="3:17" x14ac:dyDescent="0.35">
      <c r="C281" s="5">
        <f>_xlfn.XLOOKUP(F281,'Same Seller Hist'!H:H,'Same Seller Hist'!E:E)</f>
        <v>1059419518</v>
      </c>
      <c r="D281" s="5" t="str">
        <f>_xlfn.XLOOKUP(F281,'Same Seller Hist'!H:H,'Same Seller Hist'!D:D)</f>
        <v>Bigens</v>
      </c>
      <c r="E281" s="5">
        <f>_xlfn.XLOOKUP(F281,'Same Seller Hist'!H:H,'Same Seller Hist'!I:I)</f>
        <v>7.4962124994014996E+18</v>
      </c>
      <c r="F281" s="5" t="s">
        <v>85</v>
      </c>
      <c r="G281" s="5" t="str">
        <f>_xlfn.XLOOKUP(C281,'Same Seller Hist'!E:E,'Same Seller Hist'!F:F)</f>
        <v>FMCG</v>
      </c>
      <c r="H281" s="19">
        <f>_xlfn.IFNA(_xlfn.XLOOKUP(C281,'Shp 500'!D:D,'Shp 500'!I:I),0)</f>
        <v>0</v>
      </c>
      <c r="I281" s="19">
        <f>_xlfn.IFNA(_xlfn.XLOOKUP(C281,'Shp 500'!D:D,'Shp 500'!J:J),0)</f>
        <v>0</v>
      </c>
      <c r="J281" s="19">
        <v>277.41935483870969</v>
      </c>
      <c r="K281" s="19">
        <v>15277.41935483871</v>
      </c>
      <c r="L281" s="21" t="s">
        <v>2530</v>
      </c>
      <c r="M281" s="21" t="str">
        <f>IF(L281="Shp 500","Sim",IF(ISNA(_xlfn.XLOOKUP(C281,'Shp 500'!D:D,'Shp 500'!D:D)),"Não","Sim"))</f>
        <v>Não</v>
      </c>
      <c r="N281" s="21" t="str">
        <f>IF(L281="Fastmoss 500","Sim",IF(ISNA(_xlfn.XLOOKUP(_xlfn.XLOOKUP(C281,'Same Seller Hist'!E:E,'Same Seller Hist'!H:H),'Fastmoss 500'!D:D,'Fastmoss 500'!D:D)),"Não","Sim"))</f>
        <v>Sim</v>
      </c>
      <c r="O281" s="21" t="str">
        <f t="shared" si="12"/>
        <v>Não</v>
      </c>
      <c r="P281" s="21" t="str">
        <f t="shared" si="13"/>
        <v>Não</v>
      </c>
      <c r="Q281" s="21">
        <f t="shared" si="14"/>
        <v>1</v>
      </c>
    </row>
    <row r="282" spans="3:17" x14ac:dyDescent="0.35">
      <c r="C282" s="5">
        <f>_xlfn.XLOOKUP(F282,'Same Seller Hist'!H:H,'Same Seller Hist'!E:E)</f>
        <v>1494273370</v>
      </c>
      <c r="D282" s="5" t="str">
        <f>_xlfn.XLOOKUP(F282,'Same Seller Hist'!H:H,'Same Seller Hist'!D:D)</f>
        <v>CY-Tang</v>
      </c>
      <c r="E282" s="5">
        <f>_xlfn.XLOOKUP(F282,'Same Seller Hist'!H:H,'Same Seller Hist'!I:I)</f>
        <v>7.49618619827405E+18</v>
      </c>
      <c r="F282" s="5" t="s">
        <v>284</v>
      </c>
      <c r="G282" s="5" t="str">
        <f>_xlfn.XLOOKUP(C282,'Same Seller Hist'!E:E,'Same Seller Hist'!F:F)</f>
        <v>ELHA</v>
      </c>
      <c r="H282" s="19">
        <f>_xlfn.IFNA(_xlfn.XLOOKUP(C282,'Shp 500'!D:D,'Shp 500'!I:I),0)</f>
        <v>0</v>
      </c>
      <c r="I282" s="19">
        <f>_xlfn.IFNA(_xlfn.XLOOKUP(C282,'Shp 500'!D:D,'Shp 500'!J:J),0)</f>
        <v>0</v>
      </c>
      <c r="J282" s="19">
        <v>274.19354838709677</v>
      </c>
      <c r="K282" s="19">
        <v>3535.483870967742</v>
      </c>
      <c r="L282" s="21" t="s">
        <v>2530</v>
      </c>
      <c r="M282" s="21" t="str">
        <f>IF(L282="Shp 500","Sim",IF(ISNA(_xlfn.XLOOKUP(C282,'Shp 500'!D:D,'Shp 500'!D:D)),"Não","Sim"))</f>
        <v>Não</v>
      </c>
      <c r="N282" s="21" t="str">
        <f>IF(L282="Fastmoss 500","Sim",IF(ISNA(_xlfn.XLOOKUP(_xlfn.XLOOKUP(C282,'Same Seller Hist'!E:E,'Same Seller Hist'!H:H),'Fastmoss 500'!D:D,'Fastmoss 500'!D:D)),"Não","Sim"))</f>
        <v>Sim</v>
      </c>
      <c r="O282" s="21" t="str">
        <f t="shared" si="12"/>
        <v>Não</v>
      </c>
      <c r="P282" s="21" t="str">
        <f t="shared" si="13"/>
        <v>Não</v>
      </c>
      <c r="Q282" s="21">
        <f t="shared" si="14"/>
        <v>1</v>
      </c>
    </row>
    <row r="283" spans="3:17" x14ac:dyDescent="0.35">
      <c r="C283" s="5">
        <f>_xlfn.XLOOKUP(F283,'Same Seller Hist'!H:H,'Same Seller Hist'!E:E)</f>
        <v>1373548058</v>
      </c>
      <c r="D283" s="5" t="str">
        <f>_xlfn.XLOOKUP(F283,'Same Seller Hist'!H:H,'Same Seller Hist'!D:D)</f>
        <v>SambaShop.br</v>
      </c>
      <c r="E283" s="5">
        <f>_xlfn.XLOOKUP(F283,'Same Seller Hist'!H:H,'Same Seller Hist'!I:I)</f>
        <v>7.4961632432399596E+18</v>
      </c>
      <c r="F283" s="5" t="s">
        <v>223</v>
      </c>
      <c r="G283" s="5" t="str">
        <f>_xlfn.XLOOKUP(C283,'Same Seller Hist'!E:E,'Same Seller Hist'!F:F)</f>
        <v>FMCG</v>
      </c>
      <c r="H283" s="19">
        <f>_xlfn.IFNA(_xlfn.XLOOKUP(C283,'Shp 500'!D:D,'Shp 500'!I:I),0)</f>
        <v>0</v>
      </c>
      <c r="I283" s="19">
        <f>_xlfn.IFNA(_xlfn.XLOOKUP(C283,'Shp 500'!D:D,'Shp 500'!J:J),0)</f>
        <v>0</v>
      </c>
      <c r="J283" s="19">
        <v>274.19354838709677</v>
      </c>
      <c r="K283" s="19">
        <v>14870.967741935483</v>
      </c>
      <c r="L283" s="21" t="s">
        <v>2530</v>
      </c>
      <c r="M283" s="21" t="str">
        <f>IF(L283="Shp 500","Sim",IF(ISNA(_xlfn.XLOOKUP(C283,'Shp 500'!D:D,'Shp 500'!D:D)),"Não","Sim"))</f>
        <v>Não</v>
      </c>
      <c r="N283" s="21" t="str">
        <f>IF(L283="Fastmoss 500","Sim",IF(ISNA(_xlfn.XLOOKUP(_xlfn.XLOOKUP(C283,'Same Seller Hist'!E:E,'Same Seller Hist'!H:H),'Fastmoss 500'!D:D,'Fastmoss 500'!D:D)),"Não","Sim"))</f>
        <v>Sim</v>
      </c>
      <c r="O283" s="21" t="str">
        <f t="shared" si="12"/>
        <v>Não</v>
      </c>
      <c r="P283" s="21" t="str">
        <f t="shared" si="13"/>
        <v>Não</v>
      </c>
      <c r="Q283" s="21">
        <f t="shared" si="14"/>
        <v>1</v>
      </c>
    </row>
    <row r="284" spans="3:17" x14ac:dyDescent="0.35">
      <c r="C284" s="5">
        <f>_xlfn.XLOOKUP(F284,'Same Seller Hist'!H:H,'Same Seller Hist'!E:E)</f>
        <v>653062442</v>
      </c>
      <c r="D284" s="5" t="str">
        <f>_xlfn.XLOOKUP(F284,'Same Seller Hist'!H:H,'Same Seller Hist'!D:D)</f>
        <v>NK3 MODA</v>
      </c>
      <c r="E284" s="5">
        <f>_xlfn.XLOOKUP(F284,'Same Seller Hist'!H:H,'Same Seller Hist'!I:I)</f>
        <v>7.4961604234137098E+18</v>
      </c>
      <c r="F284" s="5" t="s">
        <v>661</v>
      </c>
      <c r="G284" s="5" t="str">
        <f>_xlfn.XLOOKUP(C284,'Same Seller Hist'!E:E,'Same Seller Hist'!F:F)</f>
        <v>Fashion</v>
      </c>
      <c r="H284" s="19">
        <f>_xlfn.IFNA(_xlfn.XLOOKUP(C284,'Shp 500'!D:D,'Shp 500'!I:I),0)</f>
        <v>0</v>
      </c>
      <c r="I284" s="19">
        <f>_xlfn.IFNA(_xlfn.XLOOKUP(C284,'Shp 500'!D:D,'Shp 500'!J:J),0)</f>
        <v>0</v>
      </c>
      <c r="J284" s="19">
        <v>270.96774193548384</v>
      </c>
      <c r="K284" s="19">
        <v>9145.1612903225814</v>
      </c>
      <c r="L284" s="21" t="s">
        <v>2530</v>
      </c>
      <c r="M284" s="21" t="str">
        <f>IF(L284="Shp 500","Sim",IF(ISNA(_xlfn.XLOOKUP(C284,'Shp 500'!D:D,'Shp 500'!D:D)),"Não","Sim"))</f>
        <v>Não</v>
      </c>
      <c r="N284" s="21" t="str">
        <f>IF(L284="Fastmoss 500","Sim",IF(ISNA(_xlfn.XLOOKUP(_xlfn.XLOOKUP(C284,'Same Seller Hist'!E:E,'Same Seller Hist'!H:H),'Fastmoss 500'!D:D,'Fastmoss 500'!D:D)),"Não","Sim"))</f>
        <v>Sim</v>
      </c>
      <c r="O284" s="21" t="str">
        <f t="shared" si="12"/>
        <v>Não</v>
      </c>
      <c r="P284" s="21" t="str">
        <f t="shared" si="13"/>
        <v>Não</v>
      </c>
      <c r="Q284" s="21">
        <f t="shared" si="14"/>
        <v>1</v>
      </c>
    </row>
    <row r="285" spans="3:17" x14ac:dyDescent="0.35">
      <c r="C285" s="5">
        <f>_xlfn.XLOOKUP(F285,'Same Seller Hist'!H:H,'Same Seller Hist'!E:E)</f>
        <v>329658446</v>
      </c>
      <c r="D285" s="5" t="str">
        <f>_xlfn.XLOOKUP(F285,'Same Seller Hist'!H:H,'Same Seller Hist'!D:D)</f>
        <v>JL MODAS</v>
      </c>
      <c r="E285" s="5">
        <f>_xlfn.XLOOKUP(F285,'Same Seller Hist'!H:H,'Same Seller Hist'!I:I)</f>
        <v>7.4961820418040402E+18</v>
      </c>
      <c r="F285" s="5" t="s">
        <v>433</v>
      </c>
      <c r="G285" s="5" t="str">
        <f>_xlfn.XLOOKUP(C285,'Same Seller Hist'!E:E,'Same Seller Hist'!F:F)</f>
        <v>Fashion</v>
      </c>
      <c r="H285" s="19">
        <f>_xlfn.IFNA(_xlfn.XLOOKUP(C285,'Shp 500'!D:D,'Shp 500'!I:I),0)</f>
        <v>0</v>
      </c>
      <c r="I285" s="19">
        <f>_xlfn.IFNA(_xlfn.XLOOKUP(C285,'Shp 500'!D:D,'Shp 500'!J:J),0)</f>
        <v>0</v>
      </c>
      <c r="J285" s="19">
        <v>270.96774193548384</v>
      </c>
      <c r="K285" s="19">
        <v>10867.741935483871</v>
      </c>
      <c r="L285" s="21" t="s">
        <v>2530</v>
      </c>
      <c r="M285" s="21" t="str">
        <f>IF(L285="Shp 500","Sim",IF(ISNA(_xlfn.XLOOKUP(C285,'Shp 500'!D:D,'Shp 500'!D:D)),"Não","Sim"))</f>
        <v>Não</v>
      </c>
      <c r="N285" s="21" t="str">
        <f>IF(L285="Fastmoss 500","Sim",IF(ISNA(_xlfn.XLOOKUP(_xlfn.XLOOKUP(C285,'Same Seller Hist'!E:E,'Same Seller Hist'!H:H),'Fastmoss 500'!D:D,'Fastmoss 500'!D:D)),"Não","Sim"))</f>
        <v>Sim</v>
      </c>
      <c r="O285" s="21" t="str">
        <f t="shared" si="12"/>
        <v>Não</v>
      </c>
      <c r="P285" s="21" t="str">
        <f t="shared" si="13"/>
        <v>Não</v>
      </c>
      <c r="Q285" s="21">
        <f t="shared" si="14"/>
        <v>1</v>
      </c>
    </row>
    <row r="286" spans="3:17" x14ac:dyDescent="0.35">
      <c r="C286" s="5">
        <f>_xlfn.XLOOKUP(F286,'Same Seller Hist'!H:H,'Same Seller Hist'!E:E)</f>
        <v>428748361</v>
      </c>
      <c r="D286" s="5" t="str">
        <f>_xlfn.XLOOKUP(F286,'Same Seller Hist'!H:H,'Same Seller Hist'!D:D)</f>
        <v>Grupo Paraíso MDF</v>
      </c>
      <c r="E286" s="5">
        <f>_xlfn.XLOOKUP(F286,'Same Seller Hist'!H:H,'Same Seller Hist'!I:I)</f>
        <v>7.4961831329418097E+18</v>
      </c>
      <c r="F286" s="5" t="s">
        <v>567</v>
      </c>
      <c r="G286" s="5" t="str">
        <f>_xlfn.XLOOKUP(C286,'Same Seller Hist'!E:E,'Same Seller Hist'!F:F)</f>
        <v>Lifestyle</v>
      </c>
      <c r="H286" s="19">
        <f>_xlfn.IFNA(_xlfn.XLOOKUP(C286,'Shp 500'!D:D,'Shp 500'!I:I),0)</f>
        <v>0</v>
      </c>
      <c r="I286" s="19">
        <f>_xlfn.IFNA(_xlfn.XLOOKUP(C286,'Shp 500'!D:D,'Shp 500'!J:J),0)</f>
        <v>0</v>
      </c>
      <c r="J286" s="19">
        <v>270.96774193548384</v>
      </c>
      <c r="K286" s="19">
        <v>6080.6451612903229</v>
      </c>
      <c r="L286" s="21" t="s">
        <v>2530</v>
      </c>
      <c r="M286" s="21" t="str">
        <f>IF(L286="Shp 500","Sim",IF(ISNA(_xlfn.XLOOKUP(C286,'Shp 500'!D:D,'Shp 500'!D:D)),"Não","Sim"))</f>
        <v>Não</v>
      </c>
      <c r="N286" s="21" t="str">
        <f>IF(L286="Fastmoss 500","Sim",IF(ISNA(_xlfn.XLOOKUP(_xlfn.XLOOKUP(C286,'Same Seller Hist'!E:E,'Same Seller Hist'!H:H),'Fastmoss 500'!D:D,'Fastmoss 500'!D:D)),"Não","Sim"))</f>
        <v>Sim</v>
      </c>
      <c r="O286" s="21" t="str">
        <f t="shared" si="12"/>
        <v>Não</v>
      </c>
      <c r="P286" s="21" t="str">
        <f t="shared" si="13"/>
        <v>Não</v>
      </c>
      <c r="Q286" s="21">
        <f t="shared" si="14"/>
        <v>1</v>
      </c>
    </row>
    <row r="287" spans="3:17" x14ac:dyDescent="0.35">
      <c r="C287" s="5">
        <f>_xlfn.XLOOKUP(F287,'Same Seller Hist'!H:H,'Same Seller Hist'!E:E)</f>
        <v>254374331</v>
      </c>
      <c r="D287" s="5" t="str">
        <f>_xlfn.XLOOKUP(F287,'Same Seller Hist'!H:H,'Same Seller Hist'!D:D)</f>
        <v>CasaMix Brasil</v>
      </c>
      <c r="E287" s="5">
        <f>_xlfn.XLOOKUP(F287,'Same Seller Hist'!H:H,'Same Seller Hist'!I:I)</f>
        <v>7.4941014030618798E+18</v>
      </c>
      <c r="F287" s="5" t="s">
        <v>358</v>
      </c>
      <c r="G287" s="5" t="str">
        <f>_xlfn.XLOOKUP(C287,'Same Seller Hist'!E:E,'Same Seller Hist'!F:F)</f>
        <v>FMCG</v>
      </c>
      <c r="H287" s="19">
        <f>_xlfn.IFNA(_xlfn.XLOOKUP(C287,'Shp 500'!D:D,'Shp 500'!I:I),0)</f>
        <v>0</v>
      </c>
      <c r="I287" s="19">
        <f>_xlfn.IFNA(_xlfn.XLOOKUP(C287,'Shp 500'!D:D,'Shp 500'!J:J),0)</f>
        <v>0</v>
      </c>
      <c r="J287" s="19">
        <v>267.74193548387098</v>
      </c>
      <c r="K287" s="19">
        <v>16535.483870967742</v>
      </c>
      <c r="L287" s="21" t="s">
        <v>2530</v>
      </c>
      <c r="M287" s="21" t="str">
        <f>IF(L287="Shp 500","Sim",IF(ISNA(_xlfn.XLOOKUP(C287,'Shp 500'!D:D,'Shp 500'!D:D)),"Não","Sim"))</f>
        <v>Não</v>
      </c>
      <c r="N287" s="21" t="str">
        <f>IF(L287="Fastmoss 500","Sim",IF(ISNA(_xlfn.XLOOKUP(_xlfn.XLOOKUP(C287,'Same Seller Hist'!E:E,'Same Seller Hist'!H:H),'Fastmoss 500'!D:D,'Fastmoss 500'!D:D)),"Não","Sim"))</f>
        <v>Sim</v>
      </c>
      <c r="O287" s="21" t="str">
        <f t="shared" si="12"/>
        <v>Não</v>
      </c>
      <c r="P287" s="21" t="str">
        <f t="shared" si="13"/>
        <v>Não</v>
      </c>
      <c r="Q287" s="21">
        <f t="shared" si="14"/>
        <v>1</v>
      </c>
    </row>
    <row r="288" spans="3:17" x14ac:dyDescent="0.35">
      <c r="C288" s="5">
        <f>_xlfn.XLOOKUP(F288,'Same Seller Hist'!H:H,'Same Seller Hist'!E:E)</f>
        <v>719923009</v>
      </c>
      <c r="D288" s="5" t="str">
        <f>_xlfn.XLOOKUP(F288,'Same Seller Hist'!H:H,'Same Seller Hist'!D:D)</f>
        <v>Embelleze</v>
      </c>
      <c r="E288" s="5">
        <f>_xlfn.XLOOKUP(F288,'Same Seller Hist'!H:H,'Same Seller Hist'!I:I)</f>
        <v>7.4961612845005199E+18</v>
      </c>
      <c r="F288" s="5" t="s">
        <v>686</v>
      </c>
      <c r="G288" s="5" t="str">
        <f>_xlfn.XLOOKUP(C288,'Same Seller Hist'!E:E,'Same Seller Hist'!F:F)</f>
        <v>FMCG</v>
      </c>
      <c r="H288" s="19">
        <f>_xlfn.IFNA(_xlfn.XLOOKUP(C288,'Shp 500'!D:D,'Shp 500'!I:I),0)</f>
        <v>0</v>
      </c>
      <c r="I288" s="19">
        <f>_xlfn.IFNA(_xlfn.XLOOKUP(C288,'Shp 500'!D:D,'Shp 500'!J:J),0)</f>
        <v>0</v>
      </c>
      <c r="J288" s="19">
        <v>267.74193548387098</v>
      </c>
      <c r="K288" s="19">
        <v>5109.677419354839</v>
      </c>
      <c r="L288" s="21" t="s">
        <v>2530</v>
      </c>
      <c r="M288" s="21" t="str">
        <f>IF(L288="Shp 500","Sim",IF(ISNA(_xlfn.XLOOKUP(C288,'Shp 500'!D:D,'Shp 500'!D:D)),"Não","Sim"))</f>
        <v>Não</v>
      </c>
      <c r="N288" s="21" t="str">
        <f>IF(L288="Fastmoss 500","Sim",IF(ISNA(_xlfn.XLOOKUP(_xlfn.XLOOKUP(C288,'Same Seller Hist'!E:E,'Same Seller Hist'!H:H),'Fastmoss 500'!D:D,'Fastmoss 500'!D:D)),"Não","Sim"))</f>
        <v>Sim</v>
      </c>
      <c r="O288" s="21" t="str">
        <f t="shared" si="12"/>
        <v>Não</v>
      </c>
      <c r="P288" s="21" t="str">
        <f t="shared" si="13"/>
        <v>Não</v>
      </c>
      <c r="Q288" s="21">
        <f t="shared" si="14"/>
        <v>1</v>
      </c>
    </row>
    <row r="289" spans="3:17" x14ac:dyDescent="0.35">
      <c r="C289" s="5">
        <f>_xlfn.XLOOKUP(F289,'Same Seller Hist'!H:H,'Same Seller Hist'!E:E)</f>
        <v>1000085085</v>
      </c>
      <c r="D289" s="5" t="str">
        <f>_xlfn.XLOOKUP(F289,'Same Seller Hist'!H:H,'Same Seller Hist'!D:D)</f>
        <v>hot stars</v>
      </c>
      <c r="E289" s="5">
        <f>_xlfn.XLOOKUP(F289,'Same Seller Hist'!H:H,'Same Seller Hist'!I:I)</f>
        <v>7.49418008488781E+18</v>
      </c>
      <c r="F289" s="5" t="s">
        <v>864</v>
      </c>
      <c r="G289" s="5">
        <f>_xlfn.XLOOKUP(C289,'Same Seller Hist'!E:E,'Same Seller Hist'!F:F)</f>
        <v>0</v>
      </c>
      <c r="H289" s="19">
        <f>_xlfn.IFNA(_xlfn.XLOOKUP(C289,'Shp 500'!D:D,'Shp 500'!I:I),0)</f>
        <v>0</v>
      </c>
      <c r="I289" s="19">
        <f>_xlfn.IFNA(_xlfn.XLOOKUP(C289,'Shp 500'!D:D,'Shp 500'!J:J),0)</f>
        <v>0</v>
      </c>
      <c r="J289" s="19">
        <v>264.51612903225805</v>
      </c>
      <c r="K289" s="19">
        <v>14329.032258064517</v>
      </c>
      <c r="L289" s="21" t="s">
        <v>2530</v>
      </c>
      <c r="M289" s="21" t="str">
        <f>IF(L289="Shp 500","Sim",IF(ISNA(_xlfn.XLOOKUP(C289,'Shp 500'!D:D,'Shp 500'!D:D)),"Não","Sim"))</f>
        <v>Não</v>
      </c>
      <c r="N289" s="21" t="str">
        <f>IF(L289="Fastmoss 500","Sim",IF(ISNA(_xlfn.XLOOKUP(_xlfn.XLOOKUP(C289,'Same Seller Hist'!E:E,'Same Seller Hist'!H:H),'Fastmoss 500'!D:D,'Fastmoss 500'!D:D)),"Não","Sim"))</f>
        <v>Sim</v>
      </c>
      <c r="O289" s="21" t="str">
        <f t="shared" si="12"/>
        <v>Não</v>
      </c>
      <c r="P289" s="21" t="str">
        <f t="shared" si="13"/>
        <v>Não</v>
      </c>
      <c r="Q289" s="21">
        <f t="shared" si="14"/>
        <v>1</v>
      </c>
    </row>
    <row r="290" spans="3:17" x14ac:dyDescent="0.35">
      <c r="C290" s="5">
        <f>_xlfn.XLOOKUP(F290,'Same Seller Hist'!H:H,'Same Seller Hist'!E:E)</f>
        <v>404831888</v>
      </c>
      <c r="D290" s="5" t="str">
        <f>_xlfn.XLOOKUP(F290,'Same Seller Hist'!H:H,'Same Seller Hist'!D:D)</f>
        <v>Lojas toronto Acessórios</v>
      </c>
      <c r="E290" s="5">
        <f>_xlfn.XLOOKUP(F290,'Same Seller Hist'!H:H,'Same Seller Hist'!I:I)</f>
        <v>7.4962286897544202E+18</v>
      </c>
      <c r="F290" s="5" t="s">
        <v>536</v>
      </c>
      <c r="G290" s="5" t="str">
        <f>_xlfn.XLOOKUP(C290,'Same Seller Hist'!E:E,'Same Seller Hist'!F:F)</f>
        <v>Fashion</v>
      </c>
      <c r="H290" s="19">
        <f>_xlfn.IFNA(_xlfn.XLOOKUP(C290,'Shp 500'!D:D,'Shp 500'!I:I),0)</f>
        <v>0</v>
      </c>
      <c r="I290" s="19">
        <f>_xlfn.IFNA(_xlfn.XLOOKUP(C290,'Shp 500'!D:D,'Shp 500'!J:J),0)</f>
        <v>0</v>
      </c>
      <c r="J290" s="19">
        <v>264.51612903225805</v>
      </c>
      <c r="K290" s="19">
        <v>7648.3870967741932</v>
      </c>
      <c r="L290" s="21" t="s">
        <v>2530</v>
      </c>
      <c r="M290" s="21" t="str">
        <f>IF(L290="Shp 500","Sim",IF(ISNA(_xlfn.XLOOKUP(C290,'Shp 500'!D:D,'Shp 500'!D:D)),"Não","Sim"))</f>
        <v>Não</v>
      </c>
      <c r="N290" s="21" t="str">
        <f>IF(L290="Fastmoss 500","Sim",IF(ISNA(_xlfn.XLOOKUP(_xlfn.XLOOKUP(C290,'Same Seller Hist'!E:E,'Same Seller Hist'!H:H),'Fastmoss 500'!D:D,'Fastmoss 500'!D:D)),"Não","Sim"))</f>
        <v>Sim</v>
      </c>
      <c r="O290" s="21" t="str">
        <f t="shared" si="12"/>
        <v>Não</v>
      </c>
      <c r="P290" s="21" t="str">
        <f t="shared" si="13"/>
        <v>Não</v>
      </c>
      <c r="Q290" s="21">
        <f t="shared" si="14"/>
        <v>1</v>
      </c>
    </row>
    <row r="291" spans="3:17" x14ac:dyDescent="0.35">
      <c r="C291" s="5">
        <f>_xlfn.XLOOKUP(F291,'Same Seller Hist'!H:H,'Same Seller Hist'!E:E)</f>
        <v>580059933</v>
      </c>
      <c r="D291" s="5" t="str">
        <f>_xlfn.XLOOKUP(F291,'Same Seller Hist'!H:H,'Same Seller Hist'!D:D)</f>
        <v>lashops0</v>
      </c>
      <c r="E291" s="5">
        <f>_xlfn.XLOOKUP(F291,'Same Seller Hist'!H:H,'Same Seller Hist'!I:I)</f>
        <v>7.4961885457044296E+18</v>
      </c>
      <c r="F291" s="5" t="s">
        <v>872</v>
      </c>
      <c r="G291" s="5">
        <f>_xlfn.XLOOKUP(C291,'Same Seller Hist'!E:E,'Same Seller Hist'!F:F)</f>
        <v>0</v>
      </c>
      <c r="H291" s="19">
        <f>_xlfn.IFNA(_xlfn.XLOOKUP(C291,'Shp 500'!D:D,'Shp 500'!I:I),0)</f>
        <v>0</v>
      </c>
      <c r="I291" s="19">
        <f>_xlfn.IFNA(_xlfn.XLOOKUP(C291,'Shp 500'!D:D,'Shp 500'!J:J),0)</f>
        <v>0</v>
      </c>
      <c r="J291" s="19">
        <v>261.29032258064518</v>
      </c>
      <c r="K291" s="19">
        <v>8696.7741935483864</v>
      </c>
      <c r="L291" s="21" t="s">
        <v>2530</v>
      </c>
      <c r="M291" s="21" t="str">
        <f>IF(L291="Shp 500","Sim",IF(ISNA(_xlfn.XLOOKUP(C291,'Shp 500'!D:D,'Shp 500'!D:D)),"Não","Sim"))</f>
        <v>Não</v>
      </c>
      <c r="N291" s="21" t="str">
        <f>IF(L291="Fastmoss 500","Sim",IF(ISNA(_xlfn.XLOOKUP(_xlfn.XLOOKUP(C291,'Same Seller Hist'!E:E,'Same Seller Hist'!H:H),'Fastmoss 500'!D:D,'Fastmoss 500'!D:D)),"Não","Sim"))</f>
        <v>Sim</v>
      </c>
      <c r="O291" s="21" t="str">
        <f t="shared" si="12"/>
        <v>Não</v>
      </c>
      <c r="P291" s="21" t="str">
        <f t="shared" si="13"/>
        <v>Não</v>
      </c>
      <c r="Q291" s="21">
        <f t="shared" si="14"/>
        <v>1</v>
      </c>
    </row>
    <row r="292" spans="3:17" x14ac:dyDescent="0.35">
      <c r="C292" s="5">
        <f>_xlfn.XLOOKUP(F292,'Same Seller Hist'!H:H,'Same Seller Hist'!E:E)</f>
        <v>323288678</v>
      </c>
      <c r="D292" s="5" t="str">
        <f>_xlfn.XLOOKUP(F292,'Same Seller Hist'!H:H,'Same Seller Hist'!D:D)</f>
        <v>Aura do Brasil</v>
      </c>
      <c r="E292" s="5">
        <f>_xlfn.XLOOKUP(F292,'Same Seller Hist'!H:H,'Same Seller Hist'!I:I)</f>
        <v>7.4961885237971804E+18</v>
      </c>
      <c r="F292" s="5" t="s">
        <v>421</v>
      </c>
      <c r="G292" s="5" t="str">
        <f>_xlfn.XLOOKUP(C292,'Same Seller Hist'!E:E,'Same Seller Hist'!F:F)</f>
        <v>Lifestyle</v>
      </c>
      <c r="H292" s="19">
        <f>_xlfn.IFNA(_xlfn.XLOOKUP(C292,'Shp 500'!D:D,'Shp 500'!I:I),0)</f>
        <v>0</v>
      </c>
      <c r="I292" s="19">
        <f>_xlfn.IFNA(_xlfn.XLOOKUP(C292,'Shp 500'!D:D,'Shp 500'!J:J),0)</f>
        <v>0</v>
      </c>
      <c r="J292" s="19">
        <v>261.29032258064518</v>
      </c>
      <c r="K292" s="19">
        <v>23083.870967741936</v>
      </c>
      <c r="L292" s="21" t="s">
        <v>2530</v>
      </c>
      <c r="M292" s="21" t="str">
        <f>IF(L292="Shp 500","Sim",IF(ISNA(_xlfn.XLOOKUP(C292,'Shp 500'!D:D,'Shp 500'!D:D)),"Não","Sim"))</f>
        <v>Não</v>
      </c>
      <c r="N292" s="21" t="str">
        <f>IF(L292="Fastmoss 500","Sim",IF(ISNA(_xlfn.XLOOKUP(_xlfn.XLOOKUP(C292,'Same Seller Hist'!E:E,'Same Seller Hist'!H:H),'Fastmoss 500'!D:D,'Fastmoss 500'!D:D)),"Não","Sim"))</f>
        <v>Sim</v>
      </c>
      <c r="O292" s="21" t="str">
        <f t="shared" si="12"/>
        <v>Não</v>
      </c>
      <c r="P292" s="21" t="str">
        <f t="shared" si="13"/>
        <v>Não</v>
      </c>
      <c r="Q292" s="21">
        <f t="shared" si="14"/>
        <v>1</v>
      </c>
    </row>
    <row r="293" spans="3:17" x14ac:dyDescent="0.35">
      <c r="C293" s="5">
        <f>_xlfn.XLOOKUP(F293,'Same Seller Hist'!H:H,'Same Seller Hist'!E:E)</f>
        <v>314090713</v>
      </c>
      <c r="D293" s="5" t="str">
        <f>_xlfn.XLOOKUP(F293,'Same Seller Hist'!H:H,'Same Seller Hist'!D:D)</f>
        <v>SHOPPING DE ZY VARIEDADES</v>
      </c>
      <c r="E293" s="5">
        <f>_xlfn.XLOOKUP(F293,'Same Seller Hist'!H:H,'Same Seller Hist'!I:I)</f>
        <v>7.4962288961809603E+18</v>
      </c>
      <c r="F293" s="5" t="s">
        <v>406</v>
      </c>
      <c r="G293" s="5" t="str">
        <f>_xlfn.XLOOKUP(C293,'Same Seller Hist'!E:E,'Same Seller Hist'!F:F)</f>
        <v>FMCG</v>
      </c>
      <c r="H293" s="19">
        <f>_xlfn.IFNA(_xlfn.XLOOKUP(C293,'Shp 500'!D:D,'Shp 500'!I:I),0)</f>
        <v>0</v>
      </c>
      <c r="I293" s="19">
        <f>_xlfn.IFNA(_xlfn.XLOOKUP(C293,'Shp 500'!D:D,'Shp 500'!J:J),0)</f>
        <v>0</v>
      </c>
      <c r="J293" s="19">
        <v>261.29032258064518</v>
      </c>
      <c r="K293" s="19">
        <v>3596.7741935483873</v>
      </c>
      <c r="L293" s="21" t="s">
        <v>2530</v>
      </c>
      <c r="M293" s="21" t="str">
        <f>IF(L293="Shp 500","Sim",IF(ISNA(_xlfn.XLOOKUP(C293,'Shp 500'!D:D,'Shp 500'!D:D)),"Não","Sim"))</f>
        <v>Não</v>
      </c>
      <c r="N293" s="21" t="str">
        <f>IF(L293="Fastmoss 500","Sim",IF(ISNA(_xlfn.XLOOKUP(_xlfn.XLOOKUP(C293,'Same Seller Hist'!E:E,'Same Seller Hist'!H:H),'Fastmoss 500'!D:D,'Fastmoss 500'!D:D)),"Não","Sim"))</f>
        <v>Sim</v>
      </c>
      <c r="O293" s="21" t="str">
        <f t="shared" si="12"/>
        <v>Não</v>
      </c>
      <c r="P293" s="21" t="str">
        <f t="shared" si="13"/>
        <v>Não</v>
      </c>
      <c r="Q293" s="21">
        <f t="shared" si="14"/>
        <v>1</v>
      </c>
    </row>
    <row r="294" spans="3:17" x14ac:dyDescent="0.35">
      <c r="C294" s="5">
        <f>_xlfn.XLOOKUP(F294,'Same Seller Hist'!H:H,'Same Seller Hist'!E:E)</f>
        <v>845307295</v>
      </c>
      <c r="D294" s="5" t="str">
        <f>_xlfn.XLOOKUP(F294,'Same Seller Hist'!H:H,'Same Seller Hist'!D:D)</f>
        <v>GLN COMERCIO</v>
      </c>
      <c r="E294" s="5">
        <f>_xlfn.XLOOKUP(F294,'Same Seller Hist'!H:H,'Same Seller Hist'!I:I)</f>
        <v>7.4962718862658396E+18</v>
      </c>
      <c r="F294" s="5" t="s">
        <v>731</v>
      </c>
      <c r="G294" s="5" t="str">
        <f>_xlfn.XLOOKUP(C294,'Same Seller Hist'!E:E,'Same Seller Hist'!F:F)</f>
        <v>Auto &amp; Moto</v>
      </c>
      <c r="H294" s="19">
        <f>_xlfn.IFNA(_xlfn.XLOOKUP(C294,'Shp 500'!D:D,'Shp 500'!I:I),0)</f>
        <v>0</v>
      </c>
      <c r="I294" s="19">
        <f>_xlfn.IFNA(_xlfn.XLOOKUP(C294,'Shp 500'!D:D,'Shp 500'!J:J),0)</f>
        <v>0</v>
      </c>
      <c r="J294" s="19">
        <v>261.29032258064518</v>
      </c>
      <c r="K294" s="19">
        <v>15751.612903225807</v>
      </c>
      <c r="L294" s="21" t="s">
        <v>2530</v>
      </c>
      <c r="M294" s="21" t="str">
        <f>IF(L294="Shp 500","Sim",IF(ISNA(_xlfn.XLOOKUP(C294,'Shp 500'!D:D,'Shp 500'!D:D)),"Não","Sim"))</f>
        <v>Não</v>
      </c>
      <c r="N294" s="21" t="str">
        <f>IF(L294="Fastmoss 500","Sim",IF(ISNA(_xlfn.XLOOKUP(_xlfn.XLOOKUP(C294,'Same Seller Hist'!E:E,'Same Seller Hist'!H:H),'Fastmoss 500'!D:D,'Fastmoss 500'!D:D)),"Não","Sim"))</f>
        <v>Sim</v>
      </c>
      <c r="O294" s="21" t="str">
        <f t="shared" si="12"/>
        <v>Não</v>
      </c>
      <c r="P294" s="21" t="str">
        <f t="shared" si="13"/>
        <v>Não</v>
      </c>
      <c r="Q294" s="21">
        <f t="shared" si="14"/>
        <v>1</v>
      </c>
    </row>
    <row r="295" spans="3:17" x14ac:dyDescent="0.35">
      <c r="C295" s="5">
        <v>1299283009</v>
      </c>
      <c r="D295" s="5" t="s">
        <v>195</v>
      </c>
      <c r="E295" s="5">
        <f>_xlfn.XLOOKUP(C295,'Same Seller Hist'!E:E,'Same Seller Hist'!I:I)</f>
        <v>7.49424173795072E+18</v>
      </c>
      <c r="F295" s="5" t="str">
        <f>_xlfn.XLOOKUP(C295,'Same Seller Hist'!E:E,'Same Seller Hist'!H:H)</f>
        <v>GUI ANA SHOP</v>
      </c>
      <c r="G295" s="5" t="s">
        <v>1734</v>
      </c>
      <c r="H295" s="19">
        <v>1838</v>
      </c>
      <c r="I295" s="19">
        <v>6433.6255806306126</v>
      </c>
      <c r="J295" s="19">
        <f>_xlfn.IFNA(_xlfn.XLOOKUP(F295,'Fastmoss 500'!D:D,'Fastmoss 500'!O:O),0)</f>
        <v>561.29032258064512</v>
      </c>
      <c r="K295" s="19">
        <f>_xlfn.IFNA(_xlfn.XLOOKUP(F295,'Fastmoss 500'!D:D,'Fastmoss 500'!N:N),0)</f>
        <v>6632.2580645161288</v>
      </c>
      <c r="L295" s="21" t="s">
        <v>2528</v>
      </c>
      <c r="M295" s="21" t="str">
        <f>IF(L295="Shp 500","Sim",IF(ISNA(_xlfn.XLOOKUP(C295,'Shp 500'!D:D,'Shp 500'!D:D)),"Não","Sim"))</f>
        <v>Sim</v>
      </c>
      <c r="N295" s="21" t="str">
        <f>IF(L295="Fastmoss 500","Sim",IF(ISNA(_xlfn.XLOOKUP(_xlfn.XLOOKUP(C295,'Same Seller Hist'!E:E,'Same Seller Hist'!H:H),'Fastmoss 500'!D:D,'Fastmoss 500'!D:D)),"Não","Sim"))</f>
        <v>Sim</v>
      </c>
      <c r="O295" s="21" t="str">
        <f t="shared" si="12"/>
        <v>Sim</v>
      </c>
      <c r="P295" s="21" t="str">
        <f t="shared" si="13"/>
        <v>Não</v>
      </c>
      <c r="Q295" s="21">
        <f t="shared" si="14"/>
        <v>1</v>
      </c>
    </row>
    <row r="296" spans="3:17" x14ac:dyDescent="0.35">
      <c r="C296" s="5">
        <f>_xlfn.XLOOKUP(F296,'Same Seller Hist'!H:H,'Same Seller Hist'!E:E)</f>
        <v>721213201</v>
      </c>
      <c r="D296" s="5" t="str">
        <f>_xlfn.XLOOKUP(F296,'Same Seller Hist'!H:H,'Same Seller Hist'!D:D)</f>
        <v>Nômade Fashion</v>
      </c>
      <c r="E296" s="5">
        <f>_xlfn.XLOOKUP(F296,'Same Seller Hist'!H:H,'Same Seller Hist'!I:I)</f>
        <v>7.4962440312952904E+18</v>
      </c>
      <c r="F296" s="5" t="s">
        <v>888</v>
      </c>
      <c r="G296" s="5">
        <f>_xlfn.XLOOKUP(C296,'Same Seller Hist'!E:E,'Same Seller Hist'!F:F)</f>
        <v>0</v>
      </c>
      <c r="H296" s="19">
        <f>_xlfn.IFNA(_xlfn.XLOOKUP(C296,'Shp 500'!D:D,'Shp 500'!I:I),0)</f>
        <v>0</v>
      </c>
      <c r="I296" s="19">
        <f>_xlfn.IFNA(_xlfn.XLOOKUP(C296,'Shp 500'!D:D,'Shp 500'!J:J),0)</f>
        <v>0</v>
      </c>
      <c r="J296" s="19">
        <v>258.06451612903226</v>
      </c>
      <c r="K296" s="19">
        <v>9380.645161290322</v>
      </c>
      <c r="L296" s="21" t="s">
        <v>2530</v>
      </c>
      <c r="M296" s="21" t="str">
        <f>IF(L296="Shp 500","Sim",IF(ISNA(_xlfn.XLOOKUP(C296,'Shp 500'!D:D,'Shp 500'!D:D)),"Não","Sim"))</f>
        <v>Não</v>
      </c>
      <c r="N296" s="21" t="str">
        <f>IF(L296="Fastmoss 500","Sim",IF(ISNA(_xlfn.XLOOKUP(_xlfn.XLOOKUP(C296,'Same Seller Hist'!E:E,'Same Seller Hist'!H:H),'Fastmoss 500'!D:D,'Fastmoss 500'!D:D)),"Não","Sim"))</f>
        <v>Sim</v>
      </c>
      <c r="O296" s="21" t="str">
        <f t="shared" si="12"/>
        <v>Não</v>
      </c>
      <c r="P296" s="21" t="str">
        <f t="shared" si="13"/>
        <v>Não</v>
      </c>
      <c r="Q296" s="21">
        <f t="shared" si="14"/>
        <v>1</v>
      </c>
    </row>
    <row r="297" spans="3:17" x14ac:dyDescent="0.35">
      <c r="C297" s="5">
        <f>_xlfn.XLOOKUP(F297,'Same Seller Hist'!H:H,'Same Seller Hist'!E:E)</f>
        <v>1308580859</v>
      </c>
      <c r="D297" s="5" t="str">
        <f>_xlfn.XLOOKUP(F297,'Same Seller Hist'!H:H,'Same Seller Hist'!D:D)</f>
        <v>Lina Bolsa Shop</v>
      </c>
      <c r="E297" s="5">
        <f>_xlfn.XLOOKUP(F297,'Same Seller Hist'!H:H,'Same Seller Hist'!I:I)</f>
        <v>7.49416512209246E+18</v>
      </c>
      <c r="F297" s="5" t="s">
        <v>873</v>
      </c>
      <c r="G297" s="5">
        <f>_xlfn.XLOOKUP(C297,'Same Seller Hist'!E:E,'Same Seller Hist'!F:F)</f>
        <v>0</v>
      </c>
      <c r="H297" s="19">
        <f>_xlfn.IFNA(_xlfn.XLOOKUP(C297,'Shp 500'!D:D,'Shp 500'!I:I),0)</f>
        <v>0</v>
      </c>
      <c r="I297" s="19">
        <f>_xlfn.IFNA(_xlfn.XLOOKUP(C297,'Shp 500'!D:D,'Shp 500'!J:J),0)</f>
        <v>0</v>
      </c>
      <c r="J297" s="19">
        <v>258.06451612903226</v>
      </c>
      <c r="K297" s="19">
        <v>7280.6451612903229</v>
      </c>
      <c r="L297" s="21" t="s">
        <v>2530</v>
      </c>
      <c r="M297" s="21" t="str">
        <f>IF(L297="Shp 500","Sim",IF(ISNA(_xlfn.XLOOKUP(C297,'Shp 500'!D:D,'Shp 500'!D:D)),"Não","Sim"))</f>
        <v>Não</v>
      </c>
      <c r="N297" s="21" t="str">
        <f>IF(L297="Fastmoss 500","Sim",IF(ISNA(_xlfn.XLOOKUP(_xlfn.XLOOKUP(C297,'Same Seller Hist'!E:E,'Same Seller Hist'!H:H),'Fastmoss 500'!D:D,'Fastmoss 500'!D:D)),"Não","Sim"))</f>
        <v>Sim</v>
      </c>
      <c r="O297" s="21" t="str">
        <f t="shared" si="12"/>
        <v>Não</v>
      </c>
      <c r="P297" s="21" t="str">
        <f t="shared" si="13"/>
        <v>Não</v>
      </c>
      <c r="Q297" s="21">
        <f t="shared" si="14"/>
        <v>1</v>
      </c>
    </row>
    <row r="298" spans="3:17" x14ac:dyDescent="0.35">
      <c r="C298" s="5">
        <f>_xlfn.XLOOKUP(F298,'Same Seller Hist'!H:H,'Same Seller Hist'!E:E)</f>
        <v>1146998712</v>
      </c>
      <c r="D298" s="5" t="str">
        <f>_xlfn.XLOOKUP(F298,'Same Seller Hist'!H:H,'Same Seller Hist'!D:D)</f>
        <v>Lolita_shop</v>
      </c>
      <c r="E298" s="5">
        <f>_xlfn.XLOOKUP(F298,'Same Seller Hist'!H:H,'Same Seller Hist'!I:I)</f>
        <v>7.4961819163707597E+18</v>
      </c>
      <c r="F298" s="5" t="s">
        <v>127</v>
      </c>
      <c r="G298" s="5" t="str">
        <f>_xlfn.XLOOKUP(C298,'Same Seller Hist'!E:E,'Same Seller Hist'!F:F)</f>
        <v>Fashion</v>
      </c>
      <c r="H298" s="19">
        <f>_xlfn.IFNA(_xlfn.XLOOKUP(C298,'Shp 500'!D:D,'Shp 500'!I:I),0)</f>
        <v>0</v>
      </c>
      <c r="I298" s="19">
        <f>_xlfn.IFNA(_xlfn.XLOOKUP(C298,'Shp 500'!D:D,'Shp 500'!J:J),0)</f>
        <v>0</v>
      </c>
      <c r="J298" s="19">
        <v>254.83870967741936</v>
      </c>
      <c r="K298" s="19">
        <v>8270.967741935483</v>
      </c>
      <c r="L298" s="21" t="s">
        <v>2530</v>
      </c>
      <c r="M298" s="21" t="str">
        <f>IF(L298="Shp 500","Sim",IF(ISNA(_xlfn.XLOOKUP(C298,'Shp 500'!D:D,'Shp 500'!D:D)),"Não","Sim"))</f>
        <v>Não</v>
      </c>
      <c r="N298" s="21" t="str">
        <f>IF(L298="Fastmoss 500","Sim",IF(ISNA(_xlfn.XLOOKUP(_xlfn.XLOOKUP(C298,'Same Seller Hist'!E:E,'Same Seller Hist'!H:H),'Fastmoss 500'!D:D,'Fastmoss 500'!D:D)),"Não","Sim"))</f>
        <v>Sim</v>
      </c>
      <c r="O298" s="21" t="str">
        <f t="shared" si="12"/>
        <v>Não</v>
      </c>
      <c r="P298" s="21" t="str">
        <f t="shared" si="13"/>
        <v>Não</v>
      </c>
      <c r="Q298" s="21">
        <f t="shared" si="14"/>
        <v>1</v>
      </c>
    </row>
    <row r="299" spans="3:17" x14ac:dyDescent="0.35">
      <c r="C299" s="5">
        <f>_xlfn.XLOOKUP(F299,'Same Seller Hist'!H:H,'Same Seller Hist'!E:E)</f>
        <v>439353015</v>
      </c>
      <c r="D299" s="5" t="str">
        <f>_xlfn.XLOOKUP(F299,'Same Seller Hist'!H:H,'Same Seller Hist'!D:D)</f>
        <v>Trix Fit - Store</v>
      </c>
      <c r="E299" s="5">
        <f>_xlfn.XLOOKUP(F299,'Same Seller Hist'!H:H,'Same Seller Hist'!I:I)</f>
        <v>7.4961634607405097E+18</v>
      </c>
      <c r="F299" s="5" t="s">
        <v>575</v>
      </c>
      <c r="G299" s="5" t="str">
        <f>_xlfn.XLOOKUP(C299,'Same Seller Hist'!E:E,'Same Seller Hist'!F:F)</f>
        <v>Fashion</v>
      </c>
      <c r="H299" s="19">
        <f>_xlfn.IFNA(_xlfn.XLOOKUP(C299,'Shp 500'!D:D,'Shp 500'!I:I),0)</f>
        <v>0</v>
      </c>
      <c r="I299" s="19">
        <f>_xlfn.IFNA(_xlfn.XLOOKUP(C299,'Shp 500'!D:D,'Shp 500'!J:J),0)</f>
        <v>0</v>
      </c>
      <c r="J299" s="19">
        <v>254.83870967741936</v>
      </c>
      <c r="K299" s="19">
        <v>11209.677419354839</v>
      </c>
      <c r="L299" s="21" t="s">
        <v>2530</v>
      </c>
      <c r="M299" s="21" t="str">
        <f>IF(L299="Shp 500","Sim",IF(ISNA(_xlfn.XLOOKUP(C299,'Shp 500'!D:D,'Shp 500'!D:D)),"Não","Sim"))</f>
        <v>Não</v>
      </c>
      <c r="N299" s="21" t="str">
        <f>IF(L299="Fastmoss 500","Sim",IF(ISNA(_xlfn.XLOOKUP(_xlfn.XLOOKUP(C299,'Same Seller Hist'!E:E,'Same Seller Hist'!H:H),'Fastmoss 500'!D:D,'Fastmoss 500'!D:D)),"Não","Sim"))</f>
        <v>Sim</v>
      </c>
      <c r="O299" s="21" t="str">
        <f t="shared" si="12"/>
        <v>Não</v>
      </c>
      <c r="P299" s="21" t="str">
        <f t="shared" si="13"/>
        <v>Não</v>
      </c>
      <c r="Q299" s="21">
        <f t="shared" si="14"/>
        <v>1</v>
      </c>
    </row>
    <row r="300" spans="3:17" x14ac:dyDescent="0.35">
      <c r="C300" s="5">
        <f>_xlfn.XLOOKUP(F300,'Same Seller Hist'!H:H,'Same Seller Hist'!E:E)</f>
        <v>1224304136</v>
      </c>
      <c r="D300" s="5" t="str">
        <f>_xlfn.XLOOKUP(F300,'Same Seller Hist'!H:H,'Same Seller Hist'!D:D)</f>
        <v>KICOOL COMERCIAL</v>
      </c>
      <c r="E300" s="5">
        <f>_xlfn.XLOOKUP(F300,'Same Seller Hist'!H:H,'Same Seller Hist'!I:I)</f>
        <v>7.4961634149951396E+18</v>
      </c>
      <c r="F300" s="5" t="s">
        <v>159</v>
      </c>
      <c r="G300" s="5" t="str">
        <f>_xlfn.XLOOKUP(C300,'Same Seller Hist'!E:E,'Same Seller Hist'!F:F)</f>
        <v>ELHA</v>
      </c>
      <c r="H300" s="19">
        <f>_xlfn.IFNA(_xlfn.XLOOKUP(C300,'Shp 500'!D:D,'Shp 500'!I:I),0)</f>
        <v>0</v>
      </c>
      <c r="I300" s="19">
        <f>_xlfn.IFNA(_xlfn.XLOOKUP(C300,'Shp 500'!D:D,'Shp 500'!J:J),0)</f>
        <v>0</v>
      </c>
      <c r="J300" s="19">
        <v>254.83870967741936</v>
      </c>
      <c r="K300" s="19">
        <v>12322.58064516129</v>
      </c>
      <c r="L300" s="21" t="s">
        <v>2530</v>
      </c>
      <c r="M300" s="21" t="str">
        <f>IF(L300="Shp 500","Sim",IF(ISNA(_xlfn.XLOOKUP(C300,'Shp 500'!D:D,'Shp 500'!D:D)),"Não","Sim"))</f>
        <v>Não</v>
      </c>
      <c r="N300" s="21" t="str">
        <f>IF(L300="Fastmoss 500","Sim",IF(ISNA(_xlfn.XLOOKUP(_xlfn.XLOOKUP(C300,'Same Seller Hist'!E:E,'Same Seller Hist'!H:H),'Fastmoss 500'!D:D,'Fastmoss 500'!D:D)),"Não","Sim"))</f>
        <v>Sim</v>
      </c>
      <c r="O300" s="21" t="str">
        <f t="shared" si="12"/>
        <v>Não</v>
      </c>
      <c r="P300" s="21" t="str">
        <f t="shared" si="13"/>
        <v>Não</v>
      </c>
      <c r="Q300" s="21">
        <f t="shared" si="14"/>
        <v>1</v>
      </c>
    </row>
    <row r="301" spans="3:17" x14ac:dyDescent="0.35">
      <c r="C301" s="5">
        <f>_xlfn.XLOOKUP(F301,'Same Seller Hist'!H:H,'Same Seller Hist'!E:E)</f>
        <v>1384102065</v>
      </c>
      <c r="D301" s="5" t="str">
        <f>_xlfn.XLOOKUP(F301,'Same Seller Hist'!H:H,'Same Seller Hist'!D:D)</f>
        <v>BBB Lojas boutique</v>
      </c>
      <c r="E301" s="5">
        <f>_xlfn.XLOOKUP(F301,'Same Seller Hist'!H:H,'Same Seller Hist'!I:I)</f>
        <v>7.49621119407603E+18</v>
      </c>
      <c r="F301" s="5" t="s">
        <v>232</v>
      </c>
      <c r="G301" s="5" t="str">
        <f>_xlfn.XLOOKUP(C301,'Same Seller Hist'!E:E,'Same Seller Hist'!F:F)</f>
        <v>Fashion</v>
      </c>
      <c r="H301" s="19">
        <f>_xlfn.IFNA(_xlfn.XLOOKUP(C301,'Shp 500'!D:D,'Shp 500'!I:I),0)</f>
        <v>0</v>
      </c>
      <c r="I301" s="19">
        <f>_xlfn.IFNA(_xlfn.XLOOKUP(C301,'Shp 500'!D:D,'Shp 500'!J:J),0)</f>
        <v>0</v>
      </c>
      <c r="J301" s="19">
        <v>254.83870967741936</v>
      </c>
      <c r="K301" s="19">
        <v>15974.193548387097</v>
      </c>
      <c r="L301" s="21" t="s">
        <v>2530</v>
      </c>
      <c r="M301" s="21" t="str">
        <f>IF(L301="Shp 500","Sim",IF(ISNA(_xlfn.XLOOKUP(C301,'Shp 500'!D:D,'Shp 500'!D:D)),"Não","Sim"))</f>
        <v>Não</v>
      </c>
      <c r="N301" s="21" t="str">
        <f>IF(L301="Fastmoss 500","Sim",IF(ISNA(_xlfn.XLOOKUP(_xlfn.XLOOKUP(C301,'Same Seller Hist'!E:E,'Same Seller Hist'!H:H),'Fastmoss 500'!D:D,'Fastmoss 500'!D:D)),"Não","Sim"))</f>
        <v>Sim</v>
      </c>
      <c r="O301" s="21" t="str">
        <f t="shared" si="12"/>
        <v>Não</v>
      </c>
      <c r="P301" s="21" t="str">
        <f t="shared" si="13"/>
        <v>Não</v>
      </c>
      <c r="Q301" s="21">
        <f t="shared" si="14"/>
        <v>1</v>
      </c>
    </row>
    <row r="302" spans="3:17" x14ac:dyDescent="0.35">
      <c r="C302" s="5">
        <f>_xlfn.XLOOKUP(F302,'Same Seller Hist'!H:H,'Same Seller Hist'!E:E)</f>
        <v>1377846021</v>
      </c>
      <c r="D302" s="5" t="str">
        <f>_xlfn.XLOOKUP(F302,'Same Seller Hist'!H:H,'Same Seller Hist'!D:D)</f>
        <v>Lenda oriental</v>
      </c>
      <c r="E302" s="5">
        <f>_xlfn.XLOOKUP(F302,'Same Seller Hist'!H:H,'Same Seller Hist'!I:I)</f>
        <v>7.4961906281899305E+18</v>
      </c>
      <c r="F302" s="5" t="s">
        <v>226</v>
      </c>
      <c r="G302" s="5" t="str">
        <f>_xlfn.XLOOKUP(C302,'Same Seller Hist'!E:E,'Same Seller Hist'!F:F)</f>
        <v>FMCG</v>
      </c>
      <c r="H302" s="19">
        <f>_xlfn.IFNA(_xlfn.XLOOKUP(C302,'Shp 500'!D:D,'Shp 500'!I:I),0)</f>
        <v>0</v>
      </c>
      <c r="I302" s="19">
        <f>_xlfn.IFNA(_xlfn.XLOOKUP(C302,'Shp 500'!D:D,'Shp 500'!J:J),0)</f>
        <v>0</v>
      </c>
      <c r="J302" s="19">
        <v>251.61290322580646</v>
      </c>
      <c r="K302" s="19">
        <v>16361.290322580646</v>
      </c>
      <c r="L302" s="21" t="s">
        <v>2530</v>
      </c>
      <c r="M302" s="21" t="str">
        <f>IF(L302="Shp 500","Sim",IF(ISNA(_xlfn.XLOOKUP(C302,'Shp 500'!D:D,'Shp 500'!D:D)),"Não","Sim"))</f>
        <v>Não</v>
      </c>
      <c r="N302" s="21" t="str">
        <f>IF(L302="Fastmoss 500","Sim",IF(ISNA(_xlfn.XLOOKUP(_xlfn.XLOOKUP(C302,'Same Seller Hist'!E:E,'Same Seller Hist'!H:H),'Fastmoss 500'!D:D,'Fastmoss 500'!D:D)),"Não","Sim"))</f>
        <v>Sim</v>
      </c>
      <c r="O302" s="21" t="str">
        <f t="shared" si="12"/>
        <v>Não</v>
      </c>
      <c r="P302" s="21" t="str">
        <f t="shared" si="13"/>
        <v>Não</v>
      </c>
      <c r="Q302" s="21">
        <f t="shared" si="14"/>
        <v>1</v>
      </c>
    </row>
    <row r="303" spans="3:17" x14ac:dyDescent="0.35">
      <c r="C303" s="5">
        <f>_xlfn.XLOOKUP(F303,'Same Seller Hist'!H:H,'Same Seller Hist'!E:E)</f>
        <v>1134941899</v>
      </c>
      <c r="D303" s="5" t="str">
        <f>_xlfn.XLOOKUP(F303,'Same Seller Hist'!H:H,'Same Seller Hist'!D:D)</f>
        <v>QUE BOM</v>
      </c>
      <c r="E303" s="5">
        <f>_xlfn.XLOOKUP(F303,'Same Seller Hist'!H:H,'Same Seller Hist'!I:I)</f>
        <v>7.4962286429590999E+18</v>
      </c>
      <c r="F303" s="5" t="s">
        <v>124</v>
      </c>
      <c r="G303" s="5" t="str">
        <f>_xlfn.XLOOKUP(C303,'Same Seller Hist'!E:E,'Same Seller Hist'!F:F)</f>
        <v>Lifestyle</v>
      </c>
      <c r="H303" s="19">
        <f>_xlfn.IFNA(_xlfn.XLOOKUP(C303,'Shp 500'!D:D,'Shp 500'!I:I),0)</f>
        <v>0</v>
      </c>
      <c r="I303" s="19">
        <f>_xlfn.IFNA(_xlfn.XLOOKUP(C303,'Shp 500'!D:D,'Shp 500'!J:J),0)</f>
        <v>0</v>
      </c>
      <c r="J303" s="19">
        <v>251.61290322580646</v>
      </c>
      <c r="K303" s="19">
        <v>17719.354838709678</v>
      </c>
      <c r="L303" s="21" t="s">
        <v>2530</v>
      </c>
      <c r="M303" s="21" t="str">
        <f>IF(L303="Shp 500","Sim",IF(ISNA(_xlfn.XLOOKUP(C303,'Shp 500'!D:D,'Shp 500'!D:D)),"Não","Sim"))</f>
        <v>Não</v>
      </c>
      <c r="N303" s="21" t="str">
        <f>IF(L303="Fastmoss 500","Sim",IF(ISNA(_xlfn.XLOOKUP(_xlfn.XLOOKUP(C303,'Same Seller Hist'!E:E,'Same Seller Hist'!H:H),'Fastmoss 500'!D:D,'Fastmoss 500'!D:D)),"Não","Sim"))</f>
        <v>Sim</v>
      </c>
      <c r="O303" s="21" t="str">
        <f t="shared" si="12"/>
        <v>Não</v>
      </c>
      <c r="P303" s="21" t="str">
        <f t="shared" si="13"/>
        <v>Não</v>
      </c>
      <c r="Q303" s="21">
        <f t="shared" si="14"/>
        <v>1</v>
      </c>
    </row>
    <row r="304" spans="3:17" x14ac:dyDescent="0.35">
      <c r="C304" s="5">
        <f>_xlfn.XLOOKUP(F304,'Same Seller Hist'!H:H,'Same Seller Hist'!E:E)</f>
        <v>740111576</v>
      </c>
      <c r="D304" s="5" t="str">
        <f>_xlfn.XLOOKUP(F304,'Same Seller Hist'!H:H,'Same Seller Hist'!D:D)</f>
        <v>Loja do Koala</v>
      </c>
      <c r="E304" s="5">
        <f>_xlfn.XLOOKUP(F304,'Same Seller Hist'!H:H,'Same Seller Hist'!I:I)</f>
        <v>7.4961872425340396E+18</v>
      </c>
      <c r="F304" s="5" t="s">
        <v>692</v>
      </c>
      <c r="G304" s="5" t="str">
        <f>_xlfn.XLOOKUP(C304,'Same Seller Hist'!E:E,'Same Seller Hist'!F:F)</f>
        <v>Lifestyle</v>
      </c>
      <c r="H304" s="19">
        <f>_xlfn.IFNA(_xlfn.XLOOKUP(C304,'Shp 500'!D:D,'Shp 500'!I:I),0)</f>
        <v>0</v>
      </c>
      <c r="I304" s="19">
        <f>_xlfn.IFNA(_xlfn.XLOOKUP(C304,'Shp 500'!D:D,'Shp 500'!J:J),0)</f>
        <v>0</v>
      </c>
      <c r="J304" s="19">
        <v>248.38709677419354</v>
      </c>
      <c r="K304" s="19">
        <v>8583.8709677419356</v>
      </c>
      <c r="L304" s="21" t="s">
        <v>2530</v>
      </c>
      <c r="M304" s="21" t="str">
        <f>IF(L304="Shp 500","Sim",IF(ISNA(_xlfn.XLOOKUP(C304,'Shp 500'!D:D,'Shp 500'!D:D)),"Não","Sim"))</f>
        <v>Não</v>
      </c>
      <c r="N304" s="21" t="str">
        <f>IF(L304="Fastmoss 500","Sim",IF(ISNA(_xlfn.XLOOKUP(_xlfn.XLOOKUP(C304,'Same Seller Hist'!E:E,'Same Seller Hist'!H:H),'Fastmoss 500'!D:D,'Fastmoss 500'!D:D)),"Não","Sim"))</f>
        <v>Sim</v>
      </c>
      <c r="O304" s="21" t="str">
        <f t="shared" si="12"/>
        <v>Não</v>
      </c>
      <c r="P304" s="21" t="str">
        <f t="shared" si="13"/>
        <v>Não</v>
      </c>
      <c r="Q304" s="21">
        <f t="shared" si="14"/>
        <v>1</v>
      </c>
    </row>
    <row r="305" spans="3:17" x14ac:dyDescent="0.35">
      <c r="C305" s="5">
        <f>_xlfn.XLOOKUP(F305,'Same Seller Hist'!H:H,'Same Seller Hist'!E:E)</f>
        <v>354913181</v>
      </c>
      <c r="D305" s="5" t="str">
        <f>_xlfn.XLOOKUP(F305,'Same Seller Hist'!H:H,'Same Seller Hist'!D:D)</f>
        <v>Colaí Adesivos</v>
      </c>
      <c r="E305" s="5">
        <f>_xlfn.XLOOKUP(F305,'Same Seller Hist'!H:H,'Same Seller Hist'!I:I)</f>
        <v>7.4962271225047603E+18</v>
      </c>
      <c r="F305" s="5" t="s">
        <v>461</v>
      </c>
      <c r="G305" s="5" t="str">
        <f>_xlfn.XLOOKUP(C305,'Same Seller Hist'!E:E,'Same Seller Hist'!F:F)</f>
        <v>Lifestyle</v>
      </c>
      <c r="H305" s="19">
        <f>_xlfn.IFNA(_xlfn.XLOOKUP(C305,'Shp 500'!D:D,'Shp 500'!I:I),0)</f>
        <v>0</v>
      </c>
      <c r="I305" s="19">
        <f>_xlfn.IFNA(_xlfn.XLOOKUP(C305,'Shp 500'!D:D,'Shp 500'!J:J),0)</f>
        <v>0</v>
      </c>
      <c r="J305" s="19">
        <v>248.38709677419354</v>
      </c>
      <c r="K305" s="19">
        <v>11619.354838709678</v>
      </c>
      <c r="L305" s="21" t="s">
        <v>2530</v>
      </c>
      <c r="M305" s="21" t="str">
        <f>IF(L305="Shp 500","Sim",IF(ISNA(_xlfn.XLOOKUP(C305,'Shp 500'!D:D,'Shp 500'!D:D)),"Não","Sim"))</f>
        <v>Não</v>
      </c>
      <c r="N305" s="21" t="str">
        <f>IF(L305="Fastmoss 500","Sim",IF(ISNA(_xlfn.XLOOKUP(_xlfn.XLOOKUP(C305,'Same Seller Hist'!E:E,'Same Seller Hist'!H:H),'Fastmoss 500'!D:D,'Fastmoss 500'!D:D)),"Não","Sim"))</f>
        <v>Sim</v>
      </c>
      <c r="O305" s="21" t="str">
        <f t="shared" si="12"/>
        <v>Não</v>
      </c>
      <c r="P305" s="21" t="str">
        <f t="shared" si="13"/>
        <v>Não</v>
      </c>
      <c r="Q305" s="21">
        <f t="shared" si="14"/>
        <v>1</v>
      </c>
    </row>
    <row r="306" spans="3:17" x14ac:dyDescent="0.35">
      <c r="C306" s="5">
        <f>_xlfn.XLOOKUP(F306,'Same Seller Hist'!H:H,'Same Seller Hist'!E:E)</f>
        <v>1005235365</v>
      </c>
      <c r="D306" s="5" t="str">
        <f>_xlfn.XLOOKUP(F306,'Same Seller Hist'!H:H,'Same Seller Hist'!D:D)</f>
        <v>LZY CLUB</v>
      </c>
      <c r="E306" s="5">
        <f>_xlfn.XLOOKUP(F306,'Same Seller Hist'!H:H,'Same Seller Hist'!I:I)</f>
        <v>7.49618524288781E+18</v>
      </c>
      <c r="F306" s="5" t="s">
        <v>877</v>
      </c>
      <c r="G306" s="5">
        <f>_xlfn.XLOOKUP(C306,'Same Seller Hist'!E:E,'Same Seller Hist'!F:F)</f>
        <v>0</v>
      </c>
      <c r="H306" s="19">
        <f>_xlfn.IFNA(_xlfn.XLOOKUP(C306,'Shp 500'!D:D,'Shp 500'!I:I),0)</f>
        <v>0</v>
      </c>
      <c r="I306" s="19">
        <f>_xlfn.IFNA(_xlfn.XLOOKUP(C306,'Shp 500'!D:D,'Shp 500'!J:J),0)</f>
        <v>0</v>
      </c>
      <c r="J306" s="19">
        <v>248.38709677419354</v>
      </c>
      <c r="K306" s="19">
        <v>8825.8064516129034</v>
      </c>
      <c r="L306" s="21" t="s">
        <v>2530</v>
      </c>
      <c r="M306" s="21" t="str">
        <f>IF(L306="Shp 500","Sim",IF(ISNA(_xlfn.XLOOKUP(C306,'Shp 500'!D:D,'Shp 500'!D:D)),"Não","Sim"))</f>
        <v>Não</v>
      </c>
      <c r="N306" s="21" t="str">
        <f>IF(L306="Fastmoss 500","Sim",IF(ISNA(_xlfn.XLOOKUP(_xlfn.XLOOKUP(C306,'Same Seller Hist'!E:E,'Same Seller Hist'!H:H),'Fastmoss 500'!D:D,'Fastmoss 500'!D:D)),"Não","Sim"))</f>
        <v>Sim</v>
      </c>
      <c r="O306" s="21" t="str">
        <f t="shared" si="12"/>
        <v>Não</v>
      </c>
      <c r="P306" s="21" t="str">
        <f t="shared" si="13"/>
        <v>Não</v>
      </c>
      <c r="Q306" s="21">
        <f t="shared" si="14"/>
        <v>1</v>
      </c>
    </row>
    <row r="307" spans="3:17" x14ac:dyDescent="0.35">
      <c r="C307" s="5">
        <f>_xlfn.XLOOKUP(F307,'Same Seller Hist'!H:H,'Same Seller Hist'!E:E)</f>
        <v>1392148813</v>
      </c>
      <c r="D307" s="5" t="str">
        <f>_xlfn.XLOOKUP(F307,'Same Seller Hist'!H:H,'Same Seller Hist'!D:D)</f>
        <v>Rhode Jeans</v>
      </c>
      <c r="E307" s="5">
        <f>_xlfn.XLOOKUP(F307,'Same Seller Hist'!H:H,'Same Seller Hist'!I:I)</f>
        <v>7.4961802595742802E+18</v>
      </c>
      <c r="F307" s="5" t="s">
        <v>241</v>
      </c>
      <c r="G307" s="5" t="str">
        <f>_xlfn.XLOOKUP(C307,'Same Seller Hist'!E:E,'Same Seller Hist'!F:F)</f>
        <v>Fashion</v>
      </c>
      <c r="H307" s="19">
        <f>_xlfn.IFNA(_xlfn.XLOOKUP(C307,'Shp 500'!D:D,'Shp 500'!I:I),0)</f>
        <v>0</v>
      </c>
      <c r="I307" s="19">
        <f>_xlfn.IFNA(_xlfn.XLOOKUP(C307,'Shp 500'!D:D,'Shp 500'!J:J),0)</f>
        <v>0</v>
      </c>
      <c r="J307" s="19">
        <v>245.16129032258064</v>
      </c>
      <c r="K307" s="19">
        <v>21858.064516129034</v>
      </c>
      <c r="L307" s="21" t="s">
        <v>2530</v>
      </c>
      <c r="M307" s="21" t="str">
        <f>IF(L307="Shp 500","Sim",IF(ISNA(_xlfn.XLOOKUP(C307,'Shp 500'!D:D,'Shp 500'!D:D)),"Não","Sim"))</f>
        <v>Não</v>
      </c>
      <c r="N307" s="21" t="str">
        <f>IF(L307="Fastmoss 500","Sim",IF(ISNA(_xlfn.XLOOKUP(_xlfn.XLOOKUP(C307,'Same Seller Hist'!E:E,'Same Seller Hist'!H:H),'Fastmoss 500'!D:D,'Fastmoss 500'!D:D)),"Não","Sim"))</f>
        <v>Sim</v>
      </c>
      <c r="O307" s="21" t="str">
        <f t="shared" si="12"/>
        <v>Não</v>
      </c>
      <c r="P307" s="21" t="str">
        <f t="shared" si="13"/>
        <v>Não</v>
      </c>
      <c r="Q307" s="21">
        <f t="shared" si="14"/>
        <v>1</v>
      </c>
    </row>
    <row r="308" spans="3:17" x14ac:dyDescent="0.35">
      <c r="C308" s="5">
        <f>_xlfn.XLOOKUP(F308,'Same Seller Hist'!H:H,'Same Seller Hist'!E:E)</f>
        <v>582502779</v>
      </c>
      <c r="D308" s="5" t="str">
        <f>_xlfn.XLOOKUP(F308,'Same Seller Hist'!H:H,'Same Seller Hist'!D:D)</f>
        <v>Le Frisson Moda Intima</v>
      </c>
      <c r="E308" s="5">
        <f>_xlfn.XLOOKUP(F308,'Same Seller Hist'!H:H,'Same Seller Hist'!I:I)</f>
        <v>7.49616332469918E+18</v>
      </c>
      <c r="F308" s="5" t="s">
        <v>641</v>
      </c>
      <c r="G308" s="5" t="str">
        <f>_xlfn.XLOOKUP(C308,'Same Seller Hist'!E:E,'Same Seller Hist'!F:F)</f>
        <v>Fashion</v>
      </c>
      <c r="H308" s="19">
        <f>_xlfn.IFNA(_xlfn.XLOOKUP(C308,'Shp 500'!D:D,'Shp 500'!I:I),0)</f>
        <v>0</v>
      </c>
      <c r="I308" s="19">
        <f>_xlfn.IFNA(_xlfn.XLOOKUP(C308,'Shp 500'!D:D,'Shp 500'!J:J),0)</f>
        <v>0</v>
      </c>
      <c r="J308" s="19">
        <v>245.16129032258064</v>
      </c>
      <c r="K308" s="19">
        <v>12548.387096774193</v>
      </c>
      <c r="L308" s="21" t="s">
        <v>2530</v>
      </c>
      <c r="M308" s="21" t="str">
        <f>IF(L308="Shp 500","Sim",IF(ISNA(_xlfn.XLOOKUP(C308,'Shp 500'!D:D,'Shp 500'!D:D)),"Não","Sim"))</f>
        <v>Não</v>
      </c>
      <c r="N308" s="21" t="str">
        <f>IF(L308="Fastmoss 500","Sim",IF(ISNA(_xlfn.XLOOKUP(_xlfn.XLOOKUP(C308,'Same Seller Hist'!E:E,'Same Seller Hist'!H:H),'Fastmoss 500'!D:D,'Fastmoss 500'!D:D)),"Não","Sim"))</f>
        <v>Sim</v>
      </c>
      <c r="O308" s="21" t="str">
        <f t="shared" si="12"/>
        <v>Não</v>
      </c>
      <c r="P308" s="21" t="str">
        <f t="shared" si="13"/>
        <v>Não</v>
      </c>
      <c r="Q308" s="21">
        <f t="shared" si="14"/>
        <v>1</v>
      </c>
    </row>
    <row r="309" spans="3:17" x14ac:dyDescent="0.35">
      <c r="C309" s="5">
        <f>_xlfn.XLOOKUP(F309,'Same Seller Hist'!H:H,'Same Seller Hist'!E:E)</f>
        <v>1147785585</v>
      </c>
      <c r="D309" s="5" t="str">
        <f>_xlfn.XLOOKUP(F309,'Same Seller Hist'!H:H,'Same Seller Hist'!D:D)</f>
        <v>D'LUST COSMÉTICOS</v>
      </c>
      <c r="E309" s="5">
        <f>_xlfn.XLOOKUP(F309,'Same Seller Hist'!H:H,'Same Seller Hist'!I:I)</f>
        <v>7.4962091319662602E+18</v>
      </c>
      <c r="F309" s="5" t="s">
        <v>129</v>
      </c>
      <c r="G309" s="5" t="str">
        <f>_xlfn.XLOOKUP(C309,'Same Seller Hist'!E:E,'Same Seller Hist'!F:F)</f>
        <v>FMCG</v>
      </c>
      <c r="H309" s="19">
        <f>_xlfn.IFNA(_xlfn.XLOOKUP(C309,'Shp 500'!D:D,'Shp 500'!I:I),0)</f>
        <v>0</v>
      </c>
      <c r="I309" s="19">
        <f>_xlfn.IFNA(_xlfn.XLOOKUP(C309,'Shp 500'!D:D,'Shp 500'!J:J),0)</f>
        <v>0</v>
      </c>
      <c r="J309" s="19">
        <v>245.16129032258064</v>
      </c>
      <c r="K309" s="19">
        <v>13409.677419354839</v>
      </c>
      <c r="L309" s="21" t="s">
        <v>2530</v>
      </c>
      <c r="M309" s="21" t="str">
        <f>IF(L309="Shp 500","Sim",IF(ISNA(_xlfn.XLOOKUP(C309,'Shp 500'!D:D,'Shp 500'!D:D)),"Não","Sim"))</f>
        <v>Não</v>
      </c>
      <c r="N309" s="21" t="str">
        <f>IF(L309="Fastmoss 500","Sim",IF(ISNA(_xlfn.XLOOKUP(_xlfn.XLOOKUP(C309,'Same Seller Hist'!E:E,'Same Seller Hist'!H:H),'Fastmoss 500'!D:D,'Fastmoss 500'!D:D)),"Não","Sim"))</f>
        <v>Sim</v>
      </c>
      <c r="O309" s="21" t="str">
        <f t="shared" si="12"/>
        <v>Não</v>
      </c>
      <c r="P309" s="21" t="str">
        <f t="shared" si="13"/>
        <v>Não</v>
      </c>
      <c r="Q309" s="21">
        <f t="shared" si="14"/>
        <v>1</v>
      </c>
    </row>
    <row r="310" spans="3:17" x14ac:dyDescent="0.35">
      <c r="C310" s="5">
        <f>_xlfn.XLOOKUP(F310,'Same Seller Hist'!H:H,'Same Seller Hist'!E:E)</f>
        <v>396949918</v>
      </c>
      <c r="D310" s="5" t="str">
        <f>_xlfn.XLOOKUP(F310,'Same Seller Hist'!H:H,'Same Seller Hist'!D:D)</f>
        <v>Bella moça</v>
      </c>
      <c r="E310" s="5">
        <f>_xlfn.XLOOKUP(F310,'Same Seller Hist'!H:H,'Same Seller Hist'!I:I)</f>
        <v>7.4961844841185597E+18</v>
      </c>
      <c r="F310" s="5" t="s">
        <v>526</v>
      </c>
      <c r="G310" s="5" t="str">
        <f>_xlfn.XLOOKUP(C310,'Same Seller Hist'!E:E,'Same Seller Hist'!F:F)</f>
        <v>FMCG</v>
      </c>
      <c r="H310" s="19">
        <f>_xlfn.IFNA(_xlfn.XLOOKUP(C310,'Shp 500'!D:D,'Shp 500'!I:I),0)</f>
        <v>0</v>
      </c>
      <c r="I310" s="19">
        <f>_xlfn.IFNA(_xlfn.XLOOKUP(C310,'Shp 500'!D:D,'Shp 500'!J:J),0)</f>
        <v>0</v>
      </c>
      <c r="J310" s="19">
        <v>245.16129032258064</v>
      </c>
      <c r="K310" s="19">
        <v>5767.7419354838712</v>
      </c>
      <c r="L310" s="21" t="s">
        <v>2530</v>
      </c>
      <c r="M310" s="21" t="str">
        <f>IF(L310="Shp 500","Sim",IF(ISNA(_xlfn.XLOOKUP(C310,'Shp 500'!D:D,'Shp 500'!D:D)),"Não","Sim"))</f>
        <v>Não</v>
      </c>
      <c r="N310" s="21" t="str">
        <f>IF(L310="Fastmoss 500","Sim",IF(ISNA(_xlfn.XLOOKUP(_xlfn.XLOOKUP(C310,'Same Seller Hist'!E:E,'Same Seller Hist'!H:H),'Fastmoss 500'!D:D,'Fastmoss 500'!D:D)),"Não","Sim"))</f>
        <v>Sim</v>
      </c>
      <c r="O310" s="21" t="str">
        <f t="shared" si="12"/>
        <v>Não</v>
      </c>
      <c r="P310" s="21" t="str">
        <f t="shared" si="13"/>
        <v>Não</v>
      </c>
      <c r="Q310" s="21">
        <f t="shared" si="14"/>
        <v>1</v>
      </c>
    </row>
    <row r="311" spans="3:17" x14ac:dyDescent="0.35">
      <c r="C311" s="5">
        <v>1315716433</v>
      </c>
      <c r="D311" s="5" t="s">
        <v>203</v>
      </c>
      <c r="E311" s="5">
        <f>_xlfn.XLOOKUP(C311,'Same Seller Hist'!E:E,'Same Seller Hist'!I:I)</f>
        <v>7.4961677662382602E+18</v>
      </c>
      <c r="F311" s="5" t="str">
        <f>_xlfn.XLOOKUP(C311,'Same Seller Hist'!E:E,'Same Seller Hist'!H:H)</f>
        <v>PICOMERCE</v>
      </c>
      <c r="G311" s="5" t="s">
        <v>1734</v>
      </c>
      <c r="H311" s="19">
        <v>865.38709677419354</v>
      </c>
      <c r="I311" s="19">
        <v>9042.1236175083541</v>
      </c>
      <c r="J311" s="19">
        <f>_xlfn.IFNA(_xlfn.XLOOKUP(F311,'Fastmoss 500'!D:D,'Fastmoss 500'!O:O),0)</f>
        <v>425.80645161290323</v>
      </c>
      <c r="K311" s="19">
        <f>_xlfn.IFNA(_xlfn.XLOOKUP(F311,'Fastmoss 500'!D:D,'Fastmoss 500'!N:N),0)</f>
        <v>19616.129032258064</v>
      </c>
      <c r="L311" s="21" t="s">
        <v>2528</v>
      </c>
      <c r="M311" s="21" t="str">
        <f>IF(L311="Shp 500","Sim",IF(ISNA(_xlfn.XLOOKUP(C311,'Shp 500'!D:D,'Shp 500'!D:D)),"Não","Sim"))</f>
        <v>Sim</v>
      </c>
      <c r="N311" s="21" t="str">
        <f>IF(L311="Fastmoss 500","Sim",IF(ISNA(_xlfn.XLOOKUP(_xlfn.XLOOKUP(C311,'Same Seller Hist'!E:E,'Same Seller Hist'!H:H),'Fastmoss 500'!D:D,'Fastmoss 500'!D:D)),"Não","Sim"))</f>
        <v>Sim</v>
      </c>
      <c r="O311" s="21" t="str">
        <f t="shared" si="12"/>
        <v>Sim</v>
      </c>
      <c r="P311" s="21" t="str">
        <f t="shared" si="13"/>
        <v>Não</v>
      </c>
      <c r="Q311" s="21">
        <f t="shared" si="14"/>
        <v>1</v>
      </c>
    </row>
    <row r="312" spans="3:17" x14ac:dyDescent="0.35">
      <c r="C312" s="5">
        <f>_xlfn.XLOOKUP(F312,'Same Seller Hist'!H:H,'Same Seller Hist'!E:E)</f>
        <v>401498676</v>
      </c>
      <c r="D312" s="5" t="str">
        <f>_xlfn.XLOOKUP(F312,'Same Seller Hist'!H:H,'Same Seller Hist'!D:D)</f>
        <v>Berinda Utilidades</v>
      </c>
      <c r="E312" s="5">
        <f>_xlfn.XLOOKUP(F312,'Same Seller Hist'!H:H,'Same Seller Hist'!I:I)</f>
        <v>7.4963033840740198E+18</v>
      </c>
      <c r="F312" s="5" t="s">
        <v>851</v>
      </c>
      <c r="G312" s="5" t="str">
        <f>_xlfn.XLOOKUP(C312,'Same Seller Hist'!E:E,'Same Seller Hist'!F:F)</f>
        <v>Lifestyle</v>
      </c>
      <c r="H312" s="19">
        <f>_xlfn.IFNA(_xlfn.XLOOKUP(C312,'Shp 500'!D:D,'Shp 500'!I:I),0)</f>
        <v>0</v>
      </c>
      <c r="I312" s="19">
        <f>_xlfn.IFNA(_xlfn.XLOOKUP(C312,'Shp 500'!D:D,'Shp 500'!J:J),0)</f>
        <v>0</v>
      </c>
      <c r="J312" s="19">
        <v>241.93548387096774</v>
      </c>
      <c r="K312" s="19">
        <v>8783.8709677419356</v>
      </c>
      <c r="L312" s="21" t="s">
        <v>2530</v>
      </c>
      <c r="M312" s="21" t="str">
        <f>IF(L312="Shp 500","Sim",IF(ISNA(_xlfn.XLOOKUP(C312,'Shp 500'!D:D,'Shp 500'!D:D)),"Não","Sim"))</f>
        <v>Não</v>
      </c>
      <c r="N312" s="21" t="str">
        <f>IF(L312="Fastmoss 500","Sim",IF(ISNA(_xlfn.XLOOKUP(_xlfn.XLOOKUP(C312,'Same Seller Hist'!E:E,'Same Seller Hist'!H:H),'Fastmoss 500'!D:D,'Fastmoss 500'!D:D)),"Não","Sim"))</f>
        <v>Sim</v>
      </c>
      <c r="O312" s="21" t="str">
        <f t="shared" si="12"/>
        <v>Não</v>
      </c>
      <c r="P312" s="21" t="str">
        <f t="shared" si="13"/>
        <v>Não</v>
      </c>
      <c r="Q312" s="21">
        <f t="shared" si="14"/>
        <v>1</v>
      </c>
    </row>
    <row r="313" spans="3:17" x14ac:dyDescent="0.35">
      <c r="C313" s="5">
        <f>_xlfn.XLOOKUP(F313,'Same Seller Hist'!H:H,'Same Seller Hist'!E:E)</f>
        <v>928396871</v>
      </c>
      <c r="D313" s="5" t="str">
        <f>_xlfn.XLOOKUP(F313,'Same Seller Hist'!H:H,'Same Seller Hist'!D:D)</f>
        <v>All Win Decor</v>
      </c>
      <c r="E313" s="5">
        <f>_xlfn.XLOOKUP(F313,'Same Seller Hist'!H:H,'Same Seller Hist'!I:I)</f>
        <v>7.4962908103558697E+18</v>
      </c>
      <c r="F313" s="5" t="s">
        <v>748</v>
      </c>
      <c r="G313" s="5" t="str">
        <f>_xlfn.XLOOKUP(C313,'Same Seller Hist'!E:E,'Same Seller Hist'!F:F)</f>
        <v>Lifestyle</v>
      </c>
      <c r="H313" s="19">
        <f>_xlfn.IFNA(_xlfn.XLOOKUP(C313,'Shp 500'!D:D,'Shp 500'!I:I),0)</f>
        <v>0</v>
      </c>
      <c r="I313" s="19">
        <f>_xlfn.IFNA(_xlfn.XLOOKUP(C313,'Shp 500'!D:D,'Shp 500'!J:J),0)</f>
        <v>0</v>
      </c>
      <c r="J313" s="19">
        <v>241.93548387096774</v>
      </c>
      <c r="K313" s="19">
        <v>13825.806451612903</v>
      </c>
      <c r="L313" s="21" t="s">
        <v>2530</v>
      </c>
      <c r="M313" s="21" t="str">
        <f>IF(L313="Shp 500","Sim",IF(ISNA(_xlfn.XLOOKUP(C313,'Shp 500'!D:D,'Shp 500'!D:D)),"Não","Sim"))</f>
        <v>Não</v>
      </c>
      <c r="N313" s="21" t="str">
        <f>IF(L313="Fastmoss 500","Sim",IF(ISNA(_xlfn.XLOOKUP(_xlfn.XLOOKUP(C313,'Same Seller Hist'!E:E,'Same Seller Hist'!H:H),'Fastmoss 500'!D:D,'Fastmoss 500'!D:D)),"Não","Sim"))</f>
        <v>Sim</v>
      </c>
      <c r="O313" s="21" t="str">
        <f t="shared" si="12"/>
        <v>Não</v>
      </c>
      <c r="P313" s="21" t="str">
        <f t="shared" si="13"/>
        <v>Não</v>
      </c>
      <c r="Q313" s="21">
        <f t="shared" si="14"/>
        <v>1</v>
      </c>
    </row>
    <row r="314" spans="3:17" x14ac:dyDescent="0.35">
      <c r="C314" s="5">
        <f>_xlfn.XLOOKUP(F314,'Same Seller Hist'!H:H,'Same Seller Hist'!E:E)</f>
        <v>468499881</v>
      </c>
      <c r="D314" s="5" t="str">
        <f>_xlfn.XLOOKUP(F314,'Same Seller Hist'!H:H,'Same Seller Hist'!D:D)</f>
        <v>Mascote Importações</v>
      </c>
      <c r="E314" s="5">
        <f>_xlfn.XLOOKUP(F314,'Same Seller Hist'!H:H,'Same Seller Hist'!I:I)</f>
        <v>7.4961862387499305E+18</v>
      </c>
      <c r="F314" s="5" t="s">
        <v>590</v>
      </c>
      <c r="G314" s="5" t="str">
        <f>_xlfn.XLOOKUP(C314,'Same Seller Hist'!E:E,'Same Seller Hist'!F:F)</f>
        <v>FMCG</v>
      </c>
      <c r="H314" s="19">
        <f>_xlfn.IFNA(_xlfn.XLOOKUP(C314,'Shp 500'!D:D,'Shp 500'!I:I),0)</f>
        <v>0</v>
      </c>
      <c r="I314" s="19">
        <f>_xlfn.IFNA(_xlfn.XLOOKUP(C314,'Shp 500'!D:D,'Shp 500'!J:J),0)</f>
        <v>0</v>
      </c>
      <c r="J314" s="19">
        <v>238.70967741935485</v>
      </c>
      <c r="K314" s="19">
        <v>6529.0322580645161</v>
      </c>
      <c r="L314" s="21" t="s">
        <v>2530</v>
      </c>
      <c r="M314" s="21" t="str">
        <f>IF(L314="Shp 500","Sim",IF(ISNA(_xlfn.XLOOKUP(C314,'Shp 500'!D:D,'Shp 500'!D:D)),"Não","Sim"))</f>
        <v>Não</v>
      </c>
      <c r="N314" s="21" t="str">
        <f>IF(L314="Fastmoss 500","Sim",IF(ISNA(_xlfn.XLOOKUP(_xlfn.XLOOKUP(C314,'Same Seller Hist'!E:E,'Same Seller Hist'!H:H),'Fastmoss 500'!D:D,'Fastmoss 500'!D:D)),"Não","Sim"))</f>
        <v>Sim</v>
      </c>
      <c r="O314" s="21" t="str">
        <f t="shared" si="12"/>
        <v>Não</v>
      </c>
      <c r="P314" s="21" t="str">
        <f t="shared" si="13"/>
        <v>Não</v>
      </c>
      <c r="Q314" s="21">
        <f t="shared" si="14"/>
        <v>1</v>
      </c>
    </row>
    <row r="315" spans="3:17" x14ac:dyDescent="0.35">
      <c r="C315" s="5">
        <v>1429781525</v>
      </c>
      <c r="D315" s="5" t="s">
        <v>1389</v>
      </c>
      <c r="E315" s="5">
        <f>_xlfn.XLOOKUP(C315,'Same Seller Hist'!E:E,'Same Seller Hist'!I:I)</f>
        <v>7.4961615625089495E+18</v>
      </c>
      <c r="F315" s="5" t="str">
        <f>_xlfn.XLOOKUP(C315,'Same Seller Hist'!E:E,'Same Seller Hist'!H:H)</f>
        <v>Mais K Compra</v>
      </c>
      <c r="G315" s="5" t="s">
        <v>1734</v>
      </c>
      <c r="H315" s="19">
        <v>1669.7741935483839</v>
      </c>
      <c r="I315" s="19">
        <v>7824.6759025339352</v>
      </c>
      <c r="J315" s="19">
        <f>_xlfn.IFNA(_xlfn.XLOOKUP(F315,'Fastmoss 500'!D:D,'Fastmoss 500'!O:O),0)</f>
        <v>283.87096774193549</v>
      </c>
      <c r="K315" s="19">
        <f>_xlfn.IFNA(_xlfn.XLOOKUP(F315,'Fastmoss 500'!D:D,'Fastmoss 500'!N:N),0)</f>
        <v>9722.5806451612898</v>
      </c>
      <c r="L315" s="21" t="s">
        <v>2528</v>
      </c>
      <c r="M315" s="21" t="str">
        <f>IF(L315="Shp 500","Sim",IF(ISNA(_xlfn.XLOOKUP(C315,'Shp 500'!D:D,'Shp 500'!D:D)),"Não","Sim"))</f>
        <v>Sim</v>
      </c>
      <c r="N315" s="21" t="str">
        <f>IF(L315="Fastmoss 500","Sim",IF(ISNA(_xlfn.XLOOKUP(_xlfn.XLOOKUP(C315,'Same Seller Hist'!E:E,'Same Seller Hist'!H:H),'Fastmoss 500'!D:D,'Fastmoss 500'!D:D)),"Não","Sim"))</f>
        <v>Sim</v>
      </c>
      <c r="O315" s="21" t="str">
        <f t="shared" si="12"/>
        <v>Sim</v>
      </c>
      <c r="P315" s="21" t="str">
        <f t="shared" si="13"/>
        <v>Não</v>
      </c>
      <c r="Q315" s="21">
        <f t="shared" si="14"/>
        <v>1</v>
      </c>
    </row>
    <row r="316" spans="3:17" x14ac:dyDescent="0.35">
      <c r="C316" s="5">
        <f>_xlfn.XLOOKUP(F316,'Same Seller Hist'!H:H,'Same Seller Hist'!E:E)</f>
        <v>983290979</v>
      </c>
      <c r="D316" s="5" t="str">
        <f>_xlfn.XLOOKUP(F316,'Same Seller Hist'!H:H,'Same Seller Hist'!D:D)</f>
        <v>Star Shop Digital</v>
      </c>
      <c r="E316" s="5">
        <f>_xlfn.XLOOKUP(F316,'Same Seller Hist'!H:H,'Same Seller Hist'!I:I)</f>
        <v>7.4963050744077701E+18</v>
      </c>
      <c r="F316" s="5" t="s">
        <v>896</v>
      </c>
      <c r="G316" s="5">
        <f>_xlfn.XLOOKUP(C316,'Same Seller Hist'!E:E,'Same Seller Hist'!F:F)</f>
        <v>0</v>
      </c>
      <c r="H316" s="19">
        <f>_xlfn.IFNA(_xlfn.XLOOKUP(C316,'Shp 500'!D:D,'Shp 500'!I:I),0)</f>
        <v>0</v>
      </c>
      <c r="I316" s="19">
        <f>_xlfn.IFNA(_xlfn.XLOOKUP(C316,'Shp 500'!D:D,'Shp 500'!J:J),0)</f>
        <v>0</v>
      </c>
      <c r="J316" s="19">
        <v>235.48387096774192</v>
      </c>
      <c r="K316" s="19">
        <v>7332.2580645161288</v>
      </c>
      <c r="L316" s="21" t="s">
        <v>2530</v>
      </c>
      <c r="M316" s="21" t="str">
        <f>IF(L316="Shp 500","Sim",IF(ISNA(_xlfn.XLOOKUP(C316,'Shp 500'!D:D,'Shp 500'!D:D)),"Não","Sim"))</f>
        <v>Não</v>
      </c>
      <c r="N316" s="21" t="str">
        <f>IF(L316="Fastmoss 500","Sim",IF(ISNA(_xlfn.XLOOKUP(_xlfn.XLOOKUP(C316,'Same Seller Hist'!E:E,'Same Seller Hist'!H:H),'Fastmoss 500'!D:D,'Fastmoss 500'!D:D)),"Não","Sim"))</f>
        <v>Sim</v>
      </c>
      <c r="O316" s="21" t="str">
        <f t="shared" si="12"/>
        <v>Não</v>
      </c>
      <c r="P316" s="21" t="str">
        <f t="shared" si="13"/>
        <v>Não</v>
      </c>
      <c r="Q316" s="21">
        <f t="shared" si="14"/>
        <v>1</v>
      </c>
    </row>
    <row r="317" spans="3:17" x14ac:dyDescent="0.35">
      <c r="C317" s="5">
        <f>_xlfn.XLOOKUP(F317,'Same Seller Hist'!H:H,'Same Seller Hist'!E:E)</f>
        <v>443085185</v>
      </c>
      <c r="D317" s="5" t="str">
        <f>_xlfn.XLOOKUP(F317,'Same Seller Hist'!H:H,'Same Seller Hist'!D:D)</f>
        <v>Cicatribem</v>
      </c>
      <c r="E317" s="5">
        <f>_xlfn.XLOOKUP(F317,'Same Seller Hist'!H:H,'Same Seller Hist'!I:I)</f>
        <v>7.49616715350733E+18</v>
      </c>
      <c r="F317" s="5" t="s">
        <v>578</v>
      </c>
      <c r="G317" s="5" t="str">
        <f>_xlfn.XLOOKUP(C317,'Same Seller Hist'!E:E,'Same Seller Hist'!F:F)</f>
        <v>FMCG</v>
      </c>
      <c r="H317" s="19">
        <f>_xlfn.IFNA(_xlfn.XLOOKUP(C317,'Shp 500'!D:D,'Shp 500'!I:I),0)</f>
        <v>0</v>
      </c>
      <c r="I317" s="19">
        <f>_xlfn.IFNA(_xlfn.XLOOKUP(C317,'Shp 500'!D:D,'Shp 500'!J:J),0)</f>
        <v>0</v>
      </c>
      <c r="J317" s="19">
        <v>232.25806451612902</v>
      </c>
      <c r="K317" s="19">
        <v>38709.677419354841</v>
      </c>
      <c r="L317" s="21" t="s">
        <v>2530</v>
      </c>
      <c r="M317" s="21" t="str">
        <f>IF(L317="Shp 500","Sim",IF(ISNA(_xlfn.XLOOKUP(C317,'Shp 500'!D:D,'Shp 500'!D:D)),"Não","Sim"))</f>
        <v>Não</v>
      </c>
      <c r="N317" s="21" t="str">
        <f>IF(L317="Fastmoss 500","Sim",IF(ISNA(_xlfn.XLOOKUP(_xlfn.XLOOKUP(C317,'Same Seller Hist'!E:E,'Same Seller Hist'!H:H),'Fastmoss 500'!D:D,'Fastmoss 500'!D:D)),"Não","Sim"))</f>
        <v>Sim</v>
      </c>
      <c r="O317" s="21" t="str">
        <f t="shared" si="12"/>
        <v>Não</v>
      </c>
      <c r="P317" s="21" t="str">
        <f t="shared" si="13"/>
        <v>Não</v>
      </c>
      <c r="Q317" s="21">
        <f t="shared" si="14"/>
        <v>1</v>
      </c>
    </row>
    <row r="318" spans="3:17" x14ac:dyDescent="0.35">
      <c r="C318" s="5">
        <f>_xlfn.XLOOKUP(F318,'Same Seller Hist'!H:H,'Same Seller Hist'!E:E)</f>
        <v>313531142</v>
      </c>
      <c r="D318" s="5" t="str">
        <f>_xlfn.XLOOKUP(F318,'Same Seller Hist'!H:H,'Same Seller Hist'!D:D)</f>
        <v>QueroShoes</v>
      </c>
      <c r="E318" s="5">
        <f>_xlfn.XLOOKUP(F318,'Same Seller Hist'!H:H,'Same Seller Hist'!I:I)</f>
        <v>7.4961828234274099E+18</v>
      </c>
      <c r="F318" s="5" t="s">
        <v>403</v>
      </c>
      <c r="G318" s="5" t="str">
        <f>_xlfn.XLOOKUP(C318,'Same Seller Hist'!E:E,'Same Seller Hist'!F:F)</f>
        <v>Fashion</v>
      </c>
      <c r="H318" s="19">
        <f>_xlfn.IFNA(_xlfn.XLOOKUP(C318,'Shp 500'!D:D,'Shp 500'!I:I),0)</f>
        <v>0</v>
      </c>
      <c r="I318" s="19">
        <f>_xlfn.IFNA(_xlfn.XLOOKUP(C318,'Shp 500'!D:D,'Shp 500'!J:J),0)</f>
        <v>0</v>
      </c>
      <c r="J318" s="19">
        <v>229.03225806451613</v>
      </c>
      <c r="K318" s="19">
        <v>13287.096774193549</v>
      </c>
      <c r="L318" s="21" t="s">
        <v>2530</v>
      </c>
      <c r="M318" s="21" t="str">
        <f>IF(L318="Shp 500","Sim",IF(ISNA(_xlfn.XLOOKUP(C318,'Shp 500'!D:D,'Shp 500'!D:D)),"Não","Sim"))</f>
        <v>Não</v>
      </c>
      <c r="N318" s="21" t="str">
        <f>IF(L318="Fastmoss 500","Sim",IF(ISNA(_xlfn.XLOOKUP(_xlfn.XLOOKUP(C318,'Same Seller Hist'!E:E,'Same Seller Hist'!H:H),'Fastmoss 500'!D:D,'Fastmoss 500'!D:D)),"Não","Sim"))</f>
        <v>Sim</v>
      </c>
      <c r="O318" s="21" t="str">
        <f t="shared" si="12"/>
        <v>Não</v>
      </c>
      <c r="P318" s="21" t="str">
        <f t="shared" si="13"/>
        <v>Não</v>
      </c>
      <c r="Q318" s="21">
        <f t="shared" si="14"/>
        <v>1</v>
      </c>
    </row>
    <row r="319" spans="3:17" x14ac:dyDescent="0.35">
      <c r="C319" s="5">
        <f>_xlfn.XLOOKUP(F319,'Same Seller Hist'!H:H,'Same Seller Hist'!E:E)</f>
        <v>1384738256</v>
      </c>
      <c r="D319" s="5" t="str">
        <f>_xlfn.XLOOKUP(F319,'Same Seller Hist'!H:H,'Same Seller Hist'!D:D)</f>
        <v>Piccinato Acessórios</v>
      </c>
      <c r="E319" s="5">
        <f>_xlfn.XLOOKUP(F319,'Same Seller Hist'!H:H,'Same Seller Hist'!I:I)</f>
        <v>7.4963208801380198E+18</v>
      </c>
      <c r="F319" s="5" t="s">
        <v>892</v>
      </c>
      <c r="G319" s="5">
        <f>_xlfn.XLOOKUP(C319,'Same Seller Hist'!E:E,'Same Seller Hist'!F:F)</f>
        <v>0</v>
      </c>
      <c r="H319" s="19">
        <f>_xlfn.IFNA(_xlfn.XLOOKUP(C319,'Shp 500'!D:D,'Shp 500'!I:I),0)</f>
        <v>0</v>
      </c>
      <c r="I319" s="19">
        <f>_xlfn.IFNA(_xlfn.XLOOKUP(C319,'Shp 500'!D:D,'Shp 500'!J:J),0)</f>
        <v>0</v>
      </c>
      <c r="J319" s="19">
        <v>229.03225806451613</v>
      </c>
      <c r="K319" s="19">
        <v>12625.806451612903</v>
      </c>
      <c r="L319" s="21" t="s">
        <v>2530</v>
      </c>
      <c r="M319" s="21" t="str">
        <f>IF(L319="Shp 500","Sim",IF(ISNA(_xlfn.XLOOKUP(C319,'Shp 500'!D:D,'Shp 500'!D:D)),"Não","Sim"))</f>
        <v>Não</v>
      </c>
      <c r="N319" s="21" t="str">
        <f>IF(L319="Fastmoss 500","Sim",IF(ISNA(_xlfn.XLOOKUP(_xlfn.XLOOKUP(C319,'Same Seller Hist'!E:E,'Same Seller Hist'!H:H),'Fastmoss 500'!D:D,'Fastmoss 500'!D:D)),"Não","Sim"))</f>
        <v>Sim</v>
      </c>
      <c r="O319" s="21" t="str">
        <f t="shared" si="12"/>
        <v>Não</v>
      </c>
      <c r="P319" s="21" t="str">
        <f t="shared" si="13"/>
        <v>Não</v>
      </c>
      <c r="Q319" s="21">
        <f t="shared" si="14"/>
        <v>1</v>
      </c>
    </row>
    <row r="320" spans="3:17" x14ac:dyDescent="0.35">
      <c r="C320" s="5">
        <f>_xlfn.XLOOKUP(F320,'Same Seller Hist'!H:H,'Same Seller Hist'!E:E)</f>
        <v>654667092</v>
      </c>
      <c r="D320" s="5" t="str">
        <f>_xlfn.XLOOKUP(F320,'Same Seller Hist'!H:H,'Same Seller Hist'!D:D)</f>
        <v>levelup-store</v>
      </c>
      <c r="E320" s="5">
        <f>_xlfn.XLOOKUP(F320,'Same Seller Hist'!H:H,'Same Seller Hist'!I:I)</f>
        <v>7.4961820422719703E+18</v>
      </c>
      <c r="F320" s="5" t="s">
        <v>663</v>
      </c>
      <c r="G320" s="5" t="str">
        <f>_xlfn.XLOOKUP(C320,'Same Seller Hist'!E:E,'Same Seller Hist'!F:F)</f>
        <v>Fashion</v>
      </c>
      <c r="H320" s="19">
        <f>_xlfn.IFNA(_xlfn.XLOOKUP(C320,'Shp 500'!D:D,'Shp 500'!I:I),0)</f>
        <v>0</v>
      </c>
      <c r="I320" s="19">
        <f>_xlfn.IFNA(_xlfn.XLOOKUP(C320,'Shp 500'!D:D,'Shp 500'!J:J),0)</f>
        <v>0</v>
      </c>
      <c r="J320" s="19">
        <v>229.03225806451613</v>
      </c>
      <c r="K320" s="19">
        <v>14422.58064516129</v>
      </c>
      <c r="L320" s="21" t="s">
        <v>2530</v>
      </c>
      <c r="M320" s="21" t="str">
        <f>IF(L320="Shp 500","Sim",IF(ISNA(_xlfn.XLOOKUP(C320,'Shp 500'!D:D,'Shp 500'!D:D)),"Não","Sim"))</f>
        <v>Não</v>
      </c>
      <c r="N320" s="21" t="str">
        <f>IF(L320="Fastmoss 500","Sim",IF(ISNA(_xlfn.XLOOKUP(_xlfn.XLOOKUP(C320,'Same Seller Hist'!E:E,'Same Seller Hist'!H:H),'Fastmoss 500'!D:D,'Fastmoss 500'!D:D)),"Não","Sim"))</f>
        <v>Sim</v>
      </c>
      <c r="O320" s="21" t="str">
        <f t="shared" si="12"/>
        <v>Não</v>
      </c>
      <c r="P320" s="21" t="str">
        <f t="shared" si="13"/>
        <v>Não</v>
      </c>
      <c r="Q320" s="21">
        <f t="shared" si="14"/>
        <v>1</v>
      </c>
    </row>
    <row r="321" spans="3:17" x14ac:dyDescent="0.35">
      <c r="C321" s="5">
        <f>_xlfn.XLOOKUP(F321,'Same Seller Hist'!H:H,'Same Seller Hist'!E:E)</f>
        <v>1550915634</v>
      </c>
      <c r="D321" s="5" t="str">
        <f>_xlfn.XLOOKUP(F321,'Same Seller Hist'!H:H,'Same Seller Hist'!D:D)</f>
        <v>K&amp;L SHOP.</v>
      </c>
      <c r="E321" s="5">
        <f>_xlfn.XLOOKUP(F321,'Same Seller Hist'!H:H,'Same Seller Hist'!I:I)</f>
        <v>7.4961821590767196E+18</v>
      </c>
      <c r="F321" s="5" t="s">
        <v>316</v>
      </c>
      <c r="G321" s="5" t="str">
        <f>_xlfn.XLOOKUP(C321,'Same Seller Hist'!E:E,'Same Seller Hist'!F:F)</f>
        <v>Fashion</v>
      </c>
      <c r="H321" s="19">
        <f>_xlfn.IFNA(_xlfn.XLOOKUP(C321,'Shp 500'!D:D,'Shp 500'!I:I),0)</f>
        <v>0</v>
      </c>
      <c r="I321" s="19">
        <f>_xlfn.IFNA(_xlfn.XLOOKUP(C321,'Shp 500'!D:D,'Shp 500'!J:J),0)</f>
        <v>0</v>
      </c>
      <c r="J321" s="19">
        <v>229.03225806451613</v>
      </c>
      <c r="K321" s="19">
        <v>3696.7741935483873</v>
      </c>
      <c r="L321" s="21" t="s">
        <v>2530</v>
      </c>
      <c r="M321" s="21" t="str">
        <f>IF(L321="Shp 500","Sim",IF(ISNA(_xlfn.XLOOKUP(C321,'Shp 500'!D:D,'Shp 500'!D:D)),"Não","Sim"))</f>
        <v>Não</v>
      </c>
      <c r="N321" s="21" t="str">
        <f>IF(L321="Fastmoss 500","Sim",IF(ISNA(_xlfn.XLOOKUP(_xlfn.XLOOKUP(C321,'Same Seller Hist'!E:E,'Same Seller Hist'!H:H),'Fastmoss 500'!D:D,'Fastmoss 500'!D:D)),"Não","Sim"))</f>
        <v>Sim</v>
      </c>
      <c r="O321" s="21" t="str">
        <f t="shared" si="12"/>
        <v>Não</v>
      </c>
      <c r="P321" s="21" t="str">
        <f t="shared" si="13"/>
        <v>Não</v>
      </c>
      <c r="Q321" s="21">
        <f t="shared" si="14"/>
        <v>1</v>
      </c>
    </row>
    <row r="322" spans="3:17" x14ac:dyDescent="0.35">
      <c r="C322" s="5">
        <f>_xlfn.XLOOKUP(F322,'Same Seller Hist'!H:H,'Same Seller Hist'!E:E)</f>
        <v>322584913</v>
      </c>
      <c r="D322" s="5" t="str">
        <f>_xlfn.XLOOKUP(F322,'Same Seller Hist'!H:H,'Same Seller Hist'!D:D)</f>
        <v>Fonte do Brilho</v>
      </c>
      <c r="E322" s="5">
        <f>_xlfn.XLOOKUP(F322,'Same Seller Hist'!H:H,'Same Seller Hist'!I:I)</f>
        <v>7.49620905609216E+18</v>
      </c>
      <c r="F322" s="5" t="s">
        <v>862</v>
      </c>
      <c r="G322" s="5">
        <f>_xlfn.XLOOKUP(C322,'Same Seller Hist'!E:E,'Same Seller Hist'!F:F)</f>
        <v>0</v>
      </c>
      <c r="H322" s="19">
        <f>_xlfn.IFNA(_xlfn.XLOOKUP(C322,'Shp 500'!D:D,'Shp 500'!I:I),0)</f>
        <v>0</v>
      </c>
      <c r="I322" s="19">
        <f>_xlfn.IFNA(_xlfn.XLOOKUP(C322,'Shp 500'!D:D,'Shp 500'!J:J),0)</f>
        <v>0</v>
      </c>
      <c r="J322" s="19">
        <v>229.03225806451613</v>
      </c>
      <c r="K322" s="19">
        <v>6625.8064516129034</v>
      </c>
      <c r="L322" s="21" t="s">
        <v>2530</v>
      </c>
      <c r="M322" s="21" t="str">
        <f>IF(L322="Shp 500","Sim",IF(ISNA(_xlfn.XLOOKUP(C322,'Shp 500'!D:D,'Shp 500'!D:D)),"Não","Sim"))</f>
        <v>Não</v>
      </c>
      <c r="N322" s="21" t="str">
        <f>IF(L322="Fastmoss 500","Sim",IF(ISNA(_xlfn.XLOOKUP(_xlfn.XLOOKUP(C322,'Same Seller Hist'!E:E,'Same Seller Hist'!H:H),'Fastmoss 500'!D:D,'Fastmoss 500'!D:D)),"Não","Sim"))</f>
        <v>Sim</v>
      </c>
      <c r="O322" s="21" t="str">
        <f t="shared" si="12"/>
        <v>Não</v>
      </c>
      <c r="P322" s="21" t="str">
        <f t="shared" si="13"/>
        <v>Não</v>
      </c>
      <c r="Q322" s="21">
        <f t="shared" si="14"/>
        <v>1</v>
      </c>
    </row>
    <row r="323" spans="3:17" x14ac:dyDescent="0.35">
      <c r="C323" s="5">
        <f>_xlfn.XLOOKUP(F323,'Same Seller Hist'!H:H,'Same Seller Hist'!E:E)</f>
        <v>693551101</v>
      </c>
      <c r="D323" s="5" t="str">
        <f>_xlfn.XLOOKUP(F323,'Same Seller Hist'!H:H,'Same Seller Hist'!D:D)</f>
        <v>Estilo &amp; Utilidades</v>
      </c>
      <c r="E323" s="5">
        <f>_xlfn.XLOOKUP(F323,'Same Seller Hist'!H:H,'Same Seller Hist'!I:I)</f>
        <v>7.4941100277762304E+18</v>
      </c>
      <c r="F323" s="5" t="s">
        <v>787</v>
      </c>
      <c r="G323" s="5" t="str">
        <f>_xlfn.XLOOKUP(C323,'Same Seller Hist'!E:E,'Same Seller Hist'!F:F)</f>
        <v>Fashion</v>
      </c>
      <c r="H323" s="19">
        <f>_xlfn.IFNA(_xlfn.XLOOKUP(C323,'Shp 500'!D:D,'Shp 500'!I:I),0)</f>
        <v>0</v>
      </c>
      <c r="I323" s="19">
        <f>_xlfn.IFNA(_xlfn.XLOOKUP(C323,'Shp 500'!D:D,'Shp 500'!J:J),0)</f>
        <v>0</v>
      </c>
      <c r="J323" s="19">
        <v>229.03225806451613</v>
      </c>
      <c r="K323" s="19">
        <v>12732.258064516129</v>
      </c>
      <c r="L323" s="21" t="s">
        <v>2530</v>
      </c>
      <c r="M323" s="21" t="str">
        <f>IF(L323="Shp 500","Sim",IF(ISNA(_xlfn.XLOOKUP(C323,'Shp 500'!D:D,'Shp 500'!D:D)),"Não","Sim"))</f>
        <v>Não</v>
      </c>
      <c r="N323" s="21" t="str">
        <f>IF(L323="Fastmoss 500","Sim",IF(ISNA(_xlfn.XLOOKUP(_xlfn.XLOOKUP(C323,'Same Seller Hist'!E:E,'Same Seller Hist'!H:H),'Fastmoss 500'!D:D,'Fastmoss 500'!D:D)),"Não","Sim"))</f>
        <v>Sim</v>
      </c>
      <c r="O323" s="21" t="str">
        <f t="shared" si="12"/>
        <v>Não</v>
      </c>
      <c r="P323" s="21" t="str">
        <f t="shared" si="13"/>
        <v>Não</v>
      </c>
      <c r="Q323" s="21">
        <f t="shared" si="14"/>
        <v>1</v>
      </c>
    </row>
    <row r="324" spans="3:17" x14ac:dyDescent="0.35">
      <c r="C324" s="5">
        <f>_xlfn.XLOOKUP(F324,'Same Seller Hist'!H:H,'Same Seller Hist'!E:E)</f>
        <v>255907611</v>
      </c>
      <c r="D324" s="5" t="str">
        <f>_xlfn.XLOOKUP(F324,'Same Seller Hist'!H:H,'Same Seller Hist'!D:D)</f>
        <v>Bisyou Skincare</v>
      </c>
      <c r="E324" s="5">
        <f>_xlfn.XLOOKUP(F324,'Same Seller Hist'!H:H,'Same Seller Hist'!I:I)</f>
        <v>7.4961664053903698E+18</v>
      </c>
      <c r="F324" s="5" t="s">
        <v>359</v>
      </c>
      <c r="G324" s="5" t="str">
        <f>_xlfn.XLOOKUP(C324,'Same Seller Hist'!E:E,'Same Seller Hist'!F:F)</f>
        <v>FMCG</v>
      </c>
      <c r="H324" s="19">
        <f>_xlfn.IFNA(_xlfn.XLOOKUP(C324,'Shp 500'!D:D,'Shp 500'!I:I),0)</f>
        <v>0</v>
      </c>
      <c r="I324" s="19">
        <f>_xlfn.IFNA(_xlfn.XLOOKUP(C324,'Shp 500'!D:D,'Shp 500'!J:J),0)</f>
        <v>0</v>
      </c>
      <c r="J324" s="19">
        <v>229.03225806451613</v>
      </c>
      <c r="K324" s="19">
        <v>19087.096774193549</v>
      </c>
      <c r="L324" s="21" t="s">
        <v>2530</v>
      </c>
      <c r="M324" s="21" t="str">
        <f>IF(L324="Shp 500","Sim",IF(ISNA(_xlfn.XLOOKUP(C324,'Shp 500'!D:D,'Shp 500'!D:D)),"Não","Sim"))</f>
        <v>Não</v>
      </c>
      <c r="N324" s="21" t="str">
        <f>IF(L324="Fastmoss 500","Sim",IF(ISNA(_xlfn.XLOOKUP(_xlfn.XLOOKUP(C324,'Same Seller Hist'!E:E,'Same Seller Hist'!H:H),'Fastmoss 500'!D:D,'Fastmoss 500'!D:D)),"Não","Sim"))</f>
        <v>Sim</v>
      </c>
      <c r="O324" s="21" t="str">
        <f t="shared" si="12"/>
        <v>Não</v>
      </c>
      <c r="P324" s="21" t="str">
        <f t="shared" si="13"/>
        <v>Não</v>
      </c>
      <c r="Q324" s="21">
        <f t="shared" si="14"/>
        <v>1</v>
      </c>
    </row>
    <row r="325" spans="3:17" x14ac:dyDescent="0.35">
      <c r="C325" s="5">
        <f>_xlfn.XLOOKUP(F325,'Same Seller Hist'!H:H,'Same Seller Hist'!E:E)</f>
        <v>406182835</v>
      </c>
      <c r="D325" s="5" t="str">
        <f>_xlfn.XLOOKUP(F325,'Same Seller Hist'!H:H,'Same Seller Hist'!D:D)</f>
        <v>Panda Mix Presentes</v>
      </c>
      <c r="E325" s="5">
        <f>_xlfn.XLOOKUP(F325,'Same Seller Hist'!H:H,'Same Seller Hist'!I:I)</f>
        <v>7.4962871762823096E+18</v>
      </c>
      <c r="F325" s="5" t="s">
        <v>539</v>
      </c>
      <c r="G325" s="5" t="str">
        <f>_xlfn.XLOOKUP(C325,'Same Seller Hist'!E:E,'Same Seller Hist'!F:F)</f>
        <v>Lifestyle</v>
      </c>
      <c r="H325" s="19">
        <f>_xlfn.IFNA(_xlfn.XLOOKUP(C325,'Shp 500'!D:D,'Shp 500'!I:I),0)</f>
        <v>0</v>
      </c>
      <c r="I325" s="19">
        <f>_xlfn.IFNA(_xlfn.XLOOKUP(C325,'Shp 500'!D:D,'Shp 500'!J:J),0)</f>
        <v>0</v>
      </c>
      <c r="J325" s="19">
        <v>225.80645161290323</v>
      </c>
      <c r="K325" s="19">
        <v>4138.7096774193551</v>
      </c>
      <c r="L325" s="21" t="s">
        <v>2530</v>
      </c>
      <c r="M325" s="21" t="str">
        <f>IF(L325="Shp 500","Sim",IF(ISNA(_xlfn.XLOOKUP(C325,'Shp 500'!D:D,'Shp 500'!D:D)),"Não","Sim"))</f>
        <v>Não</v>
      </c>
      <c r="N325" s="21" t="str">
        <f>IF(L325="Fastmoss 500","Sim",IF(ISNA(_xlfn.XLOOKUP(_xlfn.XLOOKUP(C325,'Same Seller Hist'!E:E,'Same Seller Hist'!H:H),'Fastmoss 500'!D:D,'Fastmoss 500'!D:D)),"Não","Sim"))</f>
        <v>Sim</v>
      </c>
      <c r="O325" s="21" t="str">
        <f t="shared" si="12"/>
        <v>Não</v>
      </c>
      <c r="P325" s="21" t="str">
        <f t="shared" si="13"/>
        <v>Não</v>
      </c>
      <c r="Q325" s="21">
        <f t="shared" si="14"/>
        <v>1</v>
      </c>
    </row>
    <row r="326" spans="3:17" x14ac:dyDescent="0.35">
      <c r="C326" s="5">
        <f>_xlfn.XLOOKUP(F326,'Same Seller Hist'!H:H,'Same Seller Hist'!E:E)</f>
        <v>979730489</v>
      </c>
      <c r="D326" s="5" t="str">
        <f>_xlfn.XLOOKUP(F326,'Same Seller Hist'!H:H,'Same Seller Hist'!D:D)</f>
        <v>GOREME TECH</v>
      </c>
      <c r="E326" s="5">
        <f>_xlfn.XLOOKUP(F326,'Same Seller Hist'!H:H,'Same Seller Hist'!I:I)</f>
        <v>7.4961387013116703E+18</v>
      </c>
      <c r="F326" s="5" t="s">
        <v>767</v>
      </c>
      <c r="G326" s="5" t="str">
        <f>_xlfn.XLOOKUP(C326,'Same Seller Hist'!E:E,'Same Seller Hist'!F:F)</f>
        <v>Lifestyle</v>
      </c>
      <c r="H326" s="19">
        <f>_xlfn.IFNA(_xlfn.XLOOKUP(C326,'Shp 500'!D:D,'Shp 500'!I:I),0)</f>
        <v>0</v>
      </c>
      <c r="I326" s="19">
        <f>_xlfn.IFNA(_xlfn.XLOOKUP(C326,'Shp 500'!D:D,'Shp 500'!J:J),0)</f>
        <v>0</v>
      </c>
      <c r="J326" s="19">
        <v>225.80645161290323</v>
      </c>
      <c r="K326" s="19">
        <v>9722.5806451612898</v>
      </c>
      <c r="L326" s="21" t="s">
        <v>2530</v>
      </c>
      <c r="M326" s="21" t="str">
        <f>IF(L326="Shp 500","Sim",IF(ISNA(_xlfn.XLOOKUP(C326,'Shp 500'!D:D,'Shp 500'!D:D)),"Não","Sim"))</f>
        <v>Não</v>
      </c>
      <c r="N326" s="21" t="str">
        <f>IF(L326="Fastmoss 500","Sim",IF(ISNA(_xlfn.XLOOKUP(_xlfn.XLOOKUP(C326,'Same Seller Hist'!E:E,'Same Seller Hist'!H:H),'Fastmoss 500'!D:D,'Fastmoss 500'!D:D)),"Não","Sim"))</f>
        <v>Sim</v>
      </c>
      <c r="O326" s="21" t="str">
        <f t="shared" si="12"/>
        <v>Não</v>
      </c>
      <c r="P326" s="21" t="str">
        <f t="shared" si="13"/>
        <v>Não</v>
      </c>
      <c r="Q326" s="21">
        <f t="shared" si="14"/>
        <v>1</v>
      </c>
    </row>
    <row r="327" spans="3:17" x14ac:dyDescent="0.35">
      <c r="C327" s="5">
        <f>_xlfn.XLOOKUP(F327,'Same Seller Hist'!H:H,'Same Seller Hist'!E:E)</f>
        <v>1210714652</v>
      </c>
      <c r="D327" s="5" t="str">
        <f>_xlfn.XLOOKUP(F327,'Same Seller Hist'!H:H,'Same Seller Hist'!D:D)</f>
        <v>LANCHI-LI</v>
      </c>
      <c r="E327" s="5">
        <f>_xlfn.XLOOKUP(F327,'Same Seller Hist'!H:H,'Same Seller Hist'!I:I)</f>
        <v>7.4962089997437102E+18</v>
      </c>
      <c r="F327" s="5" t="s">
        <v>152</v>
      </c>
      <c r="G327" s="5" t="str">
        <f>_xlfn.XLOOKUP(C327,'Same Seller Hist'!E:E,'Same Seller Hist'!F:F)</f>
        <v>Lifestyle</v>
      </c>
      <c r="H327" s="19">
        <f>_xlfn.IFNA(_xlfn.XLOOKUP(C327,'Shp 500'!D:D,'Shp 500'!I:I),0)</f>
        <v>0</v>
      </c>
      <c r="I327" s="19">
        <f>_xlfn.IFNA(_xlfn.XLOOKUP(C327,'Shp 500'!D:D,'Shp 500'!J:J),0)</f>
        <v>0</v>
      </c>
      <c r="J327" s="19">
        <v>225.80645161290323</v>
      </c>
      <c r="K327" s="19">
        <v>8977.4193548387102</v>
      </c>
      <c r="L327" s="21" t="s">
        <v>2530</v>
      </c>
      <c r="M327" s="21" t="str">
        <f>IF(L327="Shp 500","Sim",IF(ISNA(_xlfn.XLOOKUP(C327,'Shp 500'!D:D,'Shp 500'!D:D)),"Não","Sim"))</f>
        <v>Não</v>
      </c>
      <c r="N327" s="21" t="str">
        <f>IF(L327="Fastmoss 500","Sim",IF(ISNA(_xlfn.XLOOKUP(_xlfn.XLOOKUP(C327,'Same Seller Hist'!E:E,'Same Seller Hist'!H:H),'Fastmoss 500'!D:D,'Fastmoss 500'!D:D)),"Não","Sim"))</f>
        <v>Sim</v>
      </c>
      <c r="O327" s="21" t="str">
        <f t="shared" si="12"/>
        <v>Não</v>
      </c>
      <c r="P327" s="21" t="str">
        <f t="shared" si="13"/>
        <v>Não</v>
      </c>
      <c r="Q327" s="21">
        <f t="shared" si="14"/>
        <v>1</v>
      </c>
    </row>
    <row r="328" spans="3:17" x14ac:dyDescent="0.35">
      <c r="C328" s="5">
        <f>_xlfn.XLOOKUP(F328,'Same Seller Hist'!H:H,'Same Seller Hist'!E:E)</f>
        <v>1077048083</v>
      </c>
      <c r="D328" s="5" t="str">
        <f>_xlfn.XLOOKUP(F328,'Same Seller Hist'!H:H,'Same Seller Hist'!D:D)</f>
        <v>fabricadalingerie</v>
      </c>
      <c r="E328" s="5">
        <f>_xlfn.XLOOKUP(F328,'Same Seller Hist'!H:H,'Same Seller Hist'!I:I)</f>
        <v>7.4963205892499302E+18</v>
      </c>
      <c r="F328" s="5" t="s">
        <v>94</v>
      </c>
      <c r="G328" s="5" t="str">
        <f>_xlfn.XLOOKUP(C328,'Same Seller Hist'!E:E,'Same Seller Hist'!F:F)</f>
        <v>Fashion</v>
      </c>
      <c r="H328" s="19">
        <f>_xlfn.IFNA(_xlfn.XLOOKUP(C328,'Shp 500'!D:D,'Shp 500'!I:I),0)</f>
        <v>0</v>
      </c>
      <c r="I328" s="19">
        <f>_xlfn.IFNA(_xlfn.XLOOKUP(C328,'Shp 500'!D:D,'Shp 500'!J:J),0)</f>
        <v>0</v>
      </c>
      <c r="J328" s="19">
        <v>225.80645161290323</v>
      </c>
      <c r="K328" s="19">
        <v>7125.8064516129034</v>
      </c>
      <c r="L328" s="21" t="s">
        <v>2530</v>
      </c>
      <c r="M328" s="21" t="str">
        <f>IF(L328="Shp 500","Sim",IF(ISNA(_xlfn.XLOOKUP(C328,'Shp 500'!D:D,'Shp 500'!D:D)),"Não","Sim"))</f>
        <v>Não</v>
      </c>
      <c r="N328" s="21" t="str">
        <f>IF(L328="Fastmoss 500","Sim",IF(ISNA(_xlfn.XLOOKUP(_xlfn.XLOOKUP(C328,'Same Seller Hist'!E:E,'Same Seller Hist'!H:H),'Fastmoss 500'!D:D,'Fastmoss 500'!D:D)),"Não","Sim"))</f>
        <v>Sim</v>
      </c>
      <c r="O328" s="21" t="str">
        <f t="shared" ref="O328:O363" si="15">IF(AND(M328="Sim",N328="Sim"),"Sim","Não")</f>
        <v>Não</v>
      </c>
      <c r="P328" s="21" t="str">
        <f t="shared" ref="P328:P363" si="16">IF(I328&gt;K328,"Sim","Não")</f>
        <v>Não</v>
      </c>
      <c r="Q328" s="21">
        <f t="shared" ref="Q328:Q363" si="17">COUNTIFS(C:C,C328)</f>
        <v>1</v>
      </c>
    </row>
    <row r="329" spans="3:17" x14ac:dyDescent="0.35">
      <c r="C329" s="5">
        <f>_xlfn.XLOOKUP(F329,'Same Seller Hist'!H:H,'Same Seller Hist'!E:E)</f>
        <v>1103263145</v>
      </c>
      <c r="D329" s="5" t="str">
        <f>_xlfn.XLOOKUP(F329,'Same Seller Hist'!H:H,'Same Seller Hist'!D:D)</f>
        <v>Utilibeleza</v>
      </c>
      <c r="E329" s="5">
        <f>_xlfn.XLOOKUP(F329,'Same Seller Hist'!H:H,'Same Seller Hist'!I:I)</f>
        <v>7.4961572413733898E+18</v>
      </c>
      <c r="F329" s="5" t="s">
        <v>114</v>
      </c>
      <c r="G329" s="5" t="str">
        <f>_xlfn.XLOOKUP(C329,'Same Seller Hist'!E:E,'Same Seller Hist'!F:F)</f>
        <v>FMCG</v>
      </c>
      <c r="H329" s="19">
        <f>_xlfn.IFNA(_xlfn.XLOOKUP(C329,'Shp 500'!D:D,'Shp 500'!I:I),0)</f>
        <v>0</v>
      </c>
      <c r="I329" s="19">
        <f>_xlfn.IFNA(_xlfn.XLOOKUP(C329,'Shp 500'!D:D,'Shp 500'!J:J),0)</f>
        <v>0</v>
      </c>
      <c r="J329" s="19">
        <v>225.80645161290323</v>
      </c>
      <c r="K329" s="19">
        <v>6200</v>
      </c>
      <c r="L329" s="21" t="s">
        <v>2530</v>
      </c>
      <c r="M329" s="21" t="str">
        <f>IF(L329="Shp 500","Sim",IF(ISNA(_xlfn.XLOOKUP(C329,'Shp 500'!D:D,'Shp 500'!D:D)),"Não","Sim"))</f>
        <v>Não</v>
      </c>
      <c r="N329" s="21" t="str">
        <f>IF(L329="Fastmoss 500","Sim",IF(ISNA(_xlfn.XLOOKUP(_xlfn.XLOOKUP(C329,'Same Seller Hist'!E:E,'Same Seller Hist'!H:H),'Fastmoss 500'!D:D,'Fastmoss 500'!D:D)),"Não","Sim"))</f>
        <v>Sim</v>
      </c>
      <c r="O329" s="21" t="str">
        <f t="shared" si="15"/>
        <v>Não</v>
      </c>
      <c r="P329" s="21" t="str">
        <f t="shared" si="16"/>
        <v>Não</v>
      </c>
      <c r="Q329" s="21">
        <f t="shared" si="17"/>
        <v>1</v>
      </c>
    </row>
    <row r="330" spans="3:17" x14ac:dyDescent="0.35">
      <c r="C330" s="5">
        <f>_xlfn.XLOOKUP(F330,'Same Seller Hist'!H:H,'Same Seller Hist'!E:E)</f>
        <v>1419639054</v>
      </c>
      <c r="D330" s="5" t="str">
        <f>_xlfn.XLOOKUP(F330,'Same Seller Hist'!H:H,'Same Seller Hist'!D:D)</f>
        <v>JR MODA FEMENINA</v>
      </c>
      <c r="E330" s="5">
        <f>_xlfn.XLOOKUP(F330,'Same Seller Hist'!H:H,'Same Seller Hist'!I:I)</f>
        <v>7.49631631616111E+18</v>
      </c>
      <c r="F330" s="5" t="s">
        <v>869</v>
      </c>
      <c r="G330" s="5">
        <f>_xlfn.XLOOKUP(C330,'Same Seller Hist'!E:E,'Same Seller Hist'!F:F)</f>
        <v>0</v>
      </c>
      <c r="H330" s="19">
        <f>_xlfn.IFNA(_xlfn.XLOOKUP(C330,'Shp 500'!D:D,'Shp 500'!I:I),0)</f>
        <v>0</v>
      </c>
      <c r="I330" s="19">
        <f>_xlfn.IFNA(_xlfn.XLOOKUP(C330,'Shp 500'!D:D,'Shp 500'!J:J),0)</f>
        <v>0</v>
      </c>
      <c r="J330" s="19">
        <v>225.80645161290323</v>
      </c>
      <c r="K330" s="19">
        <v>9035.4838709677424</v>
      </c>
      <c r="L330" s="21" t="s">
        <v>2530</v>
      </c>
      <c r="M330" s="21" t="str">
        <f>IF(L330="Shp 500","Sim",IF(ISNA(_xlfn.XLOOKUP(C330,'Shp 500'!D:D,'Shp 500'!D:D)),"Não","Sim"))</f>
        <v>Não</v>
      </c>
      <c r="N330" s="21" t="str">
        <f>IF(L330="Fastmoss 500","Sim",IF(ISNA(_xlfn.XLOOKUP(_xlfn.XLOOKUP(C330,'Same Seller Hist'!E:E,'Same Seller Hist'!H:H),'Fastmoss 500'!D:D,'Fastmoss 500'!D:D)),"Não","Sim"))</f>
        <v>Sim</v>
      </c>
      <c r="O330" s="21" t="str">
        <f t="shared" si="15"/>
        <v>Não</v>
      </c>
      <c r="P330" s="21" t="str">
        <f t="shared" si="16"/>
        <v>Não</v>
      </c>
      <c r="Q330" s="21">
        <f t="shared" si="17"/>
        <v>1</v>
      </c>
    </row>
    <row r="331" spans="3:17" x14ac:dyDescent="0.35">
      <c r="C331" s="5">
        <f>_xlfn.XLOOKUP(F331,'Same Seller Hist'!H:H,'Same Seller Hist'!E:E)</f>
        <v>511419479</v>
      </c>
      <c r="D331" s="5" t="str">
        <f>_xlfn.XLOOKUP(F331,'Same Seller Hist'!H:H,'Same Seller Hist'!D:D)</f>
        <v>GLOW DESCONTOS</v>
      </c>
      <c r="E331" s="5">
        <f>_xlfn.XLOOKUP(F331,'Same Seller Hist'!H:H,'Same Seller Hist'!I:I)</f>
        <v>7.4961835381722604E+18</v>
      </c>
      <c r="F331" s="5" t="s">
        <v>614</v>
      </c>
      <c r="G331" s="5" t="str">
        <f>_xlfn.XLOOKUP(C331,'Same Seller Hist'!E:E,'Same Seller Hist'!F:F)</f>
        <v>FMCG</v>
      </c>
      <c r="H331" s="19">
        <f>_xlfn.IFNA(_xlfn.XLOOKUP(C331,'Shp 500'!D:D,'Shp 500'!I:I),0)</f>
        <v>0</v>
      </c>
      <c r="I331" s="19">
        <f>_xlfn.IFNA(_xlfn.XLOOKUP(C331,'Shp 500'!D:D,'Shp 500'!J:J),0)</f>
        <v>0</v>
      </c>
      <c r="J331" s="19">
        <v>222.58064516129033</v>
      </c>
      <c r="K331" s="19">
        <v>7525.8064516129034</v>
      </c>
      <c r="L331" s="21" t="s">
        <v>2530</v>
      </c>
      <c r="M331" s="21" t="str">
        <f>IF(L331="Shp 500","Sim",IF(ISNA(_xlfn.XLOOKUP(C331,'Shp 500'!D:D,'Shp 500'!D:D)),"Não","Sim"))</f>
        <v>Não</v>
      </c>
      <c r="N331" s="21" t="str">
        <f>IF(L331="Fastmoss 500","Sim",IF(ISNA(_xlfn.XLOOKUP(_xlfn.XLOOKUP(C331,'Same Seller Hist'!E:E,'Same Seller Hist'!H:H),'Fastmoss 500'!D:D,'Fastmoss 500'!D:D)),"Não","Sim"))</f>
        <v>Sim</v>
      </c>
      <c r="O331" s="21" t="str">
        <f t="shared" si="15"/>
        <v>Não</v>
      </c>
      <c r="P331" s="21" t="str">
        <f t="shared" si="16"/>
        <v>Não</v>
      </c>
      <c r="Q331" s="21">
        <f t="shared" si="17"/>
        <v>1</v>
      </c>
    </row>
    <row r="332" spans="3:17" x14ac:dyDescent="0.35">
      <c r="C332" s="5">
        <f>_xlfn.XLOOKUP(F332,'Same Seller Hist'!H:H,'Same Seller Hist'!E:E)</f>
        <v>1141434114</v>
      </c>
      <c r="D332" s="5" t="str">
        <f>_xlfn.XLOOKUP(F332,'Same Seller Hist'!H:H,'Same Seller Hist'!D:D)</f>
        <v>POP YO</v>
      </c>
      <c r="E332" s="5">
        <f>_xlfn.XLOOKUP(F332,'Same Seller Hist'!H:H,'Same Seller Hist'!I:I)</f>
        <v>7.4963144079937004E+18</v>
      </c>
      <c r="F332" s="5" t="s">
        <v>126</v>
      </c>
      <c r="G332" s="5" t="str">
        <f>_xlfn.XLOOKUP(C332,'Same Seller Hist'!E:E,'Same Seller Hist'!F:F)</f>
        <v>Lifestyle</v>
      </c>
      <c r="H332" s="19">
        <f>_xlfn.IFNA(_xlfn.XLOOKUP(C332,'Shp 500'!D:D,'Shp 500'!I:I),0)</f>
        <v>0</v>
      </c>
      <c r="I332" s="19">
        <f>_xlfn.IFNA(_xlfn.XLOOKUP(C332,'Shp 500'!D:D,'Shp 500'!J:J),0)</f>
        <v>0</v>
      </c>
      <c r="J332" s="19">
        <v>222.58064516129033</v>
      </c>
      <c r="K332" s="19">
        <v>17835.483870967742</v>
      </c>
      <c r="L332" s="21" t="s">
        <v>2530</v>
      </c>
      <c r="M332" s="21" t="str">
        <f>IF(L332="Shp 500","Sim",IF(ISNA(_xlfn.XLOOKUP(C332,'Shp 500'!D:D,'Shp 500'!D:D)),"Não","Sim"))</f>
        <v>Não</v>
      </c>
      <c r="N332" s="21" t="str">
        <f>IF(L332="Fastmoss 500","Sim",IF(ISNA(_xlfn.XLOOKUP(_xlfn.XLOOKUP(C332,'Same Seller Hist'!E:E,'Same Seller Hist'!H:H),'Fastmoss 500'!D:D,'Fastmoss 500'!D:D)),"Não","Sim"))</f>
        <v>Sim</v>
      </c>
      <c r="O332" s="21" t="str">
        <f t="shared" si="15"/>
        <v>Não</v>
      </c>
      <c r="P332" s="21" t="str">
        <f t="shared" si="16"/>
        <v>Não</v>
      </c>
      <c r="Q332" s="21">
        <f t="shared" si="17"/>
        <v>1</v>
      </c>
    </row>
    <row r="333" spans="3:17" x14ac:dyDescent="0.35">
      <c r="C333" s="5">
        <f>_xlfn.XLOOKUP(F333,'Same Seller Hist'!H:H,'Same Seller Hist'!E:E)</f>
        <v>345744108</v>
      </c>
      <c r="D333" s="5" t="str">
        <f>_xlfn.XLOOKUP(F333,'Same Seller Hist'!H:H,'Same Seller Hist'!D:D)</f>
        <v>Moda Fashion CB</v>
      </c>
      <c r="E333" s="5">
        <f>_xlfn.XLOOKUP(F333,'Same Seller Hist'!H:H,'Same Seller Hist'!I:I)</f>
        <v>7.4961818933011702E+18</v>
      </c>
      <c r="F333" s="5" t="s">
        <v>885</v>
      </c>
      <c r="G333" s="5">
        <f>_xlfn.XLOOKUP(C333,'Same Seller Hist'!E:E,'Same Seller Hist'!F:F)</f>
        <v>0</v>
      </c>
      <c r="H333" s="19">
        <f>_xlfn.IFNA(_xlfn.XLOOKUP(C333,'Shp 500'!D:D,'Shp 500'!I:I),0)</f>
        <v>0</v>
      </c>
      <c r="I333" s="19">
        <f>_xlfn.IFNA(_xlfn.XLOOKUP(C333,'Shp 500'!D:D,'Shp 500'!J:J),0)</f>
        <v>0</v>
      </c>
      <c r="J333" s="19">
        <v>222.58064516129033</v>
      </c>
      <c r="K333" s="19">
        <v>13958.064516129032</v>
      </c>
      <c r="L333" s="21" t="s">
        <v>2530</v>
      </c>
      <c r="M333" s="21" t="str">
        <f>IF(L333="Shp 500","Sim",IF(ISNA(_xlfn.XLOOKUP(C333,'Shp 500'!D:D,'Shp 500'!D:D)),"Não","Sim"))</f>
        <v>Não</v>
      </c>
      <c r="N333" s="21" t="str">
        <f>IF(L333="Fastmoss 500","Sim",IF(ISNA(_xlfn.XLOOKUP(_xlfn.XLOOKUP(C333,'Same Seller Hist'!E:E,'Same Seller Hist'!H:H),'Fastmoss 500'!D:D,'Fastmoss 500'!D:D)),"Não","Sim"))</f>
        <v>Sim</v>
      </c>
      <c r="O333" s="21" t="str">
        <f t="shared" si="15"/>
        <v>Não</v>
      </c>
      <c r="P333" s="21" t="str">
        <f t="shared" si="16"/>
        <v>Não</v>
      </c>
      <c r="Q333" s="21">
        <f t="shared" si="17"/>
        <v>1</v>
      </c>
    </row>
    <row r="334" spans="3:17" x14ac:dyDescent="0.35">
      <c r="C334" s="5">
        <f>_xlfn.XLOOKUP(F334,'Same Seller Hist'!H:H,'Same Seller Hist'!E:E)</f>
        <v>1091003118</v>
      </c>
      <c r="D334" s="5" t="str">
        <f>_xlfn.XLOOKUP(F334,'Same Seller Hist'!H:H,'Same Seller Hist'!D:D)</f>
        <v>DsOdonto</v>
      </c>
      <c r="E334" s="5">
        <f>_xlfn.XLOOKUP(F334,'Same Seller Hist'!H:H,'Same Seller Hist'!I:I)</f>
        <v>7.4962024975473398E+18</v>
      </c>
      <c r="F334" s="5" t="s">
        <v>107</v>
      </c>
      <c r="G334" s="5" t="str">
        <f>_xlfn.XLOOKUP(C334,'Same Seller Hist'!E:E,'Same Seller Hist'!F:F)</f>
        <v>FMCG</v>
      </c>
      <c r="H334" s="19">
        <f>_xlfn.IFNA(_xlfn.XLOOKUP(C334,'Shp 500'!D:D,'Shp 500'!I:I),0)</f>
        <v>0</v>
      </c>
      <c r="I334" s="19">
        <f>_xlfn.IFNA(_xlfn.XLOOKUP(C334,'Shp 500'!D:D,'Shp 500'!J:J),0)</f>
        <v>0</v>
      </c>
      <c r="J334" s="19">
        <v>222.58064516129033</v>
      </c>
      <c r="K334" s="19">
        <v>10177.41935483871</v>
      </c>
      <c r="L334" s="21" t="s">
        <v>2530</v>
      </c>
      <c r="M334" s="21" t="str">
        <f>IF(L334="Shp 500","Sim",IF(ISNA(_xlfn.XLOOKUP(C334,'Shp 500'!D:D,'Shp 500'!D:D)),"Não","Sim"))</f>
        <v>Não</v>
      </c>
      <c r="N334" s="21" t="str">
        <f>IF(L334="Fastmoss 500","Sim",IF(ISNA(_xlfn.XLOOKUP(_xlfn.XLOOKUP(C334,'Same Seller Hist'!E:E,'Same Seller Hist'!H:H),'Fastmoss 500'!D:D,'Fastmoss 500'!D:D)),"Não","Sim"))</f>
        <v>Sim</v>
      </c>
      <c r="O334" s="21" t="str">
        <f t="shared" si="15"/>
        <v>Não</v>
      </c>
      <c r="P334" s="21" t="str">
        <f t="shared" si="16"/>
        <v>Não</v>
      </c>
      <c r="Q334" s="21">
        <f t="shared" si="17"/>
        <v>1</v>
      </c>
    </row>
    <row r="335" spans="3:17" x14ac:dyDescent="0.35">
      <c r="C335" s="5">
        <f>_xlfn.XLOOKUP(F335,'Same Seller Hist'!H:H,'Same Seller Hist'!E:E)</f>
        <v>1386771889</v>
      </c>
      <c r="D335" s="5" t="str">
        <f>_xlfn.XLOOKUP(F335,'Same Seller Hist'!H:H,'Same Seller Hist'!D:D)</f>
        <v>KODI BR</v>
      </c>
      <c r="E335" s="5">
        <f>_xlfn.XLOOKUP(F335,'Same Seller Hist'!H:H,'Same Seller Hist'!I:I)</f>
        <v>7.4941128431652997E+18</v>
      </c>
      <c r="F335" s="5" t="s">
        <v>236</v>
      </c>
      <c r="G335" s="5" t="str">
        <f>_xlfn.XLOOKUP(C335,'Same Seller Hist'!E:E,'Same Seller Hist'!F:F)</f>
        <v>ELHA</v>
      </c>
      <c r="H335" s="19">
        <f>_xlfn.IFNA(_xlfn.XLOOKUP(C335,'Shp 500'!D:D,'Shp 500'!I:I),0)</f>
        <v>0</v>
      </c>
      <c r="I335" s="19">
        <f>_xlfn.IFNA(_xlfn.XLOOKUP(C335,'Shp 500'!D:D,'Shp 500'!J:J),0)</f>
        <v>0</v>
      </c>
      <c r="J335" s="19">
        <v>219.35483870967741</v>
      </c>
      <c r="K335" s="19">
        <v>14387.096774193549</v>
      </c>
      <c r="L335" s="21" t="s">
        <v>2530</v>
      </c>
      <c r="M335" s="21" t="str">
        <f>IF(L335="Shp 500","Sim",IF(ISNA(_xlfn.XLOOKUP(C335,'Shp 500'!D:D,'Shp 500'!D:D)),"Não","Sim"))</f>
        <v>Não</v>
      </c>
      <c r="N335" s="21" t="str">
        <f>IF(L335="Fastmoss 500","Sim",IF(ISNA(_xlfn.XLOOKUP(_xlfn.XLOOKUP(C335,'Same Seller Hist'!E:E,'Same Seller Hist'!H:H),'Fastmoss 500'!D:D,'Fastmoss 500'!D:D)),"Não","Sim"))</f>
        <v>Sim</v>
      </c>
      <c r="O335" s="21" t="str">
        <f t="shared" si="15"/>
        <v>Não</v>
      </c>
      <c r="P335" s="21" t="str">
        <f t="shared" si="16"/>
        <v>Não</v>
      </c>
      <c r="Q335" s="21">
        <f t="shared" si="17"/>
        <v>1</v>
      </c>
    </row>
    <row r="336" spans="3:17" x14ac:dyDescent="0.35">
      <c r="C336" s="5">
        <f>_xlfn.XLOOKUP(F336,'Same Seller Hist'!H:H,'Same Seller Hist'!E:E)</f>
        <v>1453923275</v>
      </c>
      <c r="D336" s="5" t="str">
        <f>_xlfn.XLOOKUP(F336,'Same Seller Hist'!H:H,'Same Seller Hist'!D:D)</f>
        <v>Toranja Store</v>
      </c>
      <c r="E336" s="5">
        <f>_xlfn.XLOOKUP(F336,'Same Seller Hist'!H:H,'Same Seller Hist'!I:I)</f>
        <v>7.49622951396019E+18</v>
      </c>
      <c r="F336" s="5" t="s">
        <v>267</v>
      </c>
      <c r="G336" s="5" t="str">
        <f>_xlfn.XLOOKUP(C336,'Same Seller Hist'!E:E,'Same Seller Hist'!F:F)</f>
        <v>Fashion</v>
      </c>
      <c r="H336" s="19">
        <f>_xlfn.IFNA(_xlfn.XLOOKUP(C336,'Shp 500'!D:D,'Shp 500'!I:I),0)</f>
        <v>0</v>
      </c>
      <c r="I336" s="19">
        <f>_xlfn.IFNA(_xlfn.XLOOKUP(C336,'Shp 500'!D:D,'Shp 500'!J:J),0)</f>
        <v>0</v>
      </c>
      <c r="J336" s="19">
        <v>219.35483870967741</v>
      </c>
      <c r="K336" s="19">
        <v>8229.032258064517</v>
      </c>
      <c r="L336" s="21" t="s">
        <v>2530</v>
      </c>
      <c r="M336" s="21" t="str">
        <f>IF(L336="Shp 500","Sim",IF(ISNA(_xlfn.XLOOKUP(C336,'Shp 500'!D:D,'Shp 500'!D:D)),"Não","Sim"))</f>
        <v>Não</v>
      </c>
      <c r="N336" s="21" t="str">
        <f>IF(L336="Fastmoss 500","Sim",IF(ISNA(_xlfn.XLOOKUP(_xlfn.XLOOKUP(C336,'Same Seller Hist'!E:E,'Same Seller Hist'!H:H),'Fastmoss 500'!D:D,'Fastmoss 500'!D:D)),"Não","Sim"))</f>
        <v>Sim</v>
      </c>
      <c r="O336" s="21" t="str">
        <f t="shared" si="15"/>
        <v>Não</v>
      </c>
      <c r="P336" s="21" t="str">
        <f t="shared" si="16"/>
        <v>Não</v>
      </c>
      <c r="Q336" s="21">
        <f t="shared" si="17"/>
        <v>1</v>
      </c>
    </row>
    <row r="337" spans="3:17" x14ac:dyDescent="0.35">
      <c r="C337" s="5">
        <f>_xlfn.XLOOKUP(F337,'Same Seller Hist'!H:H,'Same Seller Hist'!E:E)</f>
        <v>1553336088</v>
      </c>
      <c r="D337" s="5" t="str">
        <f>_xlfn.XLOOKUP(F337,'Same Seller Hist'!H:H,'Same Seller Hist'!D:D)</f>
        <v>BEIERMEI Brasil</v>
      </c>
      <c r="E337" s="5">
        <f>_xlfn.XLOOKUP(F337,'Same Seller Hist'!H:H,'Same Seller Hist'!I:I)</f>
        <v>7.49631248585054E+18</v>
      </c>
      <c r="F337" s="5" t="s">
        <v>317</v>
      </c>
      <c r="G337" s="5" t="str">
        <f>_xlfn.XLOOKUP(C337,'Same Seller Hist'!E:E,'Same Seller Hist'!F:F)</f>
        <v>FMCG</v>
      </c>
      <c r="H337" s="19">
        <f>_xlfn.IFNA(_xlfn.XLOOKUP(C337,'Shp 500'!D:D,'Shp 500'!I:I),0)</f>
        <v>0</v>
      </c>
      <c r="I337" s="19">
        <f>_xlfn.IFNA(_xlfn.XLOOKUP(C337,'Shp 500'!D:D,'Shp 500'!J:J),0)</f>
        <v>0</v>
      </c>
      <c r="J337" s="19">
        <v>216.12903225806451</v>
      </c>
      <c r="K337" s="19">
        <v>21180.645161290322</v>
      </c>
      <c r="L337" s="21" t="s">
        <v>2530</v>
      </c>
      <c r="M337" s="21" t="str">
        <f>IF(L337="Shp 500","Sim",IF(ISNA(_xlfn.XLOOKUP(C337,'Shp 500'!D:D,'Shp 500'!D:D)),"Não","Sim"))</f>
        <v>Não</v>
      </c>
      <c r="N337" s="21" t="str">
        <f>IF(L337="Fastmoss 500","Sim",IF(ISNA(_xlfn.XLOOKUP(_xlfn.XLOOKUP(C337,'Same Seller Hist'!E:E,'Same Seller Hist'!H:H),'Fastmoss 500'!D:D,'Fastmoss 500'!D:D)),"Não","Sim"))</f>
        <v>Sim</v>
      </c>
      <c r="O337" s="21" t="str">
        <f t="shared" si="15"/>
        <v>Não</v>
      </c>
      <c r="P337" s="21" t="str">
        <f t="shared" si="16"/>
        <v>Não</v>
      </c>
      <c r="Q337" s="21">
        <f t="shared" si="17"/>
        <v>1</v>
      </c>
    </row>
    <row r="338" spans="3:17" x14ac:dyDescent="0.35">
      <c r="C338" s="5">
        <f>_xlfn.XLOOKUP(F338,'Same Seller Hist'!H:H,'Same Seller Hist'!E:E)</f>
        <v>1590180575</v>
      </c>
      <c r="D338" s="5" t="str">
        <f>_xlfn.XLOOKUP(F338,'Same Seller Hist'!H:H,'Same Seller Hist'!D:D)</f>
        <v>Cestaclic Shop</v>
      </c>
      <c r="E338" s="5">
        <f>_xlfn.XLOOKUP(F338,'Same Seller Hist'!H:H,'Same Seller Hist'!I:I)</f>
        <v>7.4942044413380803E+18</v>
      </c>
      <c r="F338" s="5" t="s">
        <v>855</v>
      </c>
      <c r="G338" s="5">
        <f>_xlfn.XLOOKUP(C338,'Same Seller Hist'!E:E,'Same Seller Hist'!F:F)</f>
        <v>0</v>
      </c>
      <c r="H338" s="19">
        <f>_xlfn.IFNA(_xlfn.XLOOKUP(C338,'Shp 500'!D:D,'Shp 500'!I:I),0)</f>
        <v>0</v>
      </c>
      <c r="I338" s="19">
        <f>_xlfn.IFNA(_xlfn.XLOOKUP(C338,'Shp 500'!D:D,'Shp 500'!J:J),0)</f>
        <v>0</v>
      </c>
      <c r="J338" s="19">
        <v>216.12903225806451</v>
      </c>
      <c r="K338" s="19">
        <v>10287.096774193549</v>
      </c>
      <c r="L338" s="21" t="s">
        <v>2530</v>
      </c>
      <c r="M338" s="21" t="str">
        <f>IF(L338="Shp 500","Sim",IF(ISNA(_xlfn.XLOOKUP(C338,'Shp 500'!D:D,'Shp 500'!D:D)),"Não","Sim"))</f>
        <v>Não</v>
      </c>
      <c r="N338" s="21" t="str">
        <f>IF(L338="Fastmoss 500","Sim",IF(ISNA(_xlfn.XLOOKUP(_xlfn.XLOOKUP(C338,'Same Seller Hist'!E:E,'Same Seller Hist'!H:H),'Fastmoss 500'!D:D,'Fastmoss 500'!D:D)),"Não","Sim"))</f>
        <v>Sim</v>
      </c>
      <c r="O338" s="21" t="str">
        <f t="shared" si="15"/>
        <v>Não</v>
      </c>
      <c r="P338" s="21" t="str">
        <f t="shared" si="16"/>
        <v>Não</v>
      </c>
      <c r="Q338" s="21">
        <f t="shared" si="17"/>
        <v>1</v>
      </c>
    </row>
    <row r="339" spans="3:17" x14ac:dyDescent="0.35">
      <c r="C339" s="5">
        <f>_xlfn.XLOOKUP(F339,'Same Seller Hist'!H:H,'Same Seller Hist'!E:E)</f>
        <v>271521717</v>
      </c>
      <c r="D339" s="5" t="str">
        <f>_xlfn.XLOOKUP(F339,'Same Seller Hist'!H:H,'Same Seller Hist'!D:D)</f>
        <v>LKS SHOP Rio</v>
      </c>
      <c r="E339" s="5">
        <f>_xlfn.XLOOKUP(F339,'Same Seller Hist'!H:H,'Same Seller Hist'!I:I)</f>
        <v>7.4961823584560998E+18</v>
      </c>
      <c r="F339" s="5" t="s">
        <v>874</v>
      </c>
      <c r="G339" s="5">
        <f>_xlfn.XLOOKUP(C339,'Same Seller Hist'!E:E,'Same Seller Hist'!F:F)</f>
        <v>0</v>
      </c>
      <c r="H339" s="19">
        <f>_xlfn.IFNA(_xlfn.XLOOKUP(C339,'Shp 500'!D:D,'Shp 500'!I:I),0)</f>
        <v>0</v>
      </c>
      <c r="I339" s="19">
        <f>_xlfn.IFNA(_xlfn.XLOOKUP(C339,'Shp 500'!D:D,'Shp 500'!J:J),0)</f>
        <v>0</v>
      </c>
      <c r="J339" s="19">
        <v>216.12903225806451</v>
      </c>
      <c r="K339" s="19">
        <v>9961.2903225806458</v>
      </c>
      <c r="L339" s="21" t="s">
        <v>2530</v>
      </c>
      <c r="M339" s="21" t="str">
        <f>IF(L339="Shp 500","Sim",IF(ISNA(_xlfn.XLOOKUP(C339,'Shp 500'!D:D,'Shp 500'!D:D)),"Não","Sim"))</f>
        <v>Não</v>
      </c>
      <c r="N339" s="21" t="str">
        <f>IF(L339="Fastmoss 500","Sim",IF(ISNA(_xlfn.XLOOKUP(_xlfn.XLOOKUP(C339,'Same Seller Hist'!E:E,'Same Seller Hist'!H:H),'Fastmoss 500'!D:D,'Fastmoss 500'!D:D)),"Não","Sim"))</f>
        <v>Sim</v>
      </c>
      <c r="O339" s="21" t="str">
        <f t="shared" si="15"/>
        <v>Não</v>
      </c>
      <c r="P339" s="21" t="str">
        <f t="shared" si="16"/>
        <v>Não</v>
      </c>
      <c r="Q339" s="21">
        <f t="shared" si="17"/>
        <v>1</v>
      </c>
    </row>
    <row r="340" spans="3:17" x14ac:dyDescent="0.35">
      <c r="C340" s="5">
        <f>_xlfn.XLOOKUP(F340,'Same Seller Hist'!H:H,'Same Seller Hist'!E:E)</f>
        <v>1241517624</v>
      </c>
      <c r="D340" s="5" t="str">
        <f>_xlfn.XLOOKUP(F340,'Same Seller Hist'!H:H,'Same Seller Hist'!D:D)</f>
        <v>RBN CLASSIC</v>
      </c>
      <c r="E340" s="5">
        <f>_xlfn.XLOOKUP(F340,'Same Seller Hist'!H:H,'Same Seller Hist'!I:I)</f>
        <v>7.4962378671977595E+18</v>
      </c>
      <c r="F340" s="5" t="s">
        <v>165</v>
      </c>
      <c r="G340" s="5" t="str">
        <f>_xlfn.XLOOKUP(C340,'Same Seller Hist'!E:E,'Same Seller Hist'!F:F)</f>
        <v>Fashion</v>
      </c>
      <c r="H340" s="19">
        <f>_xlfn.IFNA(_xlfn.XLOOKUP(C340,'Shp 500'!D:D,'Shp 500'!I:I),0)</f>
        <v>0</v>
      </c>
      <c r="I340" s="19">
        <f>_xlfn.IFNA(_xlfn.XLOOKUP(C340,'Shp 500'!D:D,'Shp 500'!J:J),0)</f>
        <v>0</v>
      </c>
      <c r="J340" s="19">
        <v>216.12903225806451</v>
      </c>
      <c r="K340" s="19">
        <v>12225.806451612903</v>
      </c>
      <c r="L340" s="21" t="s">
        <v>2530</v>
      </c>
      <c r="M340" s="21" t="str">
        <f>IF(L340="Shp 500","Sim",IF(ISNA(_xlfn.XLOOKUP(C340,'Shp 500'!D:D,'Shp 500'!D:D)),"Não","Sim"))</f>
        <v>Não</v>
      </c>
      <c r="N340" s="21" t="str">
        <f>IF(L340="Fastmoss 500","Sim",IF(ISNA(_xlfn.XLOOKUP(_xlfn.XLOOKUP(C340,'Same Seller Hist'!E:E,'Same Seller Hist'!H:H),'Fastmoss 500'!D:D,'Fastmoss 500'!D:D)),"Não","Sim"))</f>
        <v>Sim</v>
      </c>
      <c r="O340" s="21" t="str">
        <f t="shared" si="15"/>
        <v>Não</v>
      </c>
      <c r="P340" s="21" t="str">
        <f t="shared" si="16"/>
        <v>Não</v>
      </c>
      <c r="Q340" s="21">
        <f t="shared" si="17"/>
        <v>1</v>
      </c>
    </row>
    <row r="341" spans="3:17" x14ac:dyDescent="0.35">
      <c r="C341" s="5">
        <f>_xlfn.XLOOKUP(F341,'Same Seller Hist'!H:H,'Same Seller Hist'!E:E)</f>
        <v>1267696445</v>
      </c>
      <c r="D341" s="5" t="str">
        <f>_xlfn.XLOOKUP(F341,'Same Seller Hist'!H:H,'Same Seller Hist'!D:D)</f>
        <v>Medusa Store Brasil</v>
      </c>
      <c r="E341" s="5">
        <f>_xlfn.XLOOKUP(F341,'Same Seller Hist'!H:H,'Same Seller Hist'!I:I)</f>
        <v>7.4941020475687199E+18</v>
      </c>
      <c r="F341" s="5" t="s">
        <v>880</v>
      </c>
      <c r="G341" s="5">
        <f>_xlfn.XLOOKUP(C341,'Same Seller Hist'!E:E,'Same Seller Hist'!F:F)</f>
        <v>0</v>
      </c>
      <c r="H341" s="19">
        <f>_xlfn.IFNA(_xlfn.XLOOKUP(C341,'Shp 500'!D:D,'Shp 500'!I:I),0)</f>
        <v>0</v>
      </c>
      <c r="I341" s="19">
        <f>_xlfn.IFNA(_xlfn.XLOOKUP(C341,'Shp 500'!D:D,'Shp 500'!J:J),0)</f>
        <v>0</v>
      </c>
      <c r="J341" s="19">
        <v>212.90322580645162</v>
      </c>
      <c r="K341" s="19">
        <v>7680.6451612903229</v>
      </c>
      <c r="L341" s="21" t="s">
        <v>2530</v>
      </c>
      <c r="M341" s="21" t="str">
        <f>IF(L341="Shp 500","Sim",IF(ISNA(_xlfn.XLOOKUP(C341,'Shp 500'!D:D,'Shp 500'!D:D)),"Não","Sim"))</f>
        <v>Não</v>
      </c>
      <c r="N341" s="21" t="str">
        <f>IF(L341="Fastmoss 500","Sim",IF(ISNA(_xlfn.XLOOKUP(_xlfn.XLOOKUP(C341,'Same Seller Hist'!E:E,'Same Seller Hist'!H:H),'Fastmoss 500'!D:D,'Fastmoss 500'!D:D)),"Não","Sim"))</f>
        <v>Sim</v>
      </c>
      <c r="O341" s="21" t="str">
        <f t="shared" si="15"/>
        <v>Não</v>
      </c>
      <c r="P341" s="21" t="str">
        <f t="shared" si="16"/>
        <v>Não</v>
      </c>
      <c r="Q341" s="21">
        <f t="shared" si="17"/>
        <v>1</v>
      </c>
    </row>
    <row r="342" spans="3:17" x14ac:dyDescent="0.35">
      <c r="C342" s="5">
        <f>_xlfn.XLOOKUP(F342,'Same Seller Hist'!H:H,'Same Seller Hist'!E:E)</f>
        <v>368500901</v>
      </c>
      <c r="D342" s="5" t="str">
        <f>_xlfn.XLOOKUP(F342,'Same Seller Hist'!H:H,'Same Seller Hist'!D:D)</f>
        <v>N.A MULTIMARCAS</v>
      </c>
      <c r="E342" s="5">
        <f>_xlfn.XLOOKUP(F342,'Same Seller Hist'!H:H,'Same Seller Hist'!I:I)</f>
        <v>7.4962099318347203E+18</v>
      </c>
      <c r="F342" s="5" t="s">
        <v>477</v>
      </c>
      <c r="G342" s="5" t="str">
        <f>_xlfn.XLOOKUP(C342,'Same Seller Hist'!E:E,'Same Seller Hist'!F:F)</f>
        <v>Fashion</v>
      </c>
      <c r="H342" s="19">
        <f>_xlfn.IFNA(_xlfn.XLOOKUP(C342,'Shp 500'!D:D,'Shp 500'!I:I),0)</f>
        <v>0</v>
      </c>
      <c r="I342" s="19">
        <f>_xlfn.IFNA(_xlfn.XLOOKUP(C342,'Shp 500'!D:D,'Shp 500'!J:J),0)</f>
        <v>0</v>
      </c>
      <c r="J342" s="19">
        <v>212.90322580645162</v>
      </c>
      <c r="K342" s="19">
        <v>12964.516129032258</v>
      </c>
      <c r="L342" s="21" t="s">
        <v>2530</v>
      </c>
      <c r="M342" s="21" t="str">
        <f>IF(L342="Shp 500","Sim",IF(ISNA(_xlfn.XLOOKUP(C342,'Shp 500'!D:D,'Shp 500'!D:D)),"Não","Sim"))</f>
        <v>Não</v>
      </c>
      <c r="N342" s="21" t="str">
        <f>IF(L342="Fastmoss 500","Sim",IF(ISNA(_xlfn.XLOOKUP(_xlfn.XLOOKUP(C342,'Same Seller Hist'!E:E,'Same Seller Hist'!H:H),'Fastmoss 500'!D:D,'Fastmoss 500'!D:D)),"Não","Sim"))</f>
        <v>Sim</v>
      </c>
      <c r="O342" s="21" t="str">
        <f t="shared" si="15"/>
        <v>Não</v>
      </c>
      <c r="P342" s="21" t="str">
        <f t="shared" si="16"/>
        <v>Não</v>
      </c>
      <c r="Q342" s="21">
        <f t="shared" si="17"/>
        <v>1</v>
      </c>
    </row>
    <row r="343" spans="3:17" x14ac:dyDescent="0.35">
      <c r="C343" s="5">
        <f>_xlfn.XLOOKUP(F343,'Same Seller Hist'!H:H,'Same Seller Hist'!E:E)</f>
        <v>1205610005</v>
      </c>
      <c r="D343" s="5" t="str">
        <f>_xlfn.XLOOKUP(F343,'Same Seller Hist'!H:H,'Same Seller Hist'!D:D)</f>
        <v>Crop Culture Store</v>
      </c>
      <c r="E343" s="5">
        <f>_xlfn.XLOOKUP(F343,'Same Seller Hist'!H:H,'Same Seller Hist'!I:I)</f>
        <v>7.4961900603833999E+18</v>
      </c>
      <c r="F343" s="5" t="s">
        <v>857</v>
      </c>
      <c r="G343" s="5">
        <f>_xlfn.XLOOKUP(C343,'Same Seller Hist'!E:E,'Same Seller Hist'!F:F)</f>
        <v>0</v>
      </c>
      <c r="H343" s="19">
        <f>_xlfn.IFNA(_xlfn.XLOOKUP(C343,'Shp 500'!D:D,'Shp 500'!I:I),0)</f>
        <v>0</v>
      </c>
      <c r="I343" s="19">
        <f>_xlfn.IFNA(_xlfn.XLOOKUP(C343,'Shp 500'!D:D,'Shp 500'!J:J),0)</f>
        <v>0</v>
      </c>
      <c r="J343" s="19">
        <v>212.90322580645162</v>
      </c>
      <c r="K343" s="19">
        <v>8051.6129032258068</v>
      </c>
      <c r="L343" s="21" t="s">
        <v>2530</v>
      </c>
      <c r="M343" s="21" t="str">
        <f>IF(L343="Shp 500","Sim",IF(ISNA(_xlfn.XLOOKUP(C343,'Shp 500'!D:D,'Shp 500'!D:D)),"Não","Sim"))</f>
        <v>Não</v>
      </c>
      <c r="N343" s="21" t="str">
        <f>IF(L343="Fastmoss 500","Sim",IF(ISNA(_xlfn.XLOOKUP(_xlfn.XLOOKUP(C343,'Same Seller Hist'!E:E,'Same Seller Hist'!H:H),'Fastmoss 500'!D:D,'Fastmoss 500'!D:D)),"Não","Sim"))</f>
        <v>Sim</v>
      </c>
      <c r="O343" s="21" t="str">
        <f t="shared" si="15"/>
        <v>Não</v>
      </c>
      <c r="P343" s="21" t="str">
        <f t="shared" si="16"/>
        <v>Não</v>
      </c>
      <c r="Q343" s="21">
        <f t="shared" si="17"/>
        <v>1</v>
      </c>
    </row>
    <row r="344" spans="3:17" x14ac:dyDescent="0.35">
      <c r="C344" s="5">
        <f>_xlfn.XLOOKUP(F344,'Same Seller Hist'!H:H,'Same Seller Hist'!E:E)</f>
        <v>592573820</v>
      </c>
      <c r="D344" s="5" t="str">
        <f>_xlfn.XLOOKUP(F344,'Same Seller Hist'!H:H,'Same Seller Hist'!D:D)</f>
        <v>Castro Confecções</v>
      </c>
      <c r="E344" s="5">
        <f>_xlfn.XLOOKUP(F344,'Same Seller Hist'!H:H,'Same Seller Hist'!I:I)</f>
        <v>7.4961819357964196E+18</v>
      </c>
      <c r="F344" s="5" t="s">
        <v>786</v>
      </c>
      <c r="G344" s="5" t="str">
        <f>_xlfn.XLOOKUP(C344,'Same Seller Hist'!E:E,'Same Seller Hist'!F:F)</f>
        <v>FMCG</v>
      </c>
      <c r="H344" s="19">
        <f>_xlfn.IFNA(_xlfn.XLOOKUP(C344,'Shp 500'!D:D,'Shp 500'!I:I),0)</f>
        <v>0</v>
      </c>
      <c r="I344" s="19">
        <f>_xlfn.IFNA(_xlfn.XLOOKUP(C344,'Shp 500'!D:D,'Shp 500'!J:J),0)</f>
        <v>0</v>
      </c>
      <c r="J344" s="19">
        <v>212.90322580645162</v>
      </c>
      <c r="K344" s="19">
        <v>8819.354838709678</v>
      </c>
      <c r="L344" s="21" t="s">
        <v>2530</v>
      </c>
      <c r="M344" s="21" t="str">
        <f>IF(L344="Shp 500","Sim",IF(ISNA(_xlfn.XLOOKUP(C344,'Shp 500'!D:D,'Shp 500'!D:D)),"Não","Sim"))</f>
        <v>Não</v>
      </c>
      <c r="N344" s="21" t="str">
        <f>IF(L344="Fastmoss 500","Sim",IF(ISNA(_xlfn.XLOOKUP(_xlfn.XLOOKUP(C344,'Same Seller Hist'!E:E,'Same Seller Hist'!H:H),'Fastmoss 500'!D:D,'Fastmoss 500'!D:D)),"Não","Sim"))</f>
        <v>Sim</v>
      </c>
      <c r="O344" s="21" t="str">
        <f t="shared" si="15"/>
        <v>Não</v>
      </c>
      <c r="P344" s="21" t="str">
        <f t="shared" si="16"/>
        <v>Não</v>
      </c>
      <c r="Q344" s="21">
        <f t="shared" si="17"/>
        <v>1</v>
      </c>
    </row>
    <row r="345" spans="3:17" x14ac:dyDescent="0.35">
      <c r="C345" s="5">
        <f>_xlfn.XLOOKUP(F345,'Same Seller Hist'!H:H,'Same Seller Hist'!E:E)</f>
        <v>773799036</v>
      </c>
      <c r="D345" s="5" t="str">
        <f>_xlfn.XLOOKUP(F345,'Same Seller Hist'!H:H,'Same Seller Hist'!D:D)</f>
        <v>Rosa Selvagem</v>
      </c>
      <c r="E345" s="5">
        <f>_xlfn.XLOOKUP(F345,'Same Seller Hist'!H:H,'Same Seller Hist'!I:I)</f>
        <v>7.49618213980514E+18</v>
      </c>
      <c r="F345" s="5" t="s">
        <v>701</v>
      </c>
      <c r="G345" s="5" t="str">
        <f>_xlfn.XLOOKUP(C345,'Same Seller Hist'!E:E,'Same Seller Hist'!F:F)</f>
        <v>FMCG</v>
      </c>
      <c r="H345" s="19">
        <f>_xlfn.IFNA(_xlfn.XLOOKUP(C345,'Shp 500'!D:D,'Shp 500'!I:I),0)</f>
        <v>0</v>
      </c>
      <c r="I345" s="19">
        <f>_xlfn.IFNA(_xlfn.XLOOKUP(C345,'Shp 500'!D:D,'Shp 500'!J:J),0)</f>
        <v>0</v>
      </c>
      <c r="J345" s="19">
        <v>212.90322580645162</v>
      </c>
      <c r="K345" s="19">
        <v>18770.967741935485</v>
      </c>
      <c r="L345" s="21" t="s">
        <v>2530</v>
      </c>
      <c r="M345" s="21" t="str">
        <f>IF(L345="Shp 500","Sim",IF(ISNA(_xlfn.XLOOKUP(C345,'Shp 500'!D:D,'Shp 500'!D:D)),"Não","Sim"))</f>
        <v>Não</v>
      </c>
      <c r="N345" s="21" t="str">
        <f>IF(L345="Fastmoss 500","Sim",IF(ISNA(_xlfn.XLOOKUP(_xlfn.XLOOKUP(C345,'Same Seller Hist'!E:E,'Same Seller Hist'!H:H),'Fastmoss 500'!D:D,'Fastmoss 500'!D:D)),"Não","Sim"))</f>
        <v>Sim</v>
      </c>
      <c r="O345" s="21" t="str">
        <f t="shared" si="15"/>
        <v>Não</v>
      </c>
      <c r="P345" s="21" t="str">
        <f t="shared" si="16"/>
        <v>Não</v>
      </c>
      <c r="Q345" s="21">
        <f t="shared" si="17"/>
        <v>1</v>
      </c>
    </row>
    <row r="346" spans="3:17" x14ac:dyDescent="0.35">
      <c r="C346" s="5">
        <f>_xlfn.XLOOKUP(F346,'Same Seller Hist'!H:H,'Same Seller Hist'!E:E)</f>
        <v>557985681</v>
      </c>
      <c r="D346" s="5" t="str">
        <f>_xlfn.XLOOKUP(F346,'Same Seller Hist'!H:H,'Same Seller Hist'!D:D)</f>
        <v>KING PRO GAMES</v>
      </c>
      <c r="E346" s="5">
        <f>_xlfn.XLOOKUP(F346,'Same Seller Hist'!H:H,'Same Seller Hist'!I:I)</f>
        <v>7.4962537970750198E+18</v>
      </c>
      <c r="F346" s="5" t="s">
        <v>870</v>
      </c>
      <c r="G346" s="5">
        <f>_xlfn.XLOOKUP(C346,'Same Seller Hist'!E:E,'Same Seller Hist'!F:F)</f>
        <v>0</v>
      </c>
      <c r="H346" s="19">
        <f>_xlfn.IFNA(_xlfn.XLOOKUP(C346,'Shp 500'!D:D,'Shp 500'!I:I),0)</f>
        <v>0</v>
      </c>
      <c r="I346" s="19">
        <f>_xlfn.IFNA(_xlfn.XLOOKUP(C346,'Shp 500'!D:D,'Shp 500'!J:J),0)</f>
        <v>0</v>
      </c>
      <c r="J346" s="19">
        <v>209.67741935483872</v>
      </c>
      <c r="K346" s="19">
        <v>2838.7096774193546</v>
      </c>
      <c r="L346" s="21" t="s">
        <v>2530</v>
      </c>
      <c r="M346" s="21" t="str">
        <f>IF(L346="Shp 500","Sim",IF(ISNA(_xlfn.XLOOKUP(C346,'Shp 500'!D:D,'Shp 500'!D:D)),"Não","Sim"))</f>
        <v>Não</v>
      </c>
      <c r="N346" s="21" t="str">
        <f>IF(L346="Fastmoss 500","Sim",IF(ISNA(_xlfn.XLOOKUP(_xlfn.XLOOKUP(C346,'Same Seller Hist'!E:E,'Same Seller Hist'!H:H),'Fastmoss 500'!D:D,'Fastmoss 500'!D:D)),"Não","Sim"))</f>
        <v>Sim</v>
      </c>
      <c r="O346" s="21" t="str">
        <f t="shared" si="15"/>
        <v>Não</v>
      </c>
      <c r="P346" s="21" t="str">
        <f t="shared" si="16"/>
        <v>Não</v>
      </c>
      <c r="Q346" s="21">
        <f t="shared" si="17"/>
        <v>1</v>
      </c>
    </row>
    <row r="347" spans="3:17" x14ac:dyDescent="0.35">
      <c r="C347" s="5">
        <f>_xlfn.XLOOKUP(F347,'Same Seller Hist'!H:H,'Same Seller Hist'!E:E)</f>
        <v>988182060</v>
      </c>
      <c r="D347" s="5" t="str">
        <f>_xlfn.XLOOKUP(F347,'Same Seller Hist'!H:H,'Same Seller Hist'!D:D)</f>
        <v>Inova&amp;Basike</v>
      </c>
      <c r="E347" s="5">
        <f>_xlfn.XLOOKUP(F347,'Same Seller Hist'!H:H,'Same Seller Hist'!I:I)</f>
        <v>7.4942013576800799E+18</v>
      </c>
      <c r="F347" s="5" t="s">
        <v>867</v>
      </c>
      <c r="G347" s="5">
        <f>_xlfn.XLOOKUP(C347,'Same Seller Hist'!E:E,'Same Seller Hist'!F:F)</f>
        <v>0</v>
      </c>
      <c r="H347" s="19">
        <f>_xlfn.IFNA(_xlfn.XLOOKUP(C347,'Shp 500'!D:D,'Shp 500'!I:I),0)</f>
        <v>0</v>
      </c>
      <c r="I347" s="19">
        <f>_xlfn.IFNA(_xlfn.XLOOKUP(C347,'Shp 500'!D:D,'Shp 500'!J:J),0)</f>
        <v>0</v>
      </c>
      <c r="J347" s="19">
        <v>209.67741935483872</v>
      </c>
      <c r="K347" s="19">
        <v>15480.645161290322</v>
      </c>
      <c r="L347" s="21" t="s">
        <v>2530</v>
      </c>
      <c r="M347" s="21" t="str">
        <f>IF(L347="Shp 500","Sim",IF(ISNA(_xlfn.XLOOKUP(C347,'Shp 500'!D:D,'Shp 500'!D:D)),"Não","Sim"))</f>
        <v>Não</v>
      </c>
      <c r="N347" s="21" t="str">
        <f>IF(L347="Fastmoss 500","Sim",IF(ISNA(_xlfn.XLOOKUP(_xlfn.XLOOKUP(C347,'Same Seller Hist'!E:E,'Same Seller Hist'!H:H),'Fastmoss 500'!D:D,'Fastmoss 500'!D:D)),"Não","Sim"))</f>
        <v>Sim</v>
      </c>
      <c r="O347" s="21" t="str">
        <f t="shared" si="15"/>
        <v>Não</v>
      </c>
      <c r="P347" s="21" t="str">
        <f t="shared" si="16"/>
        <v>Não</v>
      </c>
      <c r="Q347" s="21">
        <f t="shared" si="17"/>
        <v>1</v>
      </c>
    </row>
    <row r="348" spans="3:17" x14ac:dyDescent="0.35">
      <c r="C348" s="5">
        <f>_xlfn.XLOOKUP(F348,'Same Seller Hist'!H:H,'Same Seller Hist'!E:E)</f>
        <v>754144273</v>
      </c>
      <c r="D348" s="5" t="str">
        <f>_xlfn.XLOOKUP(F348,'Same Seller Hist'!H:H,'Same Seller Hist'!D:D)</f>
        <v>Tudo Aki Express</v>
      </c>
      <c r="E348" s="5">
        <f>_xlfn.XLOOKUP(F348,'Same Seller Hist'!H:H,'Same Seller Hist'!I:I)</f>
        <v>7.4941685956726303E+18</v>
      </c>
      <c r="F348" s="5" t="s">
        <v>899</v>
      </c>
      <c r="G348" s="5">
        <f>_xlfn.XLOOKUP(C348,'Same Seller Hist'!E:E,'Same Seller Hist'!F:F)</f>
        <v>0</v>
      </c>
      <c r="H348" s="19">
        <f>_xlfn.IFNA(_xlfn.XLOOKUP(C348,'Shp 500'!D:D,'Shp 500'!I:I),0)</f>
        <v>0</v>
      </c>
      <c r="I348" s="19">
        <f>_xlfn.IFNA(_xlfn.XLOOKUP(C348,'Shp 500'!D:D,'Shp 500'!J:J),0)</f>
        <v>0</v>
      </c>
      <c r="J348" s="19">
        <v>209.67741935483872</v>
      </c>
      <c r="K348" s="19">
        <v>9248.3870967741932</v>
      </c>
      <c r="L348" s="21" t="s">
        <v>2530</v>
      </c>
      <c r="M348" s="21" t="str">
        <f>IF(L348="Shp 500","Sim",IF(ISNA(_xlfn.XLOOKUP(C348,'Shp 500'!D:D,'Shp 500'!D:D)),"Não","Sim"))</f>
        <v>Não</v>
      </c>
      <c r="N348" s="21" t="str">
        <f>IF(L348="Fastmoss 500","Sim",IF(ISNA(_xlfn.XLOOKUP(_xlfn.XLOOKUP(C348,'Same Seller Hist'!E:E,'Same Seller Hist'!H:H),'Fastmoss 500'!D:D,'Fastmoss 500'!D:D)),"Não","Sim"))</f>
        <v>Sim</v>
      </c>
      <c r="O348" s="21" t="str">
        <f t="shared" si="15"/>
        <v>Não</v>
      </c>
      <c r="P348" s="21" t="str">
        <f t="shared" si="16"/>
        <v>Não</v>
      </c>
      <c r="Q348" s="21">
        <f t="shared" si="17"/>
        <v>1</v>
      </c>
    </row>
    <row r="349" spans="3:17" x14ac:dyDescent="0.35">
      <c r="C349" s="5">
        <f>_xlfn.XLOOKUP(F349,'Same Seller Hist'!H:H,'Same Seller Hist'!E:E)</f>
        <v>288181836</v>
      </c>
      <c r="D349" s="5" t="str">
        <f>_xlfn.XLOOKUP(F349,'Same Seller Hist'!H:H,'Same Seller Hist'!D:D)</f>
        <v>Atena Fashion Store</v>
      </c>
      <c r="E349" s="5">
        <f>_xlfn.XLOOKUP(F349,'Same Seller Hist'!H:H,'Same Seller Hist'!I:I)</f>
        <v>7.4961820389373696E+18</v>
      </c>
      <c r="F349" s="5" t="s">
        <v>850</v>
      </c>
      <c r="G349" s="5">
        <f>_xlfn.XLOOKUP(C349,'Same Seller Hist'!E:E,'Same Seller Hist'!F:F)</f>
        <v>0</v>
      </c>
      <c r="H349" s="19">
        <f>_xlfn.IFNA(_xlfn.XLOOKUP(C349,'Shp 500'!D:D,'Shp 500'!I:I),0)</f>
        <v>0</v>
      </c>
      <c r="I349" s="19">
        <f>_xlfn.IFNA(_xlfn.XLOOKUP(C349,'Shp 500'!D:D,'Shp 500'!J:J),0)</f>
        <v>0</v>
      </c>
      <c r="J349" s="19">
        <v>206.45161290322579</v>
      </c>
      <c r="K349" s="19">
        <v>7067.7419354838712</v>
      </c>
      <c r="L349" s="21" t="s">
        <v>2530</v>
      </c>
      <c r="M349" s="21" t="str">
        <f>IF(L349="Shp 500","Sim",IF(ISNA(_xlfn.XLOOKUP(C349,'Shp 500'!D:D,'Shp 500'!D:D)),"Não","Sim"))</f>
        <v>Não</v>
      </c>
      <c r="N349" s="21" t="str">
        <f>IF(L349="Fastmoss 500","Sim",IF(ISNA(_xlfn.XLOOKUP(_xlfn.XLOOKUP(C349,'Same Seller Hist'!E:E,'Same Seller Hist'!H:H),'Fastmoss 500'!D:D,'Fastmoss 500'!D:D)),"Não","Sim"))</f>
        <v>Sim</v>
      </c>
      <c r="O349" s="21" t="str">
        <f t="shared" si="15"/>
        <v>Não</v>
      </c>
      <c r="P349" s="21" t="str">
        <f t="shared" si="16"/>
        <v>Não</v>
      </c>
      <c r="Q349" s="21">
        <f t="shared" si="17"/>
        <v>1</v>
      </c>
    </row>
    <row r="350" spans="3:17" x14ac:dyDescent="0.35">
      <c r="C350" s="5">
        <f>_xlfn.XLOOKUP(F350,'Same Seller Hist'!H:H,'Same Seller Hist'!E:E)</f>
        <v>942739865</v>
      </c>
      <c r="D350" s="5" t="str">
        <f>_xlfn.XLOOKUP(F350,'Same Seller Hist'!H:H,'Same Seller Hist'!D:D)</f>
        <v>Laisa Modas</v>
      </c>
      <c r="E350" s="5">
        <f>_xlfn.XLOOKUP(F350,'Same Seller Hist'!H:H,'Same Seller Hist'!I:I)</f>
        <v>7.4961883164609997E+18</v>
      </c>
      <c r="F350" s="5" t="s">
        <v>754</v>
      </c>
      <c r="G350" s="5" t="str">
        <f>_xlfn.XLOOKUP(C350,'Same Seller Hist'!E:E,'Same Seller Hist'!F:F)</f>
        <v>Fashion</v>
      </c>
      <c r="H350" s="19">
        <f>_xlfn.IFNA(_xlfn.XLOOKUP(C350,'Shp 500'!D:D,'Shp 500'!I:I),0)</f>
        <v>0</v>
      </c>
      <c r="I350" s="19">
        <f>_xlfn.IFNA(_xlfn.XLOOKUP(C350,'Shp 500'!D:D,'Shp 500'!J:J),0)</f>
        <v>0</v>
      </c>
      <c r="J350" s="19">
        <v>206.45161290322579</v>
      </c>
      <c r="K350" s="19">
        <v>9141.9354838709678</v>
      </c>
      <c r="L350" s="21" t="s">
        <v>2530</v>
      </c>
      <c r="M350" s="21" t="str">
        <f>IF(L350="Shp 500","Sim",IF(ISNA(_xlfn.XLOOKUP(C350,'Shp 500'!D:D,'Shp 500'!D:D)),"Não","Sim"))</f>
        <v>Não</v>
      </c>
      <c r="N350" s="21" t="str">
        <f>IF(L350="Fastmoss 500","Sim",IF(ISNA(_xlfn.XLOOKUP(_xlfn.XLOOKUP(C350,'Same Seller Hist'!E:E,'Same Seller Hist'!H:H),'Fastmoss 500'!D:D,'Fastmoss 500'!D:D)),"Não","Sim"))</f>
        <v>Sim</v>
      </c>
      <c r="O350" s="21" t="str">
        <f t="shared" si="15"/>
        <v>Não</v>
      </c>
      <c r="P350" s="21" t="str">
        <f t="shared" si="16"/>
        <v>Não</v>
      </c>
      <c r="Q350" s="21">
        <f t="shared" si="17"/>
        <v>1</v>
      </c>
    </row>
    <row r="351" spans="3:17" x14ac:dyDescent="0.35">
      <c r="C351" s="5">
        <f>_xlfn.XLOOKUP(F351,'Same Seller Hist'!H:H,'Same Seller Hist'!E:E)</f>
        <v>1670335645</v>
      </c>
      <c r="D351" s="5" t="str">
        <f>_xlfn.XLOOKUP(F351,'Same Seller Hist'!H:H,'Same Seller Hist'!D:D)</f>
        <v>Dami MundoÚtil</v>
      </c>
      <c r="E351" s="5">
        <f>_xlfn.XLOOKUP(F351,'Same Seller Hist'!H:H,'Same Seller Hist'!I:I)</f>
        <v>7.4941309604384205E+18</v>
      </c>
      <c r="F351" s="5" t="s">
        <v>858</v>
      </c>
      <c r="G351" s="5">
        <f>_xlfn.XLOOKUP(C351,'Same Seller Hist'!E:E,'Same Seller Hist'!F:F)</f>
        <v>0</v>
      </c>
      <c r="H351" s="19">
        <f>_xlfn.IFNA(_xlfn.XLOOKUP(C351,'Shp 500'!D:D,'Shp 500'!I:I),0)</f>
        <v>0</v>
      </c>
      <c r="I351" s="19">
        <f>_xlfn.IFNA(_xlfn.XLOOKUP(C351,'Shp 500'!D:D,'Shp 500'!J:J),0)</f>
        <v>0</v>
      </c>
      <c r="J351" s="19">
        <v>206.45161290322579</v>
      </c>
      <c r="K351" s="19">
        <v>6658.0645161290322</v>
      </c>
      <c r="L351" s="21" t="s">
        <v>2530</v>
      </c>
      <c r="M351" s="21" t="str">
        <f>IF(L351="Shp 500","Sim",IF(ISNA(_xlfn.XLOOKUP(C351,'Shp 500'!D:D,'Shp 500'!D:D)),"Não","Sim"))</f>
        <v>Não</v>
      </c>
      <c r="N351" s="21" t="str">
        <f>IF(L351="Fastmoss 500","Sim",IF(ISNA(_xlfn.XLOOKUP(_xlfn.XLOOKUP(C351,'Same Seller Hist'!E:E,'Same Seller Hist'!H:H),'Fastmoss 500'!D:D,'Fastmoss 500'!D:D)),"Não","Sim"))</f>
        <v>Sim</v>
      </c>
      <c r="O351" s="21" t="str">
        <f t="shared" si="15"/>
        <v>Não</v>
      </c>
      <c r="P351" s="21" t="str">
        <f t="shared" si="16"/>
        <v>Não</v>
      </c>
      <c r="Q351" s="21">
        <f t="shared" si="17"/>
        <v>1</v>
      </c>
    </row>
    <row r="352" spans="3:17" x14ac:dyDescent="0.35">
      <c r="C352" s="5">
        <f>_xlfn.XLOOKUP(F352,'Same Seller Hist'!H:H,'Same Seller Hist'!E:E)</f>
        <v>311489677</v>
      </c>
      <c r="D352" s="5" t="str">
        <f>_xlfn.XLOOKUP(F352,'Same Seller Hist'!H:H,'Same Seller Hist'!D:D)</f>
        <v>DF TOP MODAS</v>
      </c>
      <c r="E352" s="5">
        <f>_xlfn.XLOOKUP(F352,'Same Seller Hist'!H:H,'Same Seller Hist'!I:I)</f>
        <v>7.4961886433408102E+18</v>
      </c>
      <c r="F352" s="5" t="s">
        <v>859</v>
      </c>
      <c r="G352" s="5">
        <f>_xlfn.XLOOKUP(C352,'Same Seller Hist'!E:E,'Same Seller Hist'!F:F)</f>
        <v>0</v>
      </c>
      <c r="H352" s="19">
        <f>_xlfn.IFNA(_xlfn.XLOOKUP(C352,'Shp 500'!D:D,'Shp 500'!I:I),0)</f>
        <v>0</v>
      </c>
      <c r="I352" s="19">
        <f>_xlfn.IFNA(_xlfn.XLOOKUP(C352,'Shp 500'!D:D,'Shp 500'!J:J),0)</f>
        <v>0</v>
      </c>
      <c r="J352" s="19">
        <v>206.45161290322579</v>
      </c>
      <c r="K352" s="19">
        <v>7435.4838709677415</v>
      </c>
      <c r="L352" s="21" t="s">
        <v>2530</v>
      </c>
      <c r="M352" s="21" t="str">
        <f>IF(L352="Shp 500","Sim",IF(ISNA(_xlfn.XLOOKUP(C352,'Shp 500'!D:D,'Shp 500'!D:D)),"Não","Sim"))</f>
        <v>Não</v>
      </c>
      <c r="N352" s="21" t="str">
        <f>IF(L352="Fastmoss 500","Sim",IF(ISNA(_xlfn.XLOOKUP(_xlfn.XLOOKUP(C352,'Same Seller Hist'!E:E,'Same Seller Hist'!H:H),'Fastmoss 500'!D:D,'Fastmoss 500'!D:D)),"Não","Sim"))</f>
        <v>Sim</v>
      </c>
      <c r="O352" s="21" t="str">
        <f t="shared" si="15"/>
        <v>Não</v>
      </c>
      <c r="P352" s="21" t="str">
        <f t="shared" si="16"/>
        <v>Não</v>
      </c>
      <c r="Q352" s="21">
        <f t="shared" si="17"/>
        <v>1</v>
      </c>
    </row>
    <row r="353" spans="3:17" x14ac:dyDescent="0.35">
      <c r="C353" s="5">
        <f>_xlfn.XLOOKUP(F353,'Same Seller Hist'!H:H,'Same Seller Hist'!E:E)</f>
        <v>372238728</v>
      </c>
      <c r="D353" s="5" t="str">
        <f>_xlfn.XLOOKUP(F353,'Same Seller Hist'!H:H,'Same Seller Hist'!D:D)</f>
        <v>micasadecor</v>
      </c>
      <c r="E353" s="5">
        <f>_xlfn.XLOOKUP(F353,'Same Seller Hist'!H:H,'Same Seller Hist'!I:I)</f>
        <v>7.4942117658811095E+18</v>
      </c>
      <c r="F353" s="5" t="s">
        <v>882</v>
      </c>
      <c r="G353" s="5">
        <f>_xlfn.XLOOKUP(C353,'Same Seller Hist'!E:E,'Same Seller Hist'!F:F)</f>
        <v>0</v>
      </c>
      <c r="H353" s="19">
        <f>_xlfn.IFNA(_xlfn.XLOOKUP(C353,'Shp 500'!D:D,'Shp 500'!I:I),0)</f>
        <v>0</v>
      </c>
      <c r="I353" s="19">
        <f>_xlfn.IFNA(_xlfn.XLOOKUP(C353,'Shp 500'!D:D,'Shp 500'!J:J),0)</f>
        <v>0</v>
      </c>
      <c r="J353" s="19">
        <v>206.45161290322579</v>
      </c>
      <c r="K353" s="19">
        <v>9045.1612903225814</v>
      </c>
      <c r="L353" s="21" t="s">
        <v>2530</v>
      </c>
      <c r="M353" s="21" t="str">
        <f>IF(L353="Shp 500","Sim",IF(ISNA(_xlfn.XLOOKUP(C353,'Shp 500'!D:D,'Shp 500'!D:D)),"Não","Sim"))</f>
        <v>Não</v>
      </c>
      <c r="N353" s="21" t="str">
        <f>IF(L353="Fastmoss 500","Sim",IF(ISNA(_xlfn.XLOOKUP(_xlfn.XLOOKUP(C353,'Same Seller Hist'!E:E,'Same Seller Hist'!H:H),'Fastmoss 500'!D:D,'Fastmoss 500'!D:D)),"Não","Sim"))</f>
        <v>Sim</v>
      </c>
      <c r="O353" s="21" t="str">
        <f t="shared" si="15"/>
        <v>Não</v>
      </c>
      <c r="P353" s="21" t="str">
        <f t="shared" si="16"/>
        <v>Não</v>
      </c>
      <c r="Q353" s="21">
        <f t="shared" si="17"/>
        <v>1</v>
      </c>
    </row>
    <row r="354" spans="3:17" x14ac:dyDescent="0.35">
      <c r="C354" s="5">
        <f>_xlfn.XLOOKUP(F354,'Same Seller Hist'!H:H,'Same Seller Hist'!E:E)</f>
        <v>557450125</v>
      </c>
      <c r="D354" s="5" t="str">
        <f>_xlfn.XLOOKUP(F354,'Same Seller Hist'!H:H,'Same Seller Hist'!D:D)</f>
        <v>PW ECOMM</v>
      </c>
      <c r="E354" s="5">
        <f>_xlfn.XLOOKUP(F354,'Same Seller Hist'!H:H,'Same Seller Hist'!I:I)</f>
        <v>7.4941196415581798E+18</v>
      </c>
      <c r="F354" s="5" t="s">
        <v>894</v>
      </c>
      <c r="G354" s="5">
        <f>_xlfn.XLOOKUP(C354,'Same Seller Hist'!E:E,'Same Seller Hist'!F:F)</f>
        <v>0</v>
      </c>
      <c r="H354" s="19">
        <f>_xlfn.IFNA(_xlfn.XLOOKUP(C354,'Shp 500'!D:D,'Shp 500'!I:I),0)</f>
        <v>0</v>
      </c>
      <c r="I354" s="19">
        <f>_xlfn.IFNA(_xlfn.XLOOKUP(C354,'Shp 500'!D:D,'Shp 500'!J:J),0)</f>
        <v>0</v>
      </c>
      <c r="J354" s="19">
        <v>203.2258064516129</v>
      </c>
      <c r="K354" s="19">
        <v>2638.7096774193546</v>
      </c>
      <c r="L354" s="21" t="s">
        <v>2530</v>
      </c>
      <c r="M354" s="21" t="str">
        <f>IF(L354="Shp 500","Sim",IF(ISNA(_xlfn.XLOOKUP(C354,'Shp 500'!D:D,'Shp 500'!D:D)),"Não","Sim"))</f>
        <v>Não</v>
      </c>
      <c r="N354" s="21" t="str">
        <f>IF(L354="Fastmoss 500","Sim",IF(ISNA(_xlfn.XLOOKUP(_xlfn.XLOOKUP(C354,'Same Seller Hist'!E:E,'Same Seller Hist'!H:H),'Fastmoss 500'!D:D,'Fastmoss 500'!D:D)),"Não","Sim"))</f>
        <v>Sim</v>
      </c>
      <c r="O354" s="21" t="str">
        <f t="shared" si="15"/>
        <v>Não</v>
      </c>
      <c r="P354" s="21" t="str">
        <f t="shared" si="16"/>
        <v>Não</v>
      </c>
      <c r="Q354" s="21">
        <f t="shared" si="17"/>
        <v>1</v>
      </c>
    </row>
    <row r="355" spans="3:17" x14ac:dyDescent="0.35">
      <c r="C355" s="5">
        <f>_xlfn.XLOOKUP(F355,'Same Seller Hist'!H:H,'Same Seller Hist'!E:E)</f>
        <v>450546427</v>
      </c>
      <c r="D355" s="5" t="str">
        <f>_xlfn.XLOOKUP(F355,'Same Seller Hist'!H:H,'Same Seller Hist'!D:D)</f>
        <v>SUPER LAR</v>
      </c>
      <c r="E355" s="5">
        <f>_xlfn.XLOOKUP(F355,'Same Seller Hist'!H:H,'Same Seller Hist'!I:I)</f>
        <v>7.4961617264784497E+18</v>
      </c>
      <c r="F355" s="5" t="s">
        <v>582</v>
      </c>
      <c r="G355" s="5" t="str">
        <f>_xlfn.XLOOKUP(C355,'Same Seller Hist'!E:E,'Same Seller Hist'!F:F)</f>
        <v>Lifestyle</v>
      </c>
      <c r="H355" s="19">
        <f>_xlfn.IFNA(_xlfn.XLOOKUP(C355,'Shp 500'!D:D,'Shp 500'!I:I),0)</f>
        <v>0</v>
      </c>
      <c r="I355" s="19">
        <f>_xlfn.IFNA(_xlfn.XLOOKUP(C355,'Shp 500'!D:D,'Shp 500'!J:J),0)</f>
        <v>0</v>
      </c>
      <c r="J355" s="19">
        <v>203.2258064516129</v>
      </c>
      <c r="K355" s="19">
        <v>4770.9677419354839</v>
      </c>
      <c r="L355" s="21" t="s">
        <v>2530</v>
      </c>
      <c r="M355" s="21" t="str">
        <f>IF(L355="Shp 500","Sim",IF(ISNA(_xlfn.XLOOKUP(C355,'Shp 500'!D:D,'Shp 500'!D:D)),"Não","Sim"))</f>
        <v>Não</v>
      </c>
      <c r="N355" s="21" t="str">
        <f>IF(L355="Fastmoss 500","Sim",IF(ISNA(_xlfn.XLOOKUP(_xlfn.XLOOKUP(C355,'Same Seller Hist'!E:E,'Same Seller Hist'!H:H),'Fastmoss 500'!D:D,'Fastmoss 500'!D:D)),"Não","Sim"))</f>
        <v>Sim</v>
      </c>
      <c r="O355" s="21" t="str">
        <f t="shared" si="15"/>
        <v>Não</v>
      </c>
      <c r="P355" s="21" t="str">
        <f t="shared" si="16"/>
        <v>Não</v>
      </c>
      <c r="Q355" s="21">
        <f t="shared" si="17"/>
        <v>1</v>
      </c>
    </row>
    <row r="356" spans="3:17" x14ac:dyDescent="0.35">
      <c r="C356" s="5">
        <v>1430626556</v>
      </c>
      <c r="D356" s="5" t="s">
        <v>1317</v>
      </c>
      <c r="E356" s="5">
        <f>_xlfn.XLOOKUP(C356,'Same Seller Hist'!E:E,'Same Seller Hist'!I:I)</f>
        <v>7.4942416334340403E+18</v>
      </c>
      <c r="F356" s="5" t="str">
        <f>_xlfn.XLOOKUP(C356,'Same Seller Hist'!E:E,'Same Seller Hist'!H:H)</f>
        <v>New Show BR</v>
      </c>
      <c r="G356" s="5" t="s">
        <v>1734</v>
      </c>
      <c r="H356" s="19">
        <v>2634.1290322580644</v>
      </c>
      <c r="I356" s="19">
        <v>10867.422575253418</v>
      </c>
      <c r="J356" s="19">
        <f>_xlfn.IFNA(_xlfn.XLOOKUP(F356,'Fastmoss 500'!D:D,'Fastmoss 500'!O:O),0)</f>
        <v>438.70967741935482</v>
      </c>
      <c r="K356" s="19">
        <f>_xlfn.IFNA(_xlfn.XLOOKUP(F356,'Fastmoss 500'!D:D,'Fastmoss 500'!N:N),0)</f>
        <v>4348.3870967741932</v>
      </c>
      <c r="L356" s="21" t="s">
        <v>2528</v>
      </c>
      <c r="M356" s="21" t="str">
        <f>IF(L356="Shp 500","Sim",IF(ISNA(_xlfn.XLOOKUP(C356,'Shp 500'!D:D,'Shp 500'!D:D)),"Não","Sim"))</f>
        <v>Sim</v>
      </c>
      <c r="N356" s="21" t="str">
        <f>IF(L356="Fastmoss 500","Sim",IF(ISNA(_xlfn.XLOOKUP(_xlfn.XLOOKUP(C356,'Same Seller Hist'!E:E,'Same Seller Hist'!H:H),'Fastmoss 500'!D:D,'Fastmoss 500'!D:D)),"Não","Sim"))</f>
        <v>Sim</v>
      </c>
      <c r="O356" s="21" t="str">
        <f t="shared" si="15"/>
        <v>Sim</v>
      </c>
      <c r="P356" s="21" t="str">
        <f t="shared" si="16"/>
        <v>Sim</v>
      </c>
      <c r="Q356" s="21">
        <f t="shared" si="17"/>
        <v>1</v>
      </c>
    </row>
    <row r="357" spans="3:17" x14ac:dyDescent="0.35">
      <c r="C357" s="5">
        <f>_xlfn.XLOOKUP(F357,'Same Seller Hist'!H:H,'Same Seller Hist'!E:E)</f>
        <v>316082146</v>
      </c>
      <c r="D357" s="5" t="str">
        <f>_xlfn.XLOOKUP(F357,'Same Seller Hist'!H:H,'Same Seller Hist'!D:D)</f>
        <v>By.MaisonStore</v>
      </c>
      <c r="E357" s="5">
        <f>_xlfn.XLOOKUP(F357,'Same Seller Hist'!H:H,'Same Seller Hist'!I:I)</f>
        <v>7.4942360840209295E+18</v>
      </c>
      <c r="F357" s="5" t="s">
        <v>853</v>
      </c>
      <c r="G357" s="5">
        <f>_xlfn.XLOOKUP(C357,'Same Seller Hist'!E:E,'Same Seller Hist'!F:F)</f>
        <v>0</v>
      </c>
      <c r="H357" s="19">
        <f>_xlfn.IFNA(_xlfn.XLOOKUP(C357,'Shp 500'!D:D,'Shp 500'!I:I),0)</f>
        <v>0</v>
      </c>
      <c r="I357" s="19">
        <f>_xlfn.IFNA(_xlfn.XLOOKUP(C357,'Shp 500'!D:D,'Shp 500'!J:J),0)</f>
        <v>0</v>
      </c>
      <c r="J357" s="19">
        <v>203.2258064516129</v>
      </c>
      <c r="K357" s="19">
        <v>45161.290322580644</v>
      </c>
      <c r="L357" s="21" t="s">
        <v>2530</v>
      </c>
      <c r="M357" s="21" t="str">
        <f>IF(L357="Shp 500","Sim",IF(ISNA(_xlfn.XLOOKUP(C357,'Shp 500'!D:D,'Shp 500'!D:D)),"Não","Sim"))</f>
        <v>Não</v>
      </c>
      <c r="N357" s="21" t="str">
        <f>IF(L357="Fastmoss 500","Sim",IF(ISNA(_xlfn.XLOOKUP(_xlfn.XLOOKUP(C357,'Same Seller Hist'!E:E,'Same Seller Hist'!H:H),'Fastmoss 500'!D:D,'Fastmoss 500'!D:D)),"Não","Sim"))</f>
        <v>Sim</v>
      </c>
      <c r="O357" s="21" t="str">
        <f t="shared" si="15"/>
        <v>Não</v>
      </c>
      <c r="P357" s="21" t="str">
        <f t="shared" si="16"/>
        <v>Não</v>
      </c>
      <c r="Q357" s="21">
        <f t="shared" si="17"/>
        <v>1</v>
      </c>
    </row>
    <row r="358" spans="3:17" x14ac:dyDescent="0.35">
      <c r="C358" s="5">
        <f>_xlfn.XLOOKUP(F358,'Same Seller Hist'!H:H,'Same Seller Hist'!E:E)</f>
        <v>458312705</v>
      </c>
      <c r="D358" s="5" t="str">
        <f>_xlfn.XLOOKUP(F358,'Same Seller Hist'!H:H,'Same Seller Hist'!D:D)</f>
        <v>Olivia Chic</v>
      </c>
      <c r="E358" s="5">
        <f>_xlfn.XLOOKUP(F358,'Same Seller Hist'!H:H,'Same Seller Hist'!I:I)</f>
        <v>7.4963148321252004E+18</v>
      </c>
      <c r="F358" s="5" t="s">
        <v>889</v>
      </c>
      <c r="G358" s="5">
        <f>_xlfn.XLOOKUP(C358,'Same Seller Hist'!E:E,'Same Seller Hist'!F:F)</f>
        <v>0</v>
      </c>
      <c r="H358" s="19">
        <f>_xlfn.IFNA(_xlfn.XLOOKUP(C358,'Shp 500'!D:D,'Shp 500'!I:I),0)</f>
        <v>0</v>
      </c>
      <c r="I358" s="19">
        <f>_xlfn.IFNA(_xlfn.XLOOKUP(C358,'Shp 500'!D:D,'Shp 500'!J:J),0)</f>
        <v>0</v>
      </c>
      <c r="J358" s="19">
        <v>203.2258064516129</v>
      </c>
      <c r="K358" s="19">
        <v>7325.8064516129034</v>
      </c>
      <c r="L358" s="21" t="s">
        <v>2530</v>
      </c>
      <c r="M358" s="21" t="str">
        <f>IF(L358="Shp 500","Sim",IF(ISNA(_xlfn.XLOOKUP(C358,'Shp 500'!D:D,'Shp 500'!D:D)),"Não","Sim"))</f>
        <v>Não</v>
      </c>
      <c r="N358" s="21" t="str">
        <f>IF(L358="Fastmoss 500","Sim",IF(ISNA(_xlfn.XLOOKUP(_xlfn.XLOOKUP(C358,'Same Seller Hist'!E:E,'Same Seller Hist'!H:H),'Fastmoss 500'!D:D,'Fastmoss 500'!D:D)),"Não","Sim"))</f>
        <v>Sim</v>
      </c>
      <c r="O358" s="21" t="str">
        <f t="shared" si="15"/>
        <v>Não</v>
      </c>
      <c r="P358" s="21" t="str">
        <f t="shared" si="16"/>
        <v>Não</v>
      </c>
      <c r="Q358" s="21">
        <f t="shared" si="17"/>
        <v>1</v>
      </c>
    </row>
    <row r="359" spans="3:17" x14ac:dyDescent="0.35">
      <c r="C359" s="5">
        <f>_xlfn.XLOOKUP(F359,'Same Seller Hist'!H:H,'Same Seller Hist'!E:E)</f>
        <v>1448347966</v>
      </c>
      <c r="D359" s="5" t="str">
        <f>_xlfn.XLOOKUP(F359,'Same Seller Hist'!H:H,'Same Seller Hist'!D:D)</f>
        <v>Big Produtos e Variedades</v>
      </c>
      <c r="E359" s="5">
        <f>_xlfn.XLOOKUP(F359,'Same Seller Hist'!H:H,'Same Seller Hist'!I:I)</f>
        <v>7.4961533937958605E+18</v>
      </c>
      <c r="F359" s="5" t="s">
        <v>265</v>
      </c>
      <c r="G359" s="5" t="str">
        <f>_xlfn.XLOOKUP(C359,'Same Seller Hist'!E:E,'Same Seller Hist'!F:F)</f>
        <v>Fashion</v>
      </c>
      <c r="H359" s="19">
        <f>_xlfn.IFNA(_xlfn.XLOOKUP(C359,'Shp 500'!D:D,'Shp 500'!I:I),0)</f>
        <v>0</v>
      </c>
      <c r="I359" s="19">
        <f>_xlfn.IFNA(_xlfn.XLOOKUP(C359,'Shp 500'!D:D,'Shp 500'!J:J),0)</f>
        <v>0</v>
      </c>
      <c r="J359" s="19">
        <v>203.2258064516129</v>
      </c>
      <c r="K359" s="19">
        <v>9087.0967741935492</v>
      </c>
      <c r="L359" s="21" t="s">
        <v>2530</v>
      </c>
      <c r="M359" s="21" t="str">
        <f>IF(L359="Shp 500","Sim",IF(ISNA(_xlfn.XLOOKUP(C359,'Shp 500'!D:D,'Shp 500'!D:D)),"Não","Sim"))</f>
        <v>Não</v>
      </c>
      <c r="N359" s="21" t="str">
        <f>IF(L359="Fastmoss 500","Sim",IF(ISNA(_xlfn.XLOOKUP(_xlfn.XLOOKUP(C359,'Same Seller Hist'!E:E,'Same Seller Hist'!H:H),'Fastmoss 500'!D:D,'Fastmoss 500'!D:D)),"Não","Sim"))</f>
        <v>Sim</v>
      </c>
      <c r="O359" s="21" t="str">
        <f t="shared" si="15"/>
        <v>Não</v>
      </c>
      <c r="P359" s="21" t="str">
        <f t="shared" si="16"/>
        <v>Não</v>
      </c>
      <c r="Q359" s="21">
        <f t="shared" si="17"/>
        <v>1</v>
      </c>
    </row>
    <row r="360" spans="3:17" x14ac:dyDescent="0.35">
      <c r="C360" s="5">
        <f>_xlfn.XLOOKUP(F360,'Same Seller Hist'!H:H,'Same Seller Hist'!E:E)</f>
        <v>1369557762</v>
      </c>
      <c r="D360" s="5" t="str">
        <f>_xlfn.XLOOKUP(F360,'Same Seller Hist'!H:H,'Same Seller Hist'!D:D)</f>
        <v>Philklen</v>
      </c>
      <c r="E360" s="5">
        <f>_xlfn.XLOOKUP(F360,'Same Seller Hist'!H:H,'Same Seller Hist'!I:I)</f>
        <v>7.4962556492550902E+18</v>
      </c>
      <c r="F360" s="5" t="s">
        <v>891</v>
      </c>
      <c r="G360" s="5">
        <f>_xlfn.XLOOKUP(C360,'Same Seller Hist'!E:E,'Same Seller Hist'!F:F)</f>
        <v>0</v>
      </c>
      <c r="H360" s="19">
        <f>_xlfn.IFNA(_xlfn.XLOOKUP(C360,'Shp 500'!D:D,'Shp 500'!I:I),0)</f>
        <v>0</v>
      </c>
      <c r="I360" s="19">
        <f>_xlfn.IFNA(_xlfn.XLOOKUP(C360,'Shp 500'!D:D,'Shp 500'!J:J),0)</f>
        <v>0</v>
      </c>
      <c r="J360" s="19">
        <v>203.2258064516129</v>
      </c>
      <c r="K360" s="19">
        <v>7429.0322580645161</v>
      </c>
      <c r="L360" s="21" t="s">
        <v>2530</v>
      </c>
      <c r="M360" s="21" t="str">
        <f>IF(L360="Shp 500","Sim",IF(ISNA(_xlfn.XLOOKUP(C360,'Shp 500'!D:D,'Shp 500'!D:D)),"Não","Sim"))</f>
        <v>Não</v>
      </c>
      <c r="N360" s="21" t="str">
        <f>IF(L360="Fastmoss 500","Sim",IF(ISNA(_xlfn.XLOOKUP(_xlfn.XLOOKUP(C360,'Same Seller Hist'!E:E,'Same Seller Hist'!H:H),'Fastmoss 500'!D:D,'Fastmoss 500'!D:D)),"Não","Sim"))</f>
        <v>Sim</v>
      </c>
      <c r="O360" s="21" t="str">
        <f t="shared" si="15"/>
        <v>Não</v>
      </c>
      <c r="P360" s="21" t="str">
        <f t="shared" si="16"/>
        <v>Não</v>
      </c>
      <c r="Q360" s="21">
        <f t="shared" si="17"/>
        <v>1</v>
      </c>
    </row>
    <row r="361" spans="3:17" x14ac:dyDescent="0.35">
      <c r="C361" s="5">
        <f>_xlfn.XLOOKUP(F361,'Same Seller Hist'!H:H,'Same Seller Hist'!E:E)</f>
        <v>673316979</v>
      </c>
      <c r="D361" s="5" t="str">
        <f>_xlfn.XLOOKUP(F361,'Same Seller Hist'!H:H,'Same Seller Hist'!D:D)</f>
        <v>Veneza Enxovais</v>
      </c>
      <c r="E361" s="5">
        <f>_xlfn.XLOOKUP(F361,'Same Seller Hist'!H:H,'Same Seller Hist'!I:I)</f>
        <v>7.4962535981516401E+18</v>
      </c>
      <c r="F361" s="5" t="s">
        <v>670</v>
      </c>
      <c r="G361" s="5" t="str">
        <f>_xlfn.XLOOKUP(C361,'Same Seller Hist'!E:E,'Same Seller Hist'!F:F)</f>
        <v>Lifestyle</v>
      </c>
      <c r="H361" s="19">
        <f>_xlfn.IFNA(_xlfn.XLOOKUP(C361,'Shp 500'!D:D,'Shp 500'!I:I),0)</f>
        <v>0</v>
      </c>
      <c r="I361" s="19">
        <f>_xlfn.IFNA(_xlfn.XLOOKUP(C361,'Shp 500'!D:D,'Shp 500'!J:J),0)</f>
        <v>0</v>
      </c>
      <c r="J361" s="19">
        <v>200</v>
      </c>
      <c r="K361" s="19">
        <v>6370.9677419354839</v>
      </c>
      <c r="L361" s="21" t="s">
        <v>2530</v>
      </c>
      <c r="M361" s="21" t="str">
        <f>IF(L361="Shp 500","Sim",IF(ISNA(_xlfn.XLOOKUP(C361,'Shp 500'!D:D,'Shp 500'!D:D)),"Não","Sim"))</f>
        <v>Não</v>
      </c>
      <c r="N361" s="21" t="str">
        <f>IF(L361="Fastmoss 500","Sim",IF(ISNA(_xlfn.XLOOKUP(_xlfn.XLOOKUP(C361,'Same Seller Hist'!E:E,'Same Seller Hist'!H:H),'Fastmoss 500'!D:D,'Fastmoss 500'!D:D)),"Não","Sim"))</f>
        <v>Sim</v>
      </c>
      <c r="O361" s="21" t="str">
        <f t="shared" si="15"/>
        <v>Não</v>
      </c>
      <c r="P361" s="21" t="str">
        <f t="shared" si="16"/>
        <v>Não</v>
      </c>
      <c r="Q361" s="21">
        <f t="shared" si="17"/>
        <v>1</v>
      </c>
    </row>
    <row r="362" spans="3:17" x14ac:dyDescent="0.35">
      <c r="C362" s="5">
        <f>_xlfn.XLOOKUP(F362,'Same Seller Hist'!H:H,'Same Seller Hist'!E:E)</f>
        <v>1399263967</v>
      </c>
      <c r="D362" s="5" t="str">
        <f>_xlfn.XLOOKUP(F362,'Same Seller Hist'!H:H,'Same Seller Hist'!D:D)</f>
        <v>KAMIANIMALS</v>
      </c>
      <c r="E362" s="5">
        <f>_xlfn.XLOOKUP(F362,'Same Seller Hist'!H:H,'Same Seller Hist'!I:I)</f>
        <v>7.4961725030229299E+18</v>
      </c>
      <c r="F362" s="5" t="s">
        <v>247</v>
      </c>
      <c r="G362" s="5" t="str">
        <f>_xlfn.XLOOKUP(C362,'Same Seller Hist'!E:E,'Same Seller Hist'!F:F)</f>
        <v>FMCG</v>
      </c>
      <c r="H362" s="19">
        <f>_xlfn.IFNA(_xlfn.XLOOKUP(C362,'Shp 500'!D:D,'Shp 500'!I:I),0)</f>
        <v>0</v>
      </c>
      <c r="I362" s="19">
        <f>_xlfn.IFNA(_xlfn.XLOOKUP(C362,'Shp 500'!D:D,'Shp 500'!J:J),0)</f>
        <v>0</v>
      </c>
      <c r="J362" s="19">
        <v>200</v>
      </c>
      <c r="K362" s="19">
        <v>3677.4193548387098</v>
      </c>
      <c r="L362" s="21" t="s">
        <v>2530</v>
      </c>
      <c r="M362" s="21" t="str">
        <f>IF(L362="Shp 500","Sim",IF(ISNA(_xlfn.XLOOKUP(C362,'Shp 500'!D:D,'Shp 500'!D:D)),"Não","Sim"))</f>
        <v>Não</v>
      </c>
      <c r="N362" s="21" t="str">
        <f>IF(L362="Fastmoss 500","Sim",IF(ISNA(_xlfn.XLOOKUP(_xlfn.XLOOKUP(C362,'Same Seller Hist'!E:E,'Same Seller Hist'!H:H),'Fastmoss 500'!D:D,'Fastmoss 500'!D:D)),"Não","Sim"))</f>
        <v>Sim</v>
      </c>
      <c r="O362" s="21" t="str">
        <f t="shared" si="15"/>
        <v>Não</v>
      </c>
      <c r="P362" s="21" t="str">
        <f t="shared" si="16"/>
        <v>Não</v>
      </c>
      <c r="Q362" s="21">
        <f t="shared" si="17"/>
        <v>1</v>
      </c>
    </row>
    <row r="363" spans="3:17" x14ac:dyDescent="0.35">
      <c r="C363" s="5">
        <f>_xlfn.XLOOKUP(F363,'Same Seller Hist'!H:H,'Same Seller Hist'!E:E)</f>
        <v>427106553</v>
      </c>
      <c r="D363" s="5" t="str">
        <f>_xlfn.XLOOKUP(F363,'Same Seller Hist'!H:H,'Same Seller Hist'!D:D)</f>
        <v>Forever Liss</v>
      </c>
      <c r="E363" s="5">
        <f>_xlfn.XLOOKUP(F363,'Same Seller Hist'!H:H,'Same Seller Hist'!I:I)</f>
        <v>7.4961529166007101E+18</v>
      </c>
      <c r="F363" s="5" t="s">
        <v>564</v>
      </c>
      <c r="G363" s="5" t="str">
        <f>_xlfn.XLOOKUP(C363,'Same Seller Hist'!E:E,'Same Seller Hist'!F:F)</f>
        <v>FMCG</v>
      </c>
      <c r="H363" s="19">
        <f>_xlfn.IFNA(_xlfn.XLOOKUP(C363,'Shp 500'!D:D,'Shp 500'!I:I),0)</f>
        <v>0</v>
      </c>
      <c r="I363" s="19">
        <f>_xlfn.IFNA(_xlfn.XLOOKUP(C363,'Shp 500'!D:D,'Shp 500'!J:J),0)</f>
        <v>0</v>
      </c>
      <c r="J363" s="19">
        <v>200</v>
      </c>
      <c r="K363" s="19">
        <v>7561.2903225806449</v>
      </c>
      <c r="L363" s="21" t="s">
        <v>2530</v>
      </c>
      <c r="M363" s="21" t="str">
        <f>IF(L363="Shp 500","Sim",IF(ISNA(_xlfn.XLOOKUP(C363,'Shp 500'!D:D,'Shp 500'!D:D)),"Não","Sim"))</f>
        <v>Não</v>
      </c>
      <c r="N363" s="21" t="str">
        <f>IF(L363="Fastmoss 500","Sim",IF(ISNA(_xlfn.XLOOKUP(_xlfn.XLOOKUP(C363,'Same Seller Hist'!E:E,'Same Seller Hist'!H:H),'Fastmoss 500'!D:D,'Fastmoss 500'!D:D)),"Não","Sim"))</f>
        <v>Sim</v>
      </c>
      <c r="O363" s="21" t="str">
        <f t="shared" si="15"/>
        <v>Não</v>
      </c>
      <c r="P363" s="21" t="str">
        <f t="shared" si="16"/>
        <v>Não</v>
      </c>
      <c r="Q363" s="21">
        <f t="shared" si="17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1596-9A3C-47A0-8180-F2573F15BD0E}">
  <sheetPr filterMode="1">
    <tabColor rgb="FFEE4D2D"/>
  </sheetPr>
  <dimension ref="B1:Q422"/>
  <sheetViews>
    <sheetView zoomScale="70" zoomScaleNormal="70" workbookViewId="0">
      <pane ySplit="7" topLeftCell="A8" activePane="bottomLeft" state="frozen"/>
      <selection pane="bottomLeft" activeCell="E9" sqref="E9"/>
    </sheetView>
  </sheetViews>
  <sheetFormatPr defaultRowHeight="14.5" x14ac:dyDescent="0.35"/>
  <cols>
    <col min="1" max="2" width="2.6328125" customWidth="1"/>
    <col min="3" max="3" width="13.6328125" customWidth="1"/>
    <col min="4" max="4" width="15.81640625" customWidth="1"/>
    <col min="5" max="5" width="11.81640625" bestFit="1" customWidth="1"/>
    <col min="6" max="7" width="13.6328125" customWidth="1"/>
    <col min="8" max="8" width="15.81640625" customWidth="1"/>
    <col min="9" max="9" width="16.36328125" bestFit="1" customWidth="1"/>
    <col min="10" max="10" width="13.6328125" customWidth="1"/>
    <col min="11" max="11" width="16.6328125" customWidth="1"/>
    <col min="12" max="13" width="13.6328125" customWidth="1"/>
    <col min="14" max="14" width="11.7265625" customWidth="1"/>
    <col min="15" max="15" width="11.54296875" customWidth="1"/>
    <col min="16" max="16" width="11.81640625" customWidth="1"/>
    <col min="17" max="17" width="10.26953125" customWidth="1"/>
  </cols>
  <sheetData>
    <row r="1" spans="2:17" s="1" customFormat="1" x14ac:dyDescent="0.35"/>
    <row r="2" spans="2:17" s="1" customFormat="1" x14ac:dyDescent="0.35"/>
    <row r="3" spans="2:17" s="1" customFormat="1" ht="21" x14ac:dyDescent="0.5">
      <c r="B3" s="4" t="s">
        <v>2529</v>
      </c>
    </row>
    <row r="4" spans="2:17" s="1" customFormat="1" x14ac:dyDescent="0.35"/>
    <row r="5" spans="2:17" s="2" customFormat="1" x14ac:dyDescent="0.35"/>
    <row r="7" spans="2:17" x14ac:dyDescent="0.35">
      <c r="C7" s="3" t="s">
        <v>36</v>
      </c>
      <c r="D7" s="3" t="s">
        <v>1</v>
      </c>
      <c r="E7" s="3" t="s">
        <v>6</v>
      </c>
      <c r="F7" s="3" t="s">
        <v>5</v>
      </c>
      <c r="G7" s="3" t="s">
        <v>33</v>
      </c>
      <c r="H7" s="3" t="s">
        <v>40</v>
      </c>
      <c r="I7" s="3" t="s">
        <v>2531</v>
      </c>
      <c r="J7" s="3" t="s">
        <v>12</v>
      </c>
      <c r="K7" s="3" t="s">
        <v>2532</v>
      </c>
      <c r="L7" s="20" t="s">
        <v>2523</v>
      </c>
      <c r="M7" s="20" t="s">
        <v>2524</v>
      </c>
      <c r="N7" s="20" t="s">
        <v>2525</v>
      </c>
      <c r="O7" s="20" t="s">
        <v>2526</v>
      </c>
      <c r="P7" s="20" t="s">
        <v>2527</v>
      </c>
      <c r="Q7" s="20" t="s">
        <v>2533</v>
      </c>
    </row>
    <row r="8" spans="2:17" x14ac:dyDescent="0.35">
      <c r="C8" s="5">
        <v>291174073</v>
      </c>
      <c r="D8" s="5" t="s">
        <v>1396</v>
      </c>
      <c r="E8" s="5">
        <f>_xlfn.XLOOKUP(C8,'Same Seller Hist'!E:E,'Same Seller Hist'!I:I)</f>
        <v>7.4961635129468201E+18</v>
      </c>
      <c r="F8" s="5" t="str">
        <f>_xlfn.XLOOKUP(C8,'Same Seller Hist'!E:E,'Same Seller Hist'!H:H)</f>
        <v>ZSZ BR</v>
      </c>
      <c r="G8" s="5" t="s">
        <v>1734</v>
      </c>
      <c r="H8" s="19">
        <v>1621.9999999999968</v>
      </c>
      <c r="I8" s="19">
        <v>9436.9350455496788</v>
      </c>
      <c r="J8" s="19">
        <f>_xlfn.IFNA(_xlfn.XLOOKUP(F8,'Fastmoss 500'!D:D,'Fastmoss 500'!O:O),0)</f>
        <v>700</v>
      </c>
      <c r="K8" s="19">
        <f>_xlfn.IFNA(_xlfn.XLOOKUP(F8,'Fastmoss 500'!D:D,'Fastmoss 500'!N:N),0)</f>
        <v>14158.064516129032</v>
      </c>
      <c r="L8" s="21" t="s">
        <v>2528</v>
      </c>
      <c r="M8" s="21" t="str">
        <f>IF(L8="Shp 500","Sim",IF(ISNA(_xlfn.XLOOKUP(C8,'Shp 500'!D:D,'Shp 500'!D:D)),"Não","Sim"))</f>
        <v>Sim</v>
      </c>
      <c r="N8" s="21" t="str">
        <f>IF(L8="Fastmoss 500","Sim",IF(ISNA(_xlfn.XLOOKUP(_xlfn.XLOOKUP(C8,'Same Seller Hist'!E:E,'Same Seller Hist'!H:H),'Fastmoss 500'!D:D,'Fastmoss 500'!D:D)),"Não","Sim"))</f>
        <v>Sim</v>
      </c>
      <c r="O8" s="21" t="str">
        <f>IF(AND(M8="Sim",N8="Sim"),"Sim","Não")</f>
        <v>Sim</v>
      </c>
      <c r="P8" s="21" t="str">
        <f>IF(I8&gt;K8,"Sim","Não")</f>
        <v>Não</v>
      </c>
      <c r="Q8" s="21">
        <f>COUNTIFS(C:C,C8)</f>
        <v>2</v>
      </c>
    </row>
    <row r="9" spans="2:17" x14ac:dyDescent="0.35">
      <c r="C9" s="5">
        <f>_xlfn.XLOOKUP(F9,'Same Seller Hist'!H:H,'Same Seller Hist'!E:E)</f>
        <v>291174073</v>
      </c>
      <c r="D9" s="5" t="str">
        <f>_xlfn.XLOOKUP(F9,'Same Seller Hist'!H:H,'Same Seller Hist'!D:D)</f>
        <v>ZSZ BR</v>
      </c>
      <c r="E9" s="5">
        <f>_xlfn.XLOOKUP(F9,'Same Seller Hist'!H:H,'Same Seller Hist'!I:I)</f>
        <v>7.4961635129468201E+18</v>
      </c>
      <c r="F9" s="5" t="s">
        <v>379</v>
      </c>
      <c r="G9" s="5" t="str">
        <f>_xlfn.XLOOKUP(C9,'Same Seller Hist'!E:E,'Same Seller Hist'!F:F)</f>
        <v>Lifestyle</v>
      </c>
      <c r="H9" s="19">
        <f>_xlfn.IFNA(_xlfn.XLOOKUP(C9,'Shp 500'!D:D,'Shp 500'!I:I),0)</f>
        <v>1621.9999999999968</v>
      </c>
      <c r="I9" s="19">
        <f>_xlfn.IFNA(_xlfn.XLOOKUP(C9,'Shp 500'!D:D,'Shp 500'!J:J),0)</f>
        <v>9436.9350455496788</v>
      </c>
      <c r="J9" s="19">
        <v>700</v>
      </c>
      <c r="K9" s="19">
        <v>14158.064516129032</v>
      </c>
      <c r="L9" s="21" t="s">
        <v>2530</v>
      </c>
      <c r="M9" s="21" t="str">
        <f>IF(L9="Shp 500","Sim",IF(ISNA(_xlfn.XLOOKUP(C9,'Shp 500'!D:D,'Shp 500'!D:D)),"Não","Sim"))</f>
        <v>Sim</v>
      </c>
      <c r="N9" s="21" t="str">
        <f>IF(L9="Fastmoss 500","Sim",IF(ISNA(_xlfn.XLOOKUP(_xlfn.XLOOKUP(C9,'Same Seller Hist'!E:E,'Same Seller Hist'!H:H),'Fastmoss 500'!D:D,'Fastmoss 500'!D:D)),"Não","Sim"))</f>
        <v>Sim</v>
      </c>
      <c r="O9" s="21" t="str">
        <f>IF(AND(M9="Sim",N9="Sim"),"Sim","Não")</f>
        <v>Sim</v>
      </c>
      <c r="P9" s="21" t="str">
        <f>IF(I9&gt;K9,"Sim","Não")</f>
        <v>Não</v>
      </c>
      <c r="Q9" s="21">
        <f>COUNTIFS(C:C,C9)</f>
        <v>2</v>
      </c>
    </row>
    <row r="10" spans="2:17" hidden="1" x14ac:dyDescent="0.35">
      <c r="C10" s="5">
        <v>552896405</v>
      </c>
      <c r="D10" s="5" t="s">
        <v>1280</v>
      </c>
      <c r="E10" s="5">
        <f>_xlfn.XLOOKUP(C10,'Same Seller Hist'!E:E,'Same Seller Hist'!I:I)</f>
        <v>7.4962600104376699E+18</v>
      </c>
      <c r="F10" s="5" t="str">
        <f>_xlfn.XLOOKUP(C10,'Same Seller Hist'!E:E,'Same Seller Hist'!H:H)</f>
        <v>Casa Completa Enxovais</v>
      </c>
      <c r="G10" s="5" t="s">
        <v>905</v>
      </c>
      <c r="H10" s="19">
        <v>5043.8387096773877</v>
      </c>
      <c r="I10" s="19">
        <v>53289.3035561</v>
      </c>
      <c r="J10" s="19">
        <f>_xlfn.IFNA(_xlfn.XLOOKUP(F10,'Fastmoss 500'!D:D,'Fastmoss 500'!O:O),0)</f>
        <v>0</v>
      </c>
      <c r="K10" s="19">
        <f>_xlfn.IFNA(_xlfn.XLOOKUP(F10,'Fastmoss 500'!D:D,'Fastmoss 500'!N:N),0)</f>
        <v>0</v>
      </c>
      <c r="L10" s="21" t="s">
        <v>2528</v>
      </c>
      <c r="M10" s="21" t="str">
        <f>IF(L10="Shp 500","Sim",IF(ISNA(_xlfn.XLOOKUP(C10,'Shp 500'!D:D,'Shp 500'!D:D)),"Não","Sim"))</f>
        <v>Sim</v>
      </c>
      <c r="N10" s="21" t="str">
        <f>IF(L10="Fastmoss 500","Sim",IF(ISNA(_xlfn.XLOOKUP(_xlfn.XLOOKUP(C10,'Same Seller Hist'!E:E,'Same Seller Hist'!H:H),'Fastmoss 500'!D:D,'Fastmoss 500'!D:D)),"Não","Sim"))</f>
        <v>Não</v>
      </c>
      <c r="O10" s="21" t="str">
        <f>IF(AND(M10="Sim",N10="Sim"),"Sim","Não")</f>
        <v>Não</v>
      </c>
      <c r="P10" s="21" t="str">
        <f>IF(I10&gt;K10,"Sim","Não")</f>
        <v>Sim</v>
      </c>
      <c r="Q10" s="21">
        <f>COUNTIFS(C:C,C10)</f>
        <v>1</v>
      </c>
    </row>
    <row r="11" spans="2:17" hidden="1" x14ac:dyDescent="0.35">
      <c r="C11" s="5">
        <v>974102638</v>
      </c>
      <c r="D11" s="5" t="s">
        <v>1281</v>
      </c>
      <c r="E11" s="5">
        <f>_xlfn.XLOOKUP(C11,'Same Seller Hist'!E:E,'Same Seller Hist'!I:I)</f>
        <v>7.4962282624030095E+18</v>
      </c>
      <c r="F11" s="5" t="str">
        <f>_xlfn.XLOOKUP(C11,'Same Seller Hist'!E:E,'Same Seller Hist'!H:H)</f>
        <v>blueepulse</v>
      </c>
      <c r="G11" s="5" t="s">
        <v>1734</v>
      </c>
      <c r="H11" s="19">
        <v>4870.1612903225487</v>
      </c>
      <c r="I11" s="19">
        <v>49065.870932193873</v>
      </c>
      <c r="J11" s="19">
        <f>_xlfn.IFNA(_xlfn.XLOOKUP(F11,'Fastmoss 500'!D:D,'Fastmoss 500'!O:O),0)</f>
        <v>0</v>
      </c>
      <c r="K11" s="19">
        <f>_xlfn.IFNA(_xlfn.XLOOKUP(F11,'Fastmoss 500'!D:D,'Fastmoss 500'!N:N),0)</f>
        <v>0</v>
      </c>
      <c r="L11" s="21" t="s">
        <v>2528</v>
      </c>
      <c r="M11" s="21" t="str">
        <f>IF(L11="Shp 500","Sim",IF(ISNA(_xlfn.XLOOKUP(C11,'Shp 500'!D:D,'Shp 500'!D:D)),"Não","Sim"))</f>
        <v>Sim</v>
      </c>
      <c r="N11" s="21" t="str">
        <f>IF(L11="Fastmoss 500","Sim",IF(ISNA(_xlfn.XLOOKUP(_xlfn.XLOOKUP(C11,'Same Seller Hist'!E:E,'Same Seller Hist'!H:H),'Fastmoss 500'!D:D,'Fastmoss 500'!D:D)),"Não","Sim"))</f>
        <v>Não</v>
      </c>
      <c r="O11" s="21" t="str">
        <f>IF(AND(M11="Sim",N11="Sim"),"Sim","Não")</f>
        <v>Não</v>
      </c>
      <c r="P11" s="21" t="str">
        <f>IF(I11&gt;K11,"Sim","Não")</f>
        <v>Sim</v>
      </c>
      <c r="Q11" s="21">
        <f>COUNTIFS(C:C,C11)</f>
        <v>1</v>
      </c>
    </row>
    <row r="12" spans="2:17" hidden="1" x14ac:dyDescent="0.35">
      <c r="C12" s="5">
        <v>362859393</v>
      </c>
      <c r="D12" s="5" t="s">
        <v>1285</v>
      </c>
      <c r="E12" s="5">
        <f>_xlfn.XLOOKUP(C12,'Same Seller Hist'!E:E,'Same Seller Hist'!I:I)</f>
        <v>7.4961596956035901E+18</v>
      </c>
      <c r="F12" s="5" t="str">
        <f>_xlfn.XLOOKUP(C12,'Same Seller Hist'!E:E,'Same Seller Hist'!H:H)</f>
        <v>ALFA SHOP.BR</v>
      </c>
      <c r="G12" s="5" t="s">
        <v>1734</v>
      </c>
      <c r="H12" s="19">
        <v>4604.9354838709678</v>
      </c>
      <c r="I12" s="19">
        <v>14928.731364747517</v>
      </c>
      <c r="J12" s="19">
        <f>_xlfn.IFNA(_xlfn.XLOOKUP(F12,'Fastmoss 500'!D:D,'Fastmoss 500'!O:O),0)</f>
        <v>0</v>
      </c>
      <c r="K12" s="19">
        <f>_xlfn.IFNA(_xlfn.XLOOKUP(F12,'Fastmoss 500'!D:D,'Fastmoss 500'!N:N),0)</f>
        <v>0</v>
      </c>
      <c r="L12" s="21" t="s">
        <v>2528</v>
      </c>
      <c r="M12" s="21" t="str">
        <f>IF(L12="Shp 500","Sim",IF(ISNA(_xlfn.XLOOKUP(C12,'Shp 500'!D:D,'Shp 500'!D:D)),"Não","Sim"))</f>
        <v>Sim</v>
      </c>
      <c r="N12" s="21" t="str">
        <f>IF(L12="Fastmoss 500","Sim",IF(ISNA(_xlfn.XLOOKUP(_xlfn.XLOOKUP(C12,'Same Seller Hist'!E:E,'Same Seller Hist'!H:H),'Fastmoss 500'!D:D,'Fastmoss 500'!D:D)),"Não","Sim"))</f>
        <v>Não</v>
      </c>
      <c r="O12" s="21" t="str">
        <f>IF(AND(M12="Sim",N12="Sim"),"Sim","Não")</f>
        <v>Não</v>
      </c>
      <c r="P12" s="21" t="str">
        <f>IF(I12&gt;K12,"Sim","Não")</f>
        <v>Sim</v>
      </c>
      <c r="Q12" s="21">
        <f>COUNTIFS(C:C,C12)</f>
        <v>1</v>
      </c>
    </row>
    <row r="13" spans="2:17" hidden="1" x14ac:dyDescent="0.35">
      <c r="C13" s="5">
        <v>1045085918</v>
      </c>
      <c r="D13" s="5" t="s">
        <v>71</v>
      </c>
      <c r="E13" s="5">
        <f>_xlfn.XLOOKUP(C13,'Same Seller Hist'!E:E,'Same Seller Hist'!I:I)</f>
        <v>7.4941815193772698E+18</v>
      </c>
      <c r="F13" s="5" t="str">
        <f>_xlfn.XLOOKUP(C13,'Same Seller Hist'!E:E,'Same Seller Hist'!H:H)</f>
        <v>YUMI CELL BR</v>
      </c>
      <c r="G13" s="5" t="s">
        <v>906</v>
      </c>
      <c r="H13" s="19">
        <v>4299.4838709677415</v>
      </c>
      <c r="I13" s="19">
        <v>22995.674944848677</v>
      </c>
      <c r="J13" s="19">
        <f>_xlfn.IFNA(_xlfn.XLOOKUP(F13,'Fastmoss 500'!D:D,'Fastmoss 500'!O:O),0)</f>
        <v>235.48387096774192</v>
      </c>
      <c r="K13" s="19">
        <f>_xlfn.IFNA(_xlfn.XLOOKUP(F13,'Fastmoss 500'!D:D,'Fastmoss 500'!N:N),0)</f>
        <v>17706.451612903227</v>
      </c>
      <c r="L13" s="21" t="s">
        <v>2528</v>
      </c>
      <c r="M13" s="21" t="str">
        <f>IF(L13="Shp 500","Sim",IF(ISNA(_xlfn.XLOOKUP(C13,'Shp 500'!D:D,'Shp 500'!D:D)),"Não","Sim"))</f>
        <v>Sim</v>
      </c>
      <c r="N13" s="21" t="str">
        <f>IF(L13="Fastmoss 500","Sim",IF(ISNA(_xlfn.XLOOKUP(_xlfn.XLOOKUP(C13,'Same Seller Hist'!E:E,'Same Seller Hist'!H:H),'Fastmoss 500'!D:D,'Fastmoss 500'!D:D)),"Não","Sim"))</f>
        <v>Sim</v>
      </c>
      <c r="O13" s="21" t="str">
        <f>IF(AND(M13="Sim",N13="Sim"),"Sim","Não")</f>
        <v>Sim</v>
      </c>
      <c r="P13" s="21" t="str">
        <f>IF(I13&gt;K13,"Sim","Não")</f>
        <v>Sim</v>
      </c>
      <c r="Q13" s="21">
        <f>COUNTIFS(C:C,C13)</f>
        <v>1</v>
      </c>
    </row>
    <row r="14" spans="2:17" x14ac:dyDescent="0.35">
      <c r="C14" s="5">
        <v>296363855</v>
      </c>
      <c r="D14" s="5" t="s">
        <v>1366</v>
      </c>
      <c r="E14" s="5">
        <f>_xlfn.XLOOKUP(C14,'Same Seller Hist'!E:E,'Same Seller Hist'!I:I)</f>
        <v>7.4955619343641805E+18</v>
      </c>
      <c r="F14" s="5" t="str">
        <f>_xlfn.XLOOKUP(C14,'Same Seller Hist'!E:E,'Same Seller Hist'!H:H)</f>
        <v>Casa Laura Enxovais</v>
      </c>
      <c r="G14" s="5" t="s">
        <v>905</v>
      </c>
      <c r="H14" s="19">
        <v>1873.9354838709644</v>
      </c>
      <c r="I14" s="19">
        <v>15155.612512797323</v>
      </c>
      <c r="J14" s="19">
        <f>_xlfn.IFNA(_xlfn.XLOOKUP(F14,'Fastmoss 500'!D:D,'Fastmoss 500'!O:O),0)</f>
        <v>280.64516129032256</v>
      </c>
      <c r="K14" s="19">
        <f>_xlfn.IFNA(_xlfn.XLOOKUP(F14,'Fastmoss 500'!D:D,'Fastmoss 500'!N:N),0)</f>
        <v>16445.16129032258</v>
      </c>
      <c r="L14" s="21" t="s">
        <v>2528</v>
      </c>
      <c r="M14" s="21" t="str">
        <f>IF(L14="Shp 500","Sim",IF(ISNA(_xlfn.XLOOKUP(C14,'Shp 500'!D:D,'Shp 500'!D:D)),"Não","Sim"))</f>
        <v>Sim</v>
      </c>
      <c r="N14" s="21" t="str">
        <f>IF(L14="Fastmoss 500","Sim",IF(ISNA(_xlfn.XLOOKUP(_xlfn.XLOOKUP(C14,'Same Seller Hist'!E:E,'Same Seller Hist'!H:H),'Fastmoss 500'!D:D,'Fastmoss 500'!D:D)),"Não","Sim"))</f>
        <v>Sim</v>
      </c>
      <c r="O14" s="21" t="str">
        <f>IF(AND(M14="Sim",N14="Sim"),"Sim","Não")</f>
        <v>Sim</v>
      </c>
      <c r="P14" s="21" t="str">
        <f>IF(I14&gt;K14,"Sim","Não")</f>
        <v>Não</v>
      </c>
      <c r="Q14" s="21">
        <f>COUNTIFS(C:C,C14)</f>
        <v>2</v>
      </c>
    </row>
    <row r="15" spans="2:17" x14ac:dyDescent="0.35">
      <c r="C15" s="5">
        <f>_xlfn.XLOOKUP(F15,'Same Seller Hist'!H:H,'Same Seller Hist'!E:E)</f>
        <v>296363855</v>
      </c>
      <c r="D15" s="5" t="str">
        <f>_xlfn.XLOOKUP(F15,'Same Seller Hist'!H:H,'Same Seller Hist'!D:D)</f>
        <v>Casa Laura Enxovais</v>
      </c>
      <c r="E15" s="5">
        <f>_xlfn.XLOOKUP(F15,'Same Seller Hist'!H:H,'Same Seller Hist'!I:I)</f>
        <v>7.4955619343641805E+18</v>
      </c>
      <c r="F15" s="5" t="s">
        <v>383</v>
      </c>
      <c r="G15" s="5" t="str">
        <f>_xlfn.XLOOKUP(C15,'Same Seller Hist'!E:E,'Same Seller Hist'!F:F)</f>
        <v>Lifestyle</v>
      </c>
      <c r="H15" s="19">
        <f>_xlfn.IFNA(_xlfn.XLOOKUP(C15,'Shp 500'!D:D,'Shp 500'!I:I),0)</f>
        <v>1873.9354838709644</v>
      </c>
      <c r="I15" s="19">
        <f>_xlfn.IFNA(_xlfn.XLOOKUP(C15,'Shp 500'!D:D,'Shp 500'!J:J),0)</f>
        <v>15155.612512797323</v>
      </c>
      <c r="J15" s="19">
        <v>280.64516129032256</v>
      </c>
      <c r="K15" s="19">
        <v>16445.16129032258</v>
      </c>
      <c r="L15" s="21" t="s">
        <v>2530</v>
      </c>
      <c r="M15" s="21" t="str">
        <f>IF(L15="Shp 500","Sim",IF(ISNA(_xlfn.XLOOKUP(C15,'Shp 500'!D:D,'Shp 500'!D:D)),"Não","Sim"))</f>
        <v>Sim</v>
      </c>
      <c r="N15" s="21" t="str">
        <f>IF(L15="Fastmoss 500","Sim",IF(ISNA(_xlfn.XLOOKUP(_xlfn.XLOOKUP(C15,'Same Seller Hist'!E:E,'Same Seller Hist'!H:H),'Fastmoss 500'!D:D,'Fastmoss 500'!D:D)),"Não","Sim"))</f>
        <v>Sim</v>
      </c>
      <c r="O15" s="21" t="str">
        <f>IF(AND(M15="Sim",N15="Sim"),"Sim","Não")</f>
        <v>Sim</v>
      </c>
      <c r="P15" s="21" t="str">
        <f>IF(I15&gt;K15,"Sim","Não")</f>
        <v>Não</v>
      </c>
      <c r="Q15" s="21">
        <f>COUNTIFS(C:C,C15)</f>
        <v>2</v>
      </c>
    </row>
    <row r="16" spans="2:17" hidden="1" x14ac:dyDescent="0.35">
      <c r="C16" s="5">
        <v>872424585</v>
      </c>
      <c r="D16" s="5" t="s">
        <v>1289</v>
      </c>
      <c r="E16" s="5">
        <f>_xlfn.XLOOKUP(C16,'Same Seller Hist'!E:E,'Same Seller Hist'!I:I)</f>
        <v>7.4961817379542405E+18</v>
      </c>
      <c r="F16" s="5" t="str">
        <f>_xlfn.XLOOKUP(C16,'Same Seller Hist'!E:E,'Same Seller Hist'!H:H)</f>
        <v>mega tech store</v>
      </c>
      <c r="G16" s="5" t="s">
        <v>1734</v>
      </c>
      <c r="H16" s="19">
        <v>3866.0645161290322</v>
      </c>
      <c r="I16" s="19">
        <v>31272.972472217094</v>
      </c>
      <c r="J16" s="19">
        <f>_xlfn.IFNA(_xlfn.XLOOKUP(F16,'Fastmoss 500'!D:D,'Fastmoss 500'!O:O),0)</f>
        <v>0</v>
      </c>
      <c r="K16" s="19">
        <f>_xlfn.IFNA(_xlfn.XLOOKUP(F16,'Fastmoss 500'!D:D,'Fastmoss 500'!N:N),0)</f>
        <v>0</v>
      </c>
      <c r="L16" s="21" t="s">
        <v>2528</v>
      </c>
      <c r="M16" s="21" t="str">
        <f>IF(L16="Shp 500","Sim",IF(ISNA(_xlfn.XLOOKUP(C16,'Shp 500'!D:D,'Shp 500'!D:D)),"Não","Sim"))</f>
        <v>Sim</v>
      </c>
      <c r="N16" s="21" t="str">
        <f>IF(L16="Fastmoss 500","Sim",IF(ISNA(_xlfn.XLOOKUP(_xlfn.XLOOKUP(C16,'Same Seller Hist'!E:E,'Same Seller Hist'!H:H),'Fastmoss 500'!D:D,'Fastmoss 500'!D:D)),"Não","Sim"))</f>
        <v>Não</v>
      </c>
      <c r="O16" s="21" t="str">
        <f>IF(AND(M16="Sim",N16="Sim"),"Sim","Não")</f>
        <v>Não</v>
      </c>
      <c r="P16" s="21" t="str">
        <f>IF(I16&gt;K16,"Sim","Não")</f>
        <v>Sim</v>
      </c>
      <c r="Q16" s="21">
        <f>COUNTIFS(C:C,C16)</f>
        <v>1</v>
      </c>
    </row>
    <row r="17" spans="3:17" hidden="1" x14ac:dyDescent="0.35">
      <c r="C17" s="5">
        <v>643719371</v>
      </c>
      <c r="D17" s="5" t="s">
        <v>1291</v>
      </c>
      <c r="E17" s="5">
        <f>_xlfn.XLOOKUP(C17,'Same Seller Hist'!E:E,'Same Seller Hist'!I:I)</f>
        <v>7.4961840319018701E+18</v>
      </c>
      <c r="F17" s="5" t="str">
        <f>_xlfn.XLOOKUP(C17,'Same Seller Hist'!E:E,'Same Seller Hist'!H:H)</f>
        <v>NEWCOOL.BR</v>
      </c>
      <c r="G17" s="5" t="s">
        <v>1734</v>
      </c>
      <c r="H17" s="19">
        <v>3826.9354838709355</v>
      </c>
      <c r="I17" s="19">
        <v>19013.021016456223</v>
      </c>
      <c r="J17" s="19">
        <f>_xlfn.IFNA(_xlfn.XLOOKUP(F17,'Fastmoss 500'!D:D,'Fastmoss 500'!O:O),0)</f>
        <v>0</v>
      </c>
      <c r="K17" s="19">
        <f>_xlfn.IFNA(_xlfn.XLOOKUP(F17,'Fastmoss 500'!D:D,'Fastmoss 500'!N:N),0)</f>
        <v>0</v>
      </c>
      <c r="L17" s="21" t="s">
        <v>2528</v>
      </c>
      <c r="M17" s="21" t="str">
        <f>IF(L17="Shp 500","Sim",IF(ISNA(_xlfn.XLOOKUP(C17,'Shp 500'!D:D,'Shp 500'!D:D)),"Não","Sim"))</f>
        <v>Sim</v>
      </c>
      <c r="N17" s="21" t="str">
        <f>IF(L17="Fastmoss 500","Sim",IF(ISNA(_xlfn.XLOOKUP(_xlfn.XLOOKUP(C17,'Same Seller Hist'!E:E,'Same Seller Hist'!H:H),'Fastmoss 500'!D:D,'Fastmoss 500'!D:D)),"Não","Sim"))</f>
        <v>Não</v>
      </c>
      <c r="O17" s="21" t="str">
        <f>IF(AND(M17="Sim",N17="Sim"),"Sim","Não")</f>
        <v>Não</v>
      </c>
      <c r="P17" s="21" t="str">
        <f>IF(I17&gt;K17,"Sim","Não")</f>
        <v>Sim</v>
      </c>
      <c r="Q17" s="21">
        <f>COUNTIFS(C:C,C17)</f>
        <v>1</v>
      </c>
    </row>
    <row r="18" spans="3:17" x14ac:dyDescent="0.35">
      <c r="C18" s="5">
        <v>299222557</v>
      </c>
      <c r="D18" s="5" t="s">
        <v>1321</v>
      </c>
      <c r="E18" s="5">
        <f>_xlfn.XLOOKUP(C18,'Same Seller Hist'!E:E,'Same Seller Hist'!I:I)</f>
        <v>7.4961791508234496E+18</v>
      </c>
      <c r="F18" s="5" t="str">
        <f>_xlfn.XLOOKUP(C18,'Same Seller Hist'!E:E,'Same Seller Hist'!H:H)</f>
        <v>RIVEN BAZAR</v>
      </c>
      <c r="G18" s="5" t="s">
        <v>1734</v>
      </c>
      <c r="H18" s="19">
        <v>2540.1612903225773</v>
      </c>
      <c r="I18" s="19">
        <v>9178.841669216743</v>
      </c>
      <c r="J18" s="19">
        <f>_xlfn.IFNA(_xlfn.XLOOKUP(F18,'Fastmoss 500'!D:D,'Fastmoss 500'!O:O),0)</f>
        <v>251.61290322580646</v>
      </c>
      <c r="K18" s="19">
        <f>_xlfn.IFNA(_xlfn.XLOOKUP(F18,'Fastmoss 500'!D:D,'Fastmoss 500'!N:N),0)</f>
        <v>10303.225806451614</v>
      </c>
      <c r="L18" s="21" t="s">
        <v>2528</v>
      </c>
      <c r="M18" s="21" t="str">
        <f>IF(L18="Shp 500","Sim",IF(ISNA(_xlfn.XLOOKUP(C18,'Shp 500'!D:D,'Shp 500'!D:D)),"Não","Sim"))</f>
        <v>Sim</v>
      </c>
      <c r="N18" s="21" t="str">
        <f>IF(L18="Fastmoss 500","Sim",IF(ISNA(_xlfn.XLOOKUP(_xlfn.XLOOKUP(C18,'Same Seller Hist'!E:E,'Same Seller Hist'!H:H),'Fastmoss 500'!D:D,'Fastmoss 500'!D:D)),"Não","Sim"))</f>
        <v>Sim</v>
      </c>
      <c r="O18" s="21" t="str">
        <f>IF(AND(M18="Sim",N18="Sim"),"Sim","Não")</f>
        <v>Sim</v>
      </c>
      <c r="P18" s="21" t="str">
        <f>IF(I18&gt;K18,"Sim","Não")</f>
        <v>Não</v>
      </c>
      <c r="Q18" s="21">
        <f>COUNTIFS(C:C,C18)</f>
        <v>2</v>
      </c>
    </row>
    <row r="19" spans="3:17" hidden="1" x14ac:dyDescent="0.35">
      <c r="C19" s="5">
        <v>1064041485</v>
      </c>
      <c r="D19" s="5" t="s">
        <v>1294</v>
      </c>
      <c r="E19" s="5">
        <f>_xlfn.XLOOKUP(C19,'Same Seller Hist'!E:E,'Same Seller Hist'!I:I)</f>
        <v>7.4961859146649098E+18</v>
      </c>
      <c r="F19" s="5" t="str">
        <f>_xlfn.XLOOKUP(C19,'Same Seller Hist'!E:E,'Same Seller Hist'!H:H)</f>
        <v>luxeelectra</v>
      </c>
      <c r="G19" s="5" t="s">
        <v>1734</v>
      </c>
      <c r="H19" s="19">
        <v>3451.0967741935483</v>
      </c>
      <c r="I19" s="19">
        <v>33941.769371964197</v>
      </c>
      <c r="J19" s="19">
        <f>_xlfn.IFNA(_xlfn.XLOOKUP(F19,'Fastmoss 500'!D:D,'Fastmoss 500'!O:O),0)</f>
        <v>0</v>
      </c>
      <c r="K19" s="19">
        <f>_xlfn.IFNA(_xlfn.XLOOKUP(F19,'Fastmoss 500'!D:D,'Fastmoss 500'!N:N),0)</f>
        <v>0</v>
      </c>
      <c r="L19" s="21" t="s">
        <v>2528</v>
      </c>
      <c r="M19" s="21" t="str">
        <f>IF(L19="Shp 500","Sim",IF(ISNA(_xlfn.XLOOKUP(C19,'Shp 500'!D:D,'Shp 500'!D:D)),"Não","Sim"))</f>
        <v>Sim</v>
      </c>
      <c r="N19" s="21" t="str">
        <f>IF(L19="Fastmoss 500","Sim",IF(ISNA(_xlfn.XLOOKUP(_xlfn.XLOOKUP(C19,'Same Seller Hist'!E:E,'Same Seller Hist'!H:H),'Fastmoss 500'!D:D,'Fastmoss 500'!D:D)),"Não","Sim"))</f>
        <v>Não</v>
      </c>
      <c r="O19" s="21" t="str">
        <f>IF(AND(M19="Sim",N19="Sim"),"Sim","Não")</f>
        <v>Não</v>
      </c>
      <c r="P19" s="21" t="str">
        <f>IF(I19&gt;K19,"Sim","Não")</f>
        <v>Sim</v>
      </c>
      <c r="Q19" s="21">
        <f>COUNTIFS(C:C,C19)</f>
        <v>1</v>
      </c>
    </row>
    <row r="20" spans="3:17" hidden="1" x14ac:dyDescent="0.35">
      <c r="C20" s="5">
        <v>341167297</v>
      </c>
      <c r="D20" s="5" t="s">
        <v>1295</v>
      </c>
      <c r="E20" s="5">
        <f>_xlfn.XLOOKUP(C20,'Same Seller Hist'!E:E,'Same Seller Hist'!I:I)</f>
        <v>0</v>
      </c>
      <c r="F20" s="5">
        <f>_xlfn.XLOOKUP(C20,'Same Seller Hist'!E:E,'Same Seller Hist'!H:H)</f>
        <v>0</v>
      </c>
      <c r="G20" s="5" t="s">
        <v>903</v>
      </c>
      <c r="H20" s="19">
        <v>3346.8709677419356</v>
      </c>
      <c r="I20" s="19">
        <v>37236.535039409035</v>
      </c>
      <c r="J20" s="19">
        <f>_xlfn.IFNA(_xlfn.XLOOKUP(F20,'Fastmoss 500'!D:D,'Fastmoss 500'!O:O),0)</f>
        <v>0</v>
      </c>
      <c r="K20" s="19">
        <f>_xlfn.IFNA(_xlfn.XLOOKUP(F20,'Fastmoss 500'!D:D,'Fastmoss 500'!N:N),0)</f>
        <v>0</v>
      </c>
      <c r="L20" s="21" t="s">
        <v>2528</v>
      </c>
      <c r="M20" s="21" t="str">
        <f>IF(L20="Shp 500","Sim",IF(ISNA(_xlfn.XLOOKUP(C20,'Shp 500'!D:D,'Shp 500'!D:D)),"Não","Sim"))</f>
        <v>Sim</v>
      </c>
      <c r="N20" s="21" t="str">
        <f>IF(L20="Fastmoss 500","Sim",IF(ISNA(_xlfn.XLOOKUP(_xlfn.XLOOKUP(C20,'Same Seller Hist'!E:E,'Same Seller Hist'!H:H),'Fastmoss 500'!D:D,'Fastmoss 500'!D:D)),"Não","Sim"))</f>
        <v>Não</v>
      </c>
      <c r="O20" s="21" t="str">
        <f>IF(AND(M20="Sim",N20="Sim"),"Sim","Não")</f>
        <v>Não</v>
      </c>
      <c r="P20" s="21" t="str">
        <f>IF(I20&gt;K20,"Sim","Não")</f>
        <v>Sim</v>
      </c>
      <c r="Q20" s="21">
        <f>COUNTIFS(C:C,C20)</f>
        <v>1</v>
      </c>
    </row>
    <row r="21" spans="3:17" hidden="1" x14ac:dyDescent="0.35">
      <c r="C21" s="5">
        <v>313660590</v>
      </c>
      <c r="D21" s="5" t="s">
        <v>404</v>
      </c>
      <c r="E21" s="5">
        <f>_xlfn.XLOOKUP(C21,'Same Seller Hist'!E:E,'Same Seller Hist'!I:I)</f>
        <v>7.4940983363536404E+18</v>
      </c>
      <c r="F21" s="5" t="str">
        <f>_xlfn.XLOOKUP(C21,'Same Seller Hist'!E:E,'Same Seller Hist'!H:H)</f>
        <v>Nosso Lar Enxovais</v>
      </c>
      <c r="G21" s="5" t="s">
        <v>905</v>
      </c>
      <c r="H21" s="19">
        <v>3313.3225806451615</v>
      </c>
      <c r="I21" s="19">
        <v>29155.731930206646</v>
      </c>
      <c r="J21" s="19">
        <f>_xlfn.IFNA(_xlfn.XLOOKUP(F21,'Fastmoss 500'!D:D,'Fastmoss 500'!O:O),0)</f>
        <v>0</v>
      </c>
      <c r="K21" s="19">
        <f>_xlfn.IFNA(_xlfn.XLOOKUP(F21,'Fastmoss 500'!D:D,'Fastmoss 500'!N:N),0)</f>
        <v>0</v>
      </c>
      <c r="L21" s="21" t="s">
        <v>2528</v>
      </c>
      <c r="M21" s="21" t="str">
        <f>IF(L21="Shp 500","Sim",IF(ISNA(_xlfn.XLOOKUP(C21,'Shp 500'!D:D,'Shp 500'!D:D)),"Não","Sim"))</f>
        <v>Sim</v>
      </c>
      <c r="N21" s="21" t="str">
        <f>IF(L21="Fastmoss 500","Sim",IF(ISNA(_xlfn.XLOOKUP(_xlfn.XLOOKUP(C21,'Same Seller Hist'!E:E,'Same Seller Hist'!H:H),'Fastmoss 500'!D:D,'Fastmoss 500'!D:D)),"Não","Sim"))</f>
        <v>Não</v>
      </c>
      <c r="O21" s="21" t="str">
        <f>IF(AND(M21="Sim",N21="Sim"),"Sim","Não")</f>
        <v>Não</v>
      </c>
      <c r="P21" s="21" t="str">
        <f>IF(I21&gt;K21,"Sim","Não")</f>
        <v>Sim</v>
      </c>
      <c r="Q21" s="21">
        <f>COUNTIFS(C:C,C21)</f>
        <v>1</v>
      </c>
    </row>
    <row r="22" spans="3:17" x14ac:dyDescent="0.35">
      <c r="C22" s="5">
        <f>_xlfn.XLOOKUP(F22,'Same Seller Hist'!H:H,'Same Seller Hist'!E:E)</f>
        <v>299222557</v>
      </c>
      <c r="D22" s="5" t="str">
        <f>_xlfn.XLOOKUP(F22,'Same Seller Hist'!H:H,'Same Seller Hist'!D:D)</f>
        <v>RIVEN BAZAR</v>
      </c>
      <c r="E22" s="5">
        <f>_xlfn.XLOOKUP(F22,'Same Seller Hist'!H:H,'Same Seller Hist'!I:I)</f>
        <v>7.4961791508234496E+18</v>
      </c>
      <c r="F22" s="5" t="s">
        <v>388</v>
      </c>
      <c r="G22" s="5" t="str">
        <f>_xlfn.XLOOKUP(C22,'Same Seller Hist'!E:E,'Same Seller Hist'!F:F)</f>
        <v>FMCG</v>
      </c>
      <c r="H22" s="19">
        <f>_xlfn.IFNA(_xlfn.XLOOKUP(C22,'Shp 500'!D:D,'Shp 500'!I:I),0)</f>
        <v>2540.1612903225773</v>
      </c>
      <c r="I22" s="19">
        <f>_xlfn.IFNA(_xlfn.XLOOKUP(C22,'Shp 500'!D:D,'Shp 500'!J:J),0)</f>
        <v>9178.841669216743</v>
      </c>
      <c r="J22" s="19">
        <v>251.61290322580646</v>
      </c>
      <c r="K22" s="19">
        <v>10303.225806451614</v>
      </c>
      <c r="L22" s="21" t="s">
        <v>2530</v>
      </c>
      <c r="M22" s="21" t="str">
        <f>IF(L22="Shp 500","Sim",IF(ISNA(_xlfn.XLOOKUP(C22,'Shp 500'!D:D,'Shp 500'!D:D)),"Não","Sim"))</f>
        <v>Sim</v>
      </c>
      <c r="N22" s="21" t="str">
        <f>IF(L22="Fastmoss 500","Sim",IF(ISNA(_xlfn.XLOOKUP(_xlfn.XLOOKUP(C22,'Same Seller Hist'!E:E,'Same Seller Hist'!H:H),'Fastmoss 500'!D:D,'Fastmoss 500'!D:D)),"Não","Sim"))</f>
        <v>Sim</v>
      </c>
      <c r="O22" s="21" t="str">
        <f>IF(AND(M22="Sim",N22="Sim"),"Sim","Não")</f>
        <v>Sim</v>
      </c>
      <c r="P22" s="21" t="str">
        <f>IF(I22&gt;K22,"Sim","Não")</f>
        <v>Não</v>
      </c>
      <c r="Q22" s="21">
        <f>COUNTIFS(C:C,C22)</f>
        <v>2</v>
      </c>
    </row>
    <row r="23" spans="3:17" x14ac:dyDescent="0.35">
      <c r="C23" s="5">
        <v>313984108</v>
      </c>
      <c r="D23" s="5" t="s">
        <v>1337</v>
      </c>
      <c r="E23" s="5">
        <f>_xlfn.XLOOKUP(C23,'Same Seller Hist'!E:E,'Same Seller Hist'!I:I)</f>
        <v>7.4940883144375296E+18</v>
      </c>
      <c r="F23" s="5" t="str">
        <f>_xlfn.XLOOKUP(C23,'Same Seller Hist'!E:E,'Same Seller Hist'!H:H)</f>
        <v>Casa Nova Enxovais e Decoração</v>
      </c>
      <c r="G23" s="5" t="s">
        <v>905</v>
      </c>
      <c r="H23" s="19">
        <v>2282.8387096774195</v>
      </c>
      <c r="I23" s="19">
        <v>18438.425774878451</v>
      </c>
      <c r="J23" s="19">
        <f>_xlfn.IFNA(_xlfn.XLOOKUP(F23,'Fastmoss 500'!D:D,'Fastmoss 500'!O:O),0)</f>
        <v>383.87096774193549</v>
      </c>
      <c r="K23" s="19">
        <f>_xlfn.IFNA(_xlfn.XLOOKUP(F23,'Fastmoss 500'!D:D,'Fastmoss 500'!N:N),0)</f>
        <v>9980.645161290322</v>
      </c>
      <c r="L23" s="21" t="s">
        <v>2528</v>
      </c>
      <c r="M23" s="21" t="str">
        <f>IF(L23="Shp 500","Sim",IF(ISNA(_xlfn.XLOOKUP(C23,'Shp 500'!D:D,'Shp 500'!D:D)),"Não","Sim"))</f>
        <v>Sim</v>
      </c>
      <c r="N23" s="21" t="str">
        <f>IF(L23="Fastmoss 500","Sim",IF(ISNA(_xlfn.XLOOKUP(_xlfn.XLOOKUP(C23,'Same Seller Hist'!E:E,'Same Seller Hist'!H:H),'Fastmoss 500'!D:D,'Fastmoss 500'!D:D)),"Não","Sim"))</f>
        <v>Sim</v>
      </c>
      <c r="O23" s="21" t="str">
        <f>IF(AND(M23="Sim",N23="Sim"),"Sim","Não")</f>
        <v>Sim</v>
      </c>
      <c r="P23" s="21" t="str">
        <f>IF(I23&gt;K23,"Sim","Não")</f>
        <v>Sim</v>
      </c>
      <c r="Q23" s="21">
        <f>COUNTIFS(C:C,C23)</f>
        <v>2</v>
      </c>
    </row>
    <row r="24" spans="3:17" x14ac:dyDescent="0.35">
      <c r="C24" s="5">
        <f>_xlfn.XLOOKUP(F24,'Same Seller Hist'!H:H,'Same Seller Hist'!E:E)</f>
        <v>313984108</v>
      </c>
      <c r="D24" s="5" t="str">
        <f>_xlfn.XLOOKUP(F24,'Same Seller Hist'!H:H,'Same Seller Hist'!D:D)</f>
        <v>Casa Nova Enxovais e Decoração</v>
      </c>
      <c r="E24" s="5">
        <f>_xlfn.XLOOKUP(F24,'Same Seller Hist'!H:H,'Same Seller Hist'!I:I)</f>
        <v>7.4940883144375296E+18</v>
      </c>
      <c r="F24" s="5" t="s">
        <v>405</v>
      </c>
      <c r="G24" s="5" t="str">
        <f>_xlfn.XLOOKUP(C24,'Same Seller Hist'!E:E,'Same Seller Hist'!F:F)</f>
        <v>Lifestyle</v>
      </c>
      <c r="H24" s="19">
        <f>_xlfn.IFNA(_xlfn.XLOOKUP(C24,'Shp 500'!D:D,'Shp 500'!I:I),0)</f>
        <v>2282.8387096774195</v>
      </c>
      <c r="I24" s="19">
        <f>_xlfn.IFNA(_xlfn.XLOOKUP(C24,'Shp 500'!D:D,'Shp 500'!J:J),0)</f>
        <v>18438.425774878451</v>
      </c>
      <c r="J24" s="19">
        <v>383.87096774193549</v>
      </c>
      <c r="K24" s="19">
        <v>9980.645161290322</v>
      </c>
      <c r="L24" s="21" t="s">
        <v>2530</v>
      </c>
      <c r="M24" s="21" t="str">
        <f>IF(L24="Shp 500","Sim",IF(ISNA(_xlfn.XLOOKUP(C24,'Shp 500'!D:D,'Shp 500'!D:D)),"Não","Sim"))</f>
        <v>Sim</v>
      </c>
      <c r="N24" s="21" t="str">
        <f>IF(L24="Fastmoss 500","Sim",IF(ISNA(_xlfn.XLOOKUP(_xlfn.XLOOKUP(C24,'Same Seller Hist'!E:E,'Same Seller Hist'!H:H),'Fastmoss 500'!D:D,'Fastmoss 500'!D:D)),"Não","Sim"))</f>
        <v>Sim</v>
      </c>
      <c r="O24" s="21" t="str">
        <f>IF(AND(M24="Sim",N24="Sim"),"Sim","Não")</f>
        <v>Sim</v>
      </c>
      <c r="P24" s="21" t="str">
        <f>IF(I24&gt;K24,"Sim","Não")</f>
        <v>Sim</v>
      </c>
      <c r="Q24" s="21">
        <f>COUNTIFS(C:C,C24)</f>
        <v>2</v>
      </c>
    </row>
    <row r="25" spans="3:17" hidden="1" x14ac:dyDescent="0.35">
      <c r="C25" s="5">
        <v>343246764</v>
      </c>
      <c r="D25" s="5" t="s">
        <v>452</v>
      </c>
      <c r="E25" s="5">
        <f>_xlfn.XLOOKUP(C25,'Same Seller Hist'!E:E,'Same Seller Hist'!I:I)</f>
        <v>7.4961625197861601E+18</v>
      </c>
      <c r="F25" s="5" t="str">
        <f>_xlfn.XLOOKUP(C25,'Same Seller Hist'!E:E,'Same Seller Hist'!H:H)</f>
        <v>Zyoou Market</v>
      </c>
      <c r="G25" s="5" t="s">
        <v>1734</v>
      </c>
      <c r="H25" s="19">
        <v>3018.7419354838707</v>
      </c>
      <c r="I25" s="19">
        <v>12152.887000235289</v>
      </c>
      <c r="J25" s="19">
        <f>_xlfn.IFNA(_xlfn.XLOOKUP(F25,'Fastmoss 500'!D:D,'Fastmoss 500'!O:O),0)</f>
        <v>0</v>
      </c>
      <c r="K25" s="19">
        <f>_xlfn.IFNA(_xlfn.XLOOKUP(F25,'Fastmoss 500'!D:D,'Fastmoss 500'!N:N),0)</f>
        <v>0</v>
      </c>
      <c r="L25" s="21" t="s">
        <v>2528</v>
      </c>
      <c r="M25" s="21" t="str">
        <f>IF(L25="Shp 500","Sim",IF(ISNA(_xlfn.XLOOKUP(C25,'Shp 500'!D:D,'Shp 500'!D:D)),"Não","Sim"))</f>
        <v>Sim</v>
      </c>
      <c r="N25" s="21" t="str">
        <f>IF(L25="Fastmoss 500","Sim",IF(ISNA(_xlfn.XLOOKUP(_xlfn.XLOOKUP(C25,'Same Seller Hist'!E:E,'Same Seller Hist'!H:H),'Fastmoss 500'!D:D,'Fastmoss 500'!D:D)),"Não","Sim"))</f>
        <v>Não</v>
      </c>
      <c r="O25" s="21" t="str">
        <f>IF(AND(M25="Sim",N25="Sim"),"Sim","Não")</f>
        <v>Não</v>
      </c>
      <c r="P25" s="21" t="str">
        <f>IF(I25&gt;K25,"Sim","Não")</f>
        <v>Sim</v>
      </c>
      <c r="Q25" s="21">
        <f>COUNTIFS(C:C,C25)</f>
        <v>1</v>
      </c>
    </row>
    <row r="26" spans="3:17" hidden="1" x14ac:dyDescent="0.35">
      <c r="C26" s="5">
        <v>418205294</v>
      </c>
      <c r="D26" s="5" t="s">
        <v>1303</v>
      </c>
      <c r="E26" s="5">
        <f>_xlfn.XLOOKUP(C26,'Same Seller Hist'!E:E,'Same Seller Hist'!I:I)</f>
        <v>7.4961473420166697E+18</v>
      </c>
      <c r="F26" s="5" t="str">
        <f>_xlfn.XLOOKUP(C26,'Same Seller Hist'!E:E,'Same Seller Hist'!H:H)</f>
        <v>ANA1108 SHOP</v>
      </c>
      <c r="G26" s="5" t="s">
        <v>1734</v>
      </c>
      <c r="H26" s="19">
        <v>3015.1290322580644</v>
      </c>
      <c r="I26" s="19">
        <v>11080.647420698031</v>
      </c>
      <c r="J26" s="19">
        <f>_xlfn.IFNA(_xlfn.XLOOKUP(F26,'Fastmoss 500'!D:D,'Fastmoss 500'!O:O),0)</f>
        <v>0</v>
      </c>
      <c r="K26" s="19">
        <f>_xlfn.IFNA(_xlfn.XLOOKUP(F26,'Fastmoss 500'!D:D,'Fastmoss 500'!N:N),0)</f>
        <v>0</v>
      </c>
      <c r="L26" s="21" t="s">
        <v>2528</v>
      </c>
      <c r="M26" s="21" t="str">
        <f>IF(L26="Shp 500","Sim",IF(ISNA(_xlfn.XLOOKUP(C26,'Shp 500'!D:D,'Shp 500'!D:D)),"Não","Sim"))</f>
        <v>Sim</v>
      </c>
      <c r="N26" s="21" t="str">
        <f>IF(L26="Fastmoss 500","Sim",IF(ISNA(_xlfn.XLOOKUP(_xlfn.XLOOKUP(C26,'Same Seller Hist'!E:E,'Same Seller Hist'!H:H),'Fastmoss 500'!D:D,'Fastmoss 500'!D:D)),"Não","Sim"))</f>
        <v>Não</v>
      </c>
      <c r="O26" s="21" t="str">
        <f>IF(AND(M26="Sim",N26="Sim"),"Sim","Não")</f>
        <v>Não</v>
      </c>
      <c r="P26" s="21" t="str">
        <f>IF(I26&gt;K26,"Sim","Não")</f>
        <v>Sim</v>
      </c>
      <c r="Q26" s="21">
        <f>COUNTIFS(C:C,C26)</f>
        <v>1</v>
      </c>
    </row>
    <row r="27" spans="3:17" hidden="1" x14ac:dyDescent="0.35">
      <c r="C27" s="5">
        <v>300779622</v>
      </c>
      <c r="D27" s="5" t="s">
        <v>391</v>
      </c>
      <c r="E27" s="5">
        <f>_xlfn.XLOOKUP(C27,'Same Seller Hist'!E:E,'Same Seller Hist'!I:I)</f>
        <v>7.49620233730893E+18</v>
      </c>
      <c r="F27" s="5" t="str">
        <f>_xlfn.XLOOKUP(C27,'Same Seller Hist'!E:E,'Same Seller Hist'!H:H)</f>
        <v>Icasa Ibitinga</v>
      </c>
      <c r="G27" s="5" t="s">
        <v>905</v>
      </c>
      <c r="H27" s="19">
        <v>2956.2903225806454</v>
      </c>
      <c r="I27" s="19">
        <v>25985.607129394903</v>
      </c>
      <c r="J27" s="19">
        <f>_xlfn.IFNA(_xlfn.XLOOKUP(F27,'Fastmoss 500'!D:D,'Fastmoss 500'!O:O),0)</f>
        <v>0</v>
      </c>
      <c r="K27" s="19">
        <f>_xlfn.IFNA(_xlfn.XLOOKUP(F27,'Fastmoss 500'!D:D,'Fastmoss 500'!N:N),0)</f>
        <v>0</v>
      </c>
      <c r="L27" s="21" t="s">
        <v>2528</v>
      </c>
      <c r="M27" s="21" t="str">
        <f>IF(L27="Shp 500","Sim",IF(ISNA(_xlfn.XLOOKUP(C27,'Shp 500'!D:D,'Shp 500'!D:D)),"Não","Sim"))</f>
        <v>Sim</v>
      </c>
      <c r="N27" s="21" t="str">
        <f>IF(L27="Fastmoss 500","Sim",IF(ISNA(_xlfn.XLOOKUP(_xlfn.XLOOKUP(C27,'Same Seller Hist'!E:E,'Same Seller Hist'!H:H),'Fastmoss 500'!D:D,'Fastmoss 500'!D:D)),"Não","Sim"))</f>
        <v>Não</v>
      </c>
      <c r="O27" s="21" t="str">
        <f>IF(AND(M27="Sim",N27="Sim"),"Sim","Não")</f>
        <v>Não</v>
      </c>
      <c r="P27" s="21" t="str">
        <f>IF(I27&gt;K27,"Sim","Não")</f>
        <v>Sim</v>
      </c>
      <c r="Q27" s="21">
        <f>COUNTIFS(C:C,C27)</f>
        <v>1</v>
      </c>
    </row>
    <row r="28" spans="3:17" hidden="1" x14ac:dyDescent="0.35">
      <c r="C28" s="5">
        <v>394731864</v>
      </c>
      <c r="D28" s="5" t="s">
        <v>1304</v>
      </c>
      <c r="E28" s="5">
        <f>_xlfn.XLOOKUP(C28,'Same Seller Hist'!E:E,'Same Seller Hist'!I:I)</f>
        <v>7.4961624733090703E+18</v>
      </c>
      <c r="F28" s="5" t="str">
        <f>_xlfn.XLOOKUP(C28,'Same Seller Hist'!E:E,'Same Seller Hist'!H:H)</f>
        <v>Evamia 21</v>
      </c>
      <c r="G28" s="5" t="s">
        <v>1734</v>
      </c>
      <c r="H28" s="19">
        <v>2890.548387096771</v>
      </c>
      <c r="I28" s="19">
        <v>11832.645357715677</v>
      </c>
      <c r="J28" s="19">
        <f>_xlfn.IFNA(_xlfn.XLOOKUP(F28,'Fastmoss 500'!D:D,'Fastmoss 500'!O:O),0)</f>
        <v>0</v>
      </c>
      <c r="K28" s="19">
        <f>_xlfn.IFNA(_xlfn.XLOOKUP(F28,'Fastmoss 500'!D:D,'Fastmoss 500'!N:N),0)</f>
        <v>0</v>
      </c>
      <c r="L28" s="21" t="s">
        <v>2528</v>
      </c>
      <c r="M28" s="21" t="str">
        <f>IF(L28="Shp 500","Sim",IF(ISNA(_xlfn.XLOOKUP(C28,'Shp 500'!D:D,'Shp 500'!D:D)),"Não","Sim"))</f>
        <v>Sim</v>
      </c>
      <c r="N28" s="21" t="str">
        <f>IF(L28="Fastmoss 500","Sim",IF(ISNA(_xlfn.XLOOKUP(_xlfn.XLOOKUP(C28,'Same Seller Hist'!E:E,'Same Seller Hist'!H:H),'Fastmoss 500'!D:D,'Fastmoss 500'!D:D)),"Não","Sim"))</f>
        <v>Não</v>
      </c>
      <c r="O28" s="21" t="str">
        <f>IF(AND(M28="Sim",N28="Sim"),"Sim","Não")</f>
        <v>Não</v>
      </c>
      <c r="P28" s="21" t="str">
        <f>IF(I28&gt;K28,"Sim","Não")</f>
        <v>Sim</v>
      </c>
      <c r="Q28" s="21">
        <f>COUNTIFS(C:C,C28)</f>
        <v>1</v>
      </c>
    </row>
    <row r="29" spans="3:17" x14ac:dyDescent="0.35">
      <c r="C29" s="5">
        <v>325008325</v>
      </c>
      <c r="D29" s="5" t="s">
        <v>1374</v>
      </c>
      <c r="E29" s="5">
        <f>_xlfn.XLOOKUP(C29,'Same Seller Hist'!E:E,'Same Seller Hist'!I:I)</f>
        <v>0</v>
      </c>
      <c r="F29" s="5">
        <f>_xlfn.XLOOKUP(C29,'Same Seller Hist'!E:E,'Same Seller Hist'!H:H)</f>
        <v>0</v>
      </c>
      <c r="G29" s="5" t="s">
        <v>905</v>
      </c>
      <c r="H29" s="19">
        <v>1795.6129032258063</v>
      </c>
      <c r="I29" s="19">
        <v>32107.84018673229</v>
      </c>
      <c r="J29" s="19">
        <f>_xlfn.IFNA(_xlfn.XLOOKUP(F29,'Fastmoss 500'!D:D,'Fastmoss 500'!O:O),0)</f>
        <v>0</v>
      </c>
      <c r="K29" s="19">
        <f>_xlfn.IFNA(_xlfn.XLOOKUP(F29,'Fastmoss 500'!D:D,'Fastmoss 500'!N:N),0)</f>
        <v>0</v>
      </c>
      <c r="L29" s="21" t="s">
        <v>2528</v>
      </c>
      <c r="M29" s="21" t="str">
        <f>IF(L29="Shp 500","Sim",IF(ISNA(_xlfn.XLOOKUP(C29,'Shp 500'!D:D,'Shp 500'!D:D)),"Não","Sim"))</f>
        <v>Sim</v>
      </c>
      <c r="N29" s="21" t="str">
        <f>IF(L29="Fastmoss 500","Sim",IF(ISNA(_xlfn.XLOOKUP(_xlfn.XLOOKUP(C29,'Same Seller Hist'!E:E,'Same Seller Hist'!H:H),'Fastmoss 500'!D:D,'Fastmoss 500'!D:D)),"Não","Sim"))</f>
        <v>Não</v>
      </c>
      <c r="O29" s="21" t="str">
        <f>IF(AND(M29="Sim",N29="Sim"),"Sim","Não")</f>
        <v>Não</v>
      </c>
      <c r="P29" s="21" t="str">
        <f>IF(I29&gt;K29,"Sim","Não")</f>
        <v>Sim</v>
      </c>
      <c r="Q29" s="21">
        <f>COUNTIFS(C:C,C29)</f>
        <v>2</v>
      </c>
    </row>
    <row r="30" spans="3:17" hidden="1" x14ac:dyDescent="0.35">
      <c r="C30" s="5">
        <v>378105312</v>
      </c>
      <c r="D30" s="5" t="s">
        <v>1306</v>
      </c>
      <c r="E30" s="5">
        <f>_xlfn.XLOOKUP(C30,'Same Seller Hist'!E:E,'Same Seller Hist'!I:I)</f>
        <v>7.4961829652639601E+18</v>
      </c>
      <c r="F30" s="5" t="str">
        <f>_xlfn.XLOOKUP(C30,'Same Seller Hist'!E:E,'Same Seller Hist'!H:H)</f>
        <v>Essencial Baby</v>
      </c>
      <c r="G30" s="5" t="s">
        <v>906</v>
      </c>
      <c r="H30" s="19">
        <v>2847.1935483870934</v>
      </c>
      <c r="I30" s="19">
        <v>14097.538356510644</v>
      </c>
      <c r="J30" s="19">
        <f>_xlfn.IFNA(_xlfn.XLOOKUP(F30,'Fastmoss 500'!D:D,'Fastmoss 500'!O:O),0)</f>
        <v>0</v>
      </c>
      <c r="K30" s="19">
        <f>_xlfn.IFNA(_xlfn.XLOOKUP(F30,'Fastmoss 500'!D:D,'Fastmoss 500'!N:N),0)</f>
        <v>0</v>
      </c>
      <c r="L30" s="21" t="s">
        <v>2528</v>
      </c>
      <c r="M30" s="21" t="str">
        <f>IF(L30="Shp 500","Sim",IF(ISNA(_xlfn.XLOOKUP(C30,'Shp 500'!D:D,'Shp 500'!D:D)),"Não","Sim"))</f>
        <v>Sim</v>
      </c>
      <c r="N30" s="21" t="str">
        <f>IF(L30="Fastmoss 500","Sim",IF(ISNA(_xlfn.XLOOKUP(_xlfn.XLOOKUP(C30,'Same Seller Hist'!E:E,'Same Seller Hist'!H:H),'Fastmoss 500'!D:D,'Fastmoss 500'!D:D)),"Não","Sim"))</f>
        <v>Não</v>
      </c>
      <c r="O30" s="21" t="str">
        <f>IF(AND(M30="Sim",N30="Sim"),"Sim","Não")</f>
        <v>Não</v>
      </c>
      <c r="P30" s="21" t="str">
        <f>IF(I30&gt;K30,"Sim","Não")</f>
        <v>Sim</v>
      </c>
      <c r="Q30" s="21">
        <f>COUNTIFS(C:C,C30)</f>
        <v>1</v>
      </c>
    </row>
    <row r="31" spans="3:17" x14ac:dyDescent="0.35">
      <c r="C31" s="5">
        <f>_xlfn.XLOOKUP(F31,'Same Seller Hist'!H:H,'Same Seller Hist'!E:E)</f>
        <v>325008325</v>
      </c>
      <c r="D31" s="5" t="str">
        <f>_xlfn.XLOOKUP(F31,'Same Seller Hist'!H:H,'Same Seller Hist'!D:D)</f>
        <v>Na Web</v>
      </c>
      <c r="E31" s="5">
        <f>_xlfn.XLOOKUP(F31,'Same Seller Hist'!H:H,'Same Seller Hist'!I:I)</f>
        <v>7.4961600830211E+18</v>
      </c>
      <c r="F31" s="5" t="s">
        <v>423</v>
      </c>
      <c r="G31" s="5" t="str">
        <f>_xlfn.XLOOKUP(C31,'Same Seller Hist'!E:E,'Same Seller Hist'!F:F)</f>
        <v>Lifestyle</v>
      </c>
      <c r="H31" s="19">
        <f>_xlfn.IFNA(_xlfn.XLOOKUP(C31,'Shp 500'!D:D,'Shp 500'!I:I),0)</f>
        <v>1795.6129032258063</v>
      </c>
      <c r="I31" s="19">
        <f>_xlfn.IFNA(_xlfn.XLOOKUP(C31,'Shp 500'!D:D,'Shp 500'!J:J),0)</f>
        <v>32107.84018673229</v>
      </c>
      <c r="J31" s="19">
        <v>587.09677419354841</v>
      </c>
      <c r="K31" s="19">
        <v>54838.709677419356</v>
      </c>
      <c r="L31" s="21" t="s">
        <v>2530</v>
      </c>
      <c r="M31" s="21" t="str">
        <f>IF(L31="Shp 500","Sim",IF(ISNA(_xlfn.XLOOKUP(C31,'Shp 500'!D:D,'Shp 500'!D:D)),"Não","Sim"))</f>
        <v>Sim</v>
      </c>
      <c r="N31" s="21" t="str">
        <f>IF(L31="Fastmoss 500","Sim",IF(ISNA(_xlfn.XLOOKUP(_xlfn.XLOOKUP(C31,'Same Seller Hist'!E:E,'Same Seller Hist'!H:H),'Fastmoss 500'!D:D,'Fastmoss 500'!D:D)),"Não","Sim"))</f>
        <v>Sim</v>
      </c>
      <c r="O31" s="21" t="str">
        <f>IF(AND(M31="Sim",N31="Sim"),"Sim","Não")</f>
        <v>Sim</v>
      </c>
      <c r="P31" s="21" t="str">
        <f>IF(I31&gt;K31,"Sim","Não")</f>
        <v>Não</v>
      </c>
      <c r="Q31" s="21">
        <f>COUNTIFS(C:C,C31)</f>
        <v>2</v>
      </c>
    </row>
    <row r="32" spans="3:17" x14ac:dyDescent="0.35">
      <c r="C32" s="5">
        <v>328666563</v>
      </c>
      <c r="D32" s="5" t="s">
        <v>1305</v>
      </c>
      <c r="E32" s="5">
        <f>_xlfn.XLOOKUP(C32,'Same Seller Hist'!E:E,'Same Seller Hist'!I:I)</f>
        <v>7.4961464312699597E+18</v>
      </c>
      <c r="F32" s="5" t="str">
        <f>_xlfn.XLOOKUP(C32,'Same Seller Hist'!E:E,'Same Seller Hist'!H:H)</f>
        <v>DAFUSHOP BRASIL</v>
      </c>
      <c r="G32" s="5" t="s">
        <v>1734</v>
      </c>
      <c r="H32" s="19">
        <v>2853.6774193548385</v>
      </c>
      <c r="I32" s="19">
        <v>20794.011596505614</v>
      </c>
      <c r="J32" s="19">
        <f>_xlfn.IFNA(_xlfn.XLOOKUP(F32,'Fastmoss 500'!D:D,'Fastmoss 500'!O:O),0)</f>
        <v>2251.6129032258063</v>
      </c>
      <c r="K32" s="19">
        <f>_xlfn.IFNA(_xlfn.XLOOKUP(F32,'Fastmoss 500'!D:D,'Fastmoss 500'!N:N),0)</f>
        <v>138709.67741935485</v>
      </c>
      <c r="L32" s="21" t="s">
        <v>2528</v>
      </c>
      <c r="M32" s="21" t="str">
        <f>IF(L32="Shp 500","Sim",IF(ISNA(_xlfn.XLOOKUP(C32,'Shp 500'!D:D,'Shp 500'!D:D)),"Não","Sim"))</f>
        <v>Sim</v>
      </c>
      <c r="N32" s="21" t="str">
        <f>IF(L32="Fastmoss 500","Sim",IF(ISNA(_xlfn.XLOOKUP(_xlfn.XLOOKUP(C32,'Same Seller Hist'!E:E,'Same Seller Hist'!H:H),'Fastmoss 500'!D:D,'Fastmoss 500'!D:D)),"Não","Sim"))</f>
        <v>Sim</v>
      </c>
      <c r="O32" s="21" t="str">
        <f>IF(AND(M32="Sim",N32="Sim"),"Sim","Não")</f>
        <v>Sim</v>
      </c>
      <c r="P32" s="21" t="str">
        <f>IF(I32&gt;K32,"Sim","Não")</f>
        <v>Não</v>
      </c>
      <c r="Q32" s="21">
        <f>COUNTIFS(C:C,C32)</f>
        <v>2</v>
      </c>
    </row>
    <row r="33" spans="3:17" hidden="1" x14ac:dyDescent="0.35">
      <c r="C33" s="5">
        <v>375201738</v>
      </c>
      <c r="D33" s="5" t="s">
        <v>1316</v>
      </c>
      <c r="E33" s="5">
        <f>_xlfn.XLOOKUP(C33,'Same Seller Hist'!E:E,'Same Seller Hist'!I:I)</f>
        <v>7.4961622961180795E+18</v>
      </c>
      <c r="F33" s="5" t="str">
        <f>_xlfn.XLOOKUP(C33,'Same Seller Hist'!E:E,'Same Seller Hist'!H:H)</f>
        <v>Lucky Bazar</v>
      </c>
      <c r="G33" s="5" t="s">
        <v>1734</v>
      </c>
      <c r="H33" s="19">
        <v>2655.1612903225805</v>
      </c>
      <c r="I33" s="19">
        <v>11185.769324980934</v>
      </c>
      <c r="J33" s="19">
        <f>_xlfn.IFNA(_xlfn.XLOOKUP(F33,'Fastmoss 500'!D:D,'Fastmoss 500'!O:O),0)</f>
        <v>0</v>
      </c>
      <c r="K33" s="19">
        <f>_xlfn.IFNA(_xlfn.XLOOKUP(F33,'Fastmoss 500'!D:D,'Fastmoss 500'!N:N),0)</f>
        <v>0</v>
      </c>
      <c r="L33" s="21" t="s">
        <v>2528</v>
      </c>
      <c r="M33" s="21" t="str">
        <f>IF(L33="Shp 500","Sim",IF(ISNA(_xlfn.XLOOKUP(C33,'Shp 500'!D:D,'Shp 500'!D:D)),"Não","Sim"))</f>
        <v>Sim</v>
      </c>
      <c r="N33" s="21" t="str">
        <f>IF(L33="Fastmoss 500","Sim",IF(ISNA(_xlfn.XLOOKUP(_xlfn.XLOOKUP(C33,'Same Seller Hist'!E:E,'Same Seller Hist'!H:H),'Fastmoss 500'!D:D,'Fastmoss 500'!D:D)),"Não","Sim"))</f>
        <v>Não</v>
      </c>
      <c r="O33" s="21" t="str">
        <f>IF(AND(M33="Sim",N33="Sim"),"Sim","Não")</f>
        <v>Não</v>
      </c>
      <c r="P33" s="21" t="str">
        <f>IF(I33&gt;K33,"Sim","Não")</f>
        <v>Sim</v>
      </c>
      <c r="Q33" s="21">
        <f>COUNTIFS(C:C,C33)</f>
        <v>1</v>
      </c>
    </row>
    <row r="34" spans="3:17" x14ac:dyDescent="0.35">
      <c r="C34" s="5">
        <f>_xlfn.XLOOKUP(F34,'Same Seller Hist'!H:H,'Same Seller Hist'!E:E)</f>
        <v>328666563</v>
      </c>
      <c r="D34" s="5" t="str">
        <f>_xlfn.XLOOKUP(F34,'Same Seller Hist'!H:H,'Same Seller Hist'!D:D)</f>
        <v>DAFUSHOP BRASIL</v>
      </c>
      <c r="E34" s="5">
        <f>_xlfn.XLOOKUP(F34,'Same Seller Hist'!H:H,'Same Seller Hist'!I:I)</f>
        <v>7.4961464312699597E+18</v>
      </c>
      <c r="F34" s="5" t="s">
        <v>429</v>
      </c>
      <c r="G34" s="5" t="str">
        <f>_xlfn.XLOOKUP(C34,'Same Seller Hist'!E:E,'Same Seller Hist'!F:F)</f>
        <v>ELHA</v>
      </c>
      <c r="H34" s="19">
        <f>_xlfn.IFNA(_xlfn.XLOOKUP(C34,'Shp 500'!D:D,'Shp 500'!I:I),0)</f>
        <v>2853.6774193548385</v>
      </c>
      <c r="I34" s="19">
        <f>_xlfn.IFNA(_xlfn.XLOOKUP(C34,'Shp 500'!D:D,'Shp 500'!J:J),0)</f>
        <v>20794.011596505614</v>
      </c>
      <c r="J34" s="19">
        <v>2251.6129032258063</v>
      </c>
      <c r="K34" s="19">
        <v>138709.67741935485</v>
      </c>
      <c r="L34" s="21" t="s">
        <v>2530</v>
      </c>
      <c r="M34" s="21" t="str">
        <f>IF(L34="Shp 500","Sim",IF(ISNA(_xlfn.XLOOKUP(C34,'Shp 500'!D:D,'Shp 500'!D:D)),"Não","Sim"))</f>
        <v>Sim</v>
      </c>
      <c r="N34" s="21" t="str">
        <f>IF(L34="Fastmoss 500","Sim",IF(ISNA(_xlfn.XLOOKUP(_xlfn.XLOOKUP(C34,'Same Seller Hist'!E:E,'Same Seller Hist'!H:H),'Fastmoss 500'!D:D,'Fastmoss 500'!D:D)),"Não","Sim"))</f>
        <v>Sim</v>
      </c>
      <c r="O34" s="21" t="str">
        <f>IF(AND(M34="Sim",N34="Sim"),"Sim","Não")</f>
        <v>Sim</v>
      </c>
      <c r="P34" s="21" t="str">
        <f>IF(I34&gt;K34,"Sim","Não")</f>
        <v>Não</v>
      </c>
      <c r="Q34" s="21">
        <f>COUNTIFS(C:C,C34)</f>
        <v>2</v>
      </c>
    </row>
    <row r="35" spans="3:17" hidden="1" x14ac:dyDescent="0.35">
      <c r="C35" s="5">
        <v>290073877</v>
      </c>
      <c r="D35" s="5" t="s">
        <v>1318</v>
      </c>
      <c r="E35" s="5">
        <f>_xlfn.XLOOKUP(C35,'Same Seller Hist'!E:E,'Same Seller Hist'!I:I)</f>
        <v>7.4963023401803796E+18</v>
      </c>
      <c r="F35" s="5" t="str">
        <f>_xlfn.XLOOKUP(C35,'Same Seller Hist'!E:E,'Same Seller Hist'!H:H)</f>
        <v>mypetonebr</v>
      </c>
      <c r="G35" s="5" t="s">
        <v>906</v>
      </c>
      <c r="H35" s="19">
        <v>2629.9677419354839</v>
      </c>
      <c r="I35" s="19">
        <v>19695.02655410668</v>
      </c>
      <c r="J35" s="19">
        <f>_xlfn.IFNA(_xlfn.XLOOKUP(F35,'Fastmoss 500'!D:D,'Fastmoss 500'!O:O),0)</f>
        <v>0</v>
      </c>
      <c r="K35" s="19">
        <f>_xlfn.IFNA(_xlfn.XLOOKUP(F35,'Fastmoss 500'!D:D,'Fastmoss 500'!N:N),0)</f>
        <v>0</v>
      </c>
      <c r="L35" s="21" t="s">
        <v>2528</v>
      </c>
      <c r="M35" s="21" t="str">
        <f>IF(L35="Shp 500","Sim",IF(ISNA(_xlfn.XLOOKUP(C35,'Shp 500'!D:D,'Shp 500'!D:D)),"Não","Sim"))</f>
        <v>Sim</v>
      </c>
      <c r="N35" s="21" t="str">
        <f>IF(L35="Fastmoss 500","Sim",IF(ISNA(_xlfn.XLOOKUP(_xlfn.XLOOKUP(C35,'Same Seller Hist'!E:E,'Same Seller Hist'!H:H),'Fastmoss 500'!D:D,'Fastmoss 500'!D:D)),"Não","Sim"))</f>
        <v>Não</v>
      </c>
      <c r="O35" s="21" t="str">
        <f>IF(AND(M35="Sim",N35="Sim"),"Sim","Não")</f>
        <v>Não</v>
      </c>
      <c r="P35" s="21" t="str">
        <f>IF(I35&gt;K35,"Sim","Não")</f>
        <v>Sim</v>
      </c>
      <c r="Q35" s="21">
        <f>COUNTIFS(C:C,C35)</f>
        <v>1</v>
      </c>
    </row>
    <row r="36" spans="3:17" x14ac:dyDescent="0.35">
      <c r="C36" s="5">
        <v>347988064</v>
      </c>
      <c r="D36" s="5" t="s">
        <v>458</v>
      </c>
      <c r="E36" s="5">
        <f>_xlfn.XLOOKUP(C36,'Same Seller Hist'!E:E,'Same Seller Hist'!I:I)</f>
        <v>7.4961622309280502E+18</v>
      </c>
      <c r="F36" s="5" t="str">
        <f>_xlfn.XLOOKUP(C36,'Same Seller Hist'!E:E,'Same Seller Hist'!H:H)</f>
        <v>Soldiers Nutrition</v>
      </c>
      <c r="G36" s="5" t="s">
        <v>903</v>
      </c>
      <c r="H36" s="19">
        <v>931.35483870967425</v>
      </c>
      <c r="I36" s="19">
        <v>10885.50768516145</v>
      </c>
      <c r="J36" s="19">
        <f>_xlfn.IFNA(_xlfn.XLOOKUP(F36,'Fastmoss 500'!D:D,'Fastmoss 500'!O:O),0)</f>
        <v>732.25806451612902</v>
      </c>
      <c r="K36" s="19">
        <f>_xlfn.IFNA(_xlfn.XLOOKUP(F36,'Fastmoss 500'!D:D,'Fastmoss 500'!N:N),0)</f>
        <v>48387.096774193546</v>
      </c>
      <c r="L36" s="21" t="s">
        <v>2528</v>
      </c>
      <c r="M36" s="21" t="str">
        <f>IF(L36="Shp 500","Sim",IF(ISNA(_xlfn.XLOOKUP(C36,'Shp 500'!D:D,'Shp 500'!D:D)),"Não","Sim"))</f>
        <v>Sim</v>
      </c>
      <c r="N36" s="21" t="str">
        <f>IF(L36="Fastmoss 500","Sim",IF(ISNA(_xlfn.XLOOKUP(_xlfn.XLOOKUP(C36,'Same Seller Hist'!E:E,'Same Seller Hist'!H:H),'Fastmoss 500'!D:D,'Fastmoss 500'!D:D)),"Não","Sim"))</f>
        <v>Sim</v>
      </c>
      <c r="O36" s="21" t="str">
        <f>IF(AND(M36="Sim",N36="Sim"),"Sim","Não")</f>
        <v>Sim</v>
      </c>
      <c r="P36" s="21" t="str">
        <f>IF(I36&gt;K36,"Sim","Não")</f>
        <v>Não</v>
      </c>
      <c r="Q36" s="21">
        <f>COUNTIFS(C:C,C36)</f>
        <v>2</v>
      </c>
    </row>
    <row r="37" spans="3:17" x14ac:dyDescent="0.35">
      <c r="C37" s="5">
        <f>_xlfn.XLOOKUP(F37,'Same Seller Hist'!H:H,'Same Seller Hist'!E:E)</f>
        <v>347988064</v>
      </c>
      <c r="D37" s="5" t="str">
        <f>_xlfn.XLOOKUP(F37,'Same Seller Hist'!H:H,'Same Seller Hist'!D:D)</f>
        <v>Soldiers Nutrition</v>
      </c>
      <c r="E37" s="5">
        <f>_xlfn.XLOOKUP(F37,'Same Seller Hist'!H:H,'Same Seller Hist'!I:I)</f>
        <v>7.4961622309280502E+18</v>
      </c>
      <c r="F37" s="5" t="s">
        <v>458</v>
      </c>
      <c r="G37" s="5" t="str">
        <f>_xlfn.XLOOKUP(C37,'Same Seller Hist'!E:E,'Same Seller Hist'!F:F)</f>
        <v>Fashion</v>
      </c>
      <c r="H37" s="19">
        <f>_xlfn.IFNA(_xlfn.XLOOKUP(C37,'Shp 500'!D:D,'Shp 500'!I:I),0)</f>
        <v>931.35483870967425</v>
      </c>
      <c r="I37" s="19">
        <f>_xlfn.IFNA(_xlfn.XLOOKUP(C37,'Shp 500'!D:D,'Shp 500'!J:J),0)</f>
        <v>10885.50768516145</v>
      </c>
      <c r="J37" s="19">
        <v>732.25806451612902</v>
      </c>
      <c r="K37" s="19">
        <v>48387.096774193546</v>
      </c>
      <c r="L37" s="21" t="s">
        <v>2530</v>
      </c>
      <c r="M37" s="21" t="str">
        <f>IF(L37="Shp 500","Sim",IF(ISNA(_xlfn.XLOOKUP(C37,'Shp 500'!D:D,'Shp 500'!D:D)),"Não","Sim"))</f>
        <v>Sim</v>
      </c>
      <c r="N37" s="21" t="str">
        <f>IF(L37="Fastmoss 500","Sim",IF(ISNA(_xlfn.XLOOKUP(_xlfn.XLOOKUP(C37,'Same Seller Hist'!E:E,'Same Seller Hist'!H:H),'Fastmoss 500'!D:D,'Fastmoss 500'!D:D)),"Não","Sim"))</f>
        <v>Sim</v>
      </c>
      <c r="O37" s="21" t="str">
        <f>IF(AND(M37="Sim",N37="Sim"),"Sim","Não")</f>
        <v>Sim</v>
      </c>
      <c r="P37" s="21" t="str">
        <f>IF(I37&gt;K37,"Sim","Não")</f>
        <v>Não</v>
      </c>
      <c r="Q37" s="21">
        <f>COUNTIFS(C:C,C37)</f>
        <v>2</v>
      </c>
    </row>
    <row r="38" spans="3:17" hidden="1" x14ac:dyDescent="0.35">
      <c r="C38" s="5">
        <v>1388709282</v>
      </c>
      <c r="D38" s="5" t="s">
        <v>1326</v>
      </c>
      <c r="E38" s="5">
        <f>_xlfn.XLOOKUP(C38,'Same Seller Hist'!E:E,'Same Seller Hist'!I:I)</f>
        <v>7.4962906881663601E+18</v>
      </c>
      <c r="F38" s="5" t="str">
        <f>_xlfn.XLOOKUP(C38,'Same Seller Hist'!E:E,'Same Seller Hist'!H:H)</f>
        <v>Belmicro</v>
      </c>
      <c r="G38" s="5" t="s">
        <v>904</v>
      </c>
      <c r="H38" s="19">
        <v>2420.1935483870966</v>
      </c>
      <c r="I38" s="19">
        <v>265042.32304819289</v>
      </c>
      <c r="J38" s="19">
        <f>_xlfn.IFNA(_xlfn.XLOOKUP(F38,'Fastmoss 500'!D:D,'Fastmoss 500'!O:O),0)</f>
        <v>0</v>
      </c>
      <c r="K38" s="19">
        <f>_xlfn.IFNA(_xlfn.XLOOKUP(F38,'Fastmoss 500'!D:D,'Fastmoss 500'!N:N),0)</f>
        <v>0</v>
      </c>
      <c r="L38" s="21" t="s">
        <v>2528</v>
      </c>
      <c r="M38" s="21" t="str">
        <f>IF(L38="Shp 500","Sim",IF(ISNA(_xlfn.XLOOKUP(C38,'Shp 500'!D:D,'Shp 500'!D:D)),"Não","Sim"))</f>
        <v>Sim</v>
      </c>
      <c r="N38" s="21" t="str">
        <f>IF(L38="Fastmoss 500","Sim",IF(ISNA(_xlfn.XLOOKUP(_xlfn.XLOOKUP(C38,'Same Seller Hist'!E:E,'Same Seller Hist'!H:H),'Fastmoss 500'!D:D,'Fastmoss 500'!D:D)),"Não","Sim"))</f>
        <v>Não</v>
      </c>
      <c r="O38" s="21" t="str">
        <f>IF(AND(M38="Sim",N38="Sim"),"Sim","Não")</f>
        <v>Não</v>
      </c>
      <c r="P38" s="21" t="str">
        <f>IF(I38&gt;K38,"Sim","Não")</f>
        <v>Sim</v>
      </c>
      <c r="Q38" s="21">
        <f>COUNTIFS(C:C,C38)</f>
        <v>1</v>
      </c>
    </row>
    <row r="39" spans="3:17" x14ac:dyDescent="0.35">
      <c r="C39" s="5">
        <v>359168917</v>
      </c>
      <c r="D39" s="5" t="s">
        <v>1418</v>
      </c>
      <c r="E39" s="5">
        <f>_xlfn.XLOOKUP(C39,'Same Seller Hist'!E:E,'Same Seller Hist'!I:I)</f>
        <v>7.4961603685124301E+18</v>
      </c>
      <c r="F39" s="5" t="str">
        <f>_xlfn.XLOOKUP(C39,'Same Seller Hist'!E:E,'Same Seller Hist'!H:H)</f>
        <v>LOi Brasil</v>
      </c>
      <c r="G39" s="5" t="s">
        <v>904</v>
      </c>
      <c r="H39" s="19">
        <v>1513.9354838709678</v>
      </c>
      <c r="I39" s="19">
        <v>44619.584696137099</v>
      </c>
      <c r="J39" s="19">
        <f>_xlfn.IFNA(_xlfn.XLOOKUP(F39,'Fastmoss 500'!D:D,'Fastmoss 500'!O:O),0)</f>
        <v>316.12903225806451</v>
      </c>
      <c r="K39" s="19">
        <f>_xlfn.IFNA(_xlfn.XLOOKUP(F39,'Fastmoss 500'!D:D,'Fastmoss 500'!N:N),0)</f>
        <v>45161.290322580644</v>
      </c>
      <c r="L39" s="21" t="s">
        <v>2528</v>
      </c>
      <c r="M39" s="21" t="str">
        <f>IF(L39="Shp 500","Sim",IF(ISNA(_xlfn.XLOOKUP(C39,'Shp 500'!D:D,'Shp 500'!D:D)),"Não","Sim"))</f>
        <v>Sim</v>
      </c>
      <c r="N39" s="21" t="str">
        <f>IF(L39="Fastmoss 500","Sim",IF(ISNA(_xlfn.XLOOKUP(_xlfn.XLOOKUP(C39,'Same Seller Hist'!E:E,'Same Seller Hist'!H:H),'Fastmoss 500'!D:D,'Fastmoss 500'!D:D)),"Não","Sim"))</f>
        <v>Sim</v>
      </c>
      <c r="O39" s="21" t="str">
        <f>IF(AND(M39="Sim",N39="Sim"),"Sim","Não")</f>
        <v>Sim</v>
      </c>
      <c r="P39" s="21" t="str">
        <f>IF(I39&gt;K39,"Sim","Não")</f>
        <v>Não</v>
      </c>
      <c r="Q39" s="21">
        <f>COUNTIFS(C:C,C39)</f>
        <v>2</v>
      </c>
    </row>
    <row r="40" spans="3:17" hidden="1" x14ac:dyDescent="0.35">
      <c r="C40" s="5">
        <v>1360752092</v>
      </c>
      <c r="D40" s="5" t="s">
        <v>1331</v>
      </c>
      <c r="E40" s="5">
        <f>_xlfn.XLOOKUP(C40,'Same Seller Hist'!E:E,'Same Seller Hist'!I:I)</f>
        <v>0</v>
      </c>
      <c r="F40" s="5">
        <f>_xlfn.XLOOKUP(C40,'Same Seller Hist'!E:E,'Same Seller Hist'!H:H)</f>
        <v>0</v>
      </c>
      <c r="G40" s="5" t="s">
        <v>905</v>
      </c>
      <c r="H40" s="19">
        <v>2352.7741935483837</v>
      </c>
      <c r="I40" s="19">
        <v>12036.157265868258</v>
      </c>
      <c r="J40" s="19">
        <f>_xlfn.IFNA(_xlfn.XLOOKUP(F40,'Fastmoss 500'!D:D,'Fastmoss 500'!O:O),0)</f>
        <v>0</v>
      </c>
      <c r="K40" s="19">
        <f>_xlfn.IFNA(_xlfn.XLOOKUP(F40,'Fastmoss 500'!D:D,'Fastmoss 500'!N:N),0)</f>
        <v>0</v>
      </c>
      <c r="L40" s="21" t="s">
        <v>2528</v>
      </c>
      <c r="M40" s="21" t="str">
        <f>IF(L40="Shp 500","Sim",IF(ISNA(_xlfn.XLOOKUP(C40,'Shp 500'!D:D,'Shp 500'!D:D)),"Não","Sim"))</f>
        <v>Sim</v>
      </c>
      <c r="N40" s="21" t="str">
        <f>IF(L40="Fastmoss 500","Sim",IF(ISNA(_xlfn.XLOOKUP(_xlfn.XLOOKUP(C40,'Same Seller Hist'!E:E,'Same Seller Hist'!H:H),'Fastmoss 500'!D:D,'Fastmoss 500'!D:D)),"Não","Sim"))</f>
        <v>Não</v>
      </c>
      <c r="O40" s="21" t="str">
        <f>IF(AND(M40="Sim",N40="Sim"),"Sim","Não")</f>
        <v>Não</v>
      </c>
      <c r="P40" s="21" t="str">
        <f>IF(I40&gt;K40,"Sim","Não")</f>
        <v>Sim</v>
      </c>
      <c r="Q40" s="21">
        <f>COUNTIFS(C:C,C40)</f>
        <v>1</v>
      </c>
    </row>
    <row r="41" spans="3:17" x14ac:dyDescent="0.35">
      <c r="C41" s="5">
        <f>_xlfn.XLOOKUP(F41,'Same Seller Hist'!H:H,'Same Seller Hist'!E:E)</f>
        <v>359168917</v>
      </c>
      <c r="D41" s="5" t="str">
        <f>_xlfn.XLOOKUP(F41,'Same Seller Hist'!H:H,'Same Seller Hist'!D:D)</f>
        <v>LOi Brasil</v>
      </c>
      <c r="E41" s="5">
        <f>_xlfn.XLOOKUP(F41,'Same Seller Hist'!H:H,'Same Seller Hist'!I:I)</f>
        <v>7.4961603685124301E+18</v>
      </c>
      <c r="F41" s="5" t="s">
        <v>464</v>
      </c>
      <c r="G41" s="5" t="str">
        <f>_xlfn.XLOOKUP(C41,'Same Seller Hist'!E:E,'Same Seller Hist'!F:F)</f>
        <v>ELHA</v>
      </c>
      <c r="H41" s="19">
        <f>_xlfn.IFNA(_xlfn.XLOOKUP(C41,'Shp 500'!D:D,'Shp 500'!I:I),0)</f>
        <v>1513.9354838709678</v>
      </c>
      <c r="I41" s="19">
        <f>_xlfn.IFNA(_xlfn.XLOOKUP(C41,'Shp 500'!D:D,'Shp 500'!J:J),0)</f>
        <v>44619.584696137099</v>
      </c>
      <c r="J41" s="19">
        <v>316.12903225806451</v>
      </c>
      <c r="K41" s="19">
        <v>45161.290322580644</v>
      </c>
      <c r="L41" s="21" t="s">
        <v>2530</v>
      </c>
      <c r="M41" s="21" t="str">
        <f>IF(L41="Shp 500","Sim",IF(ISNA(_xlfn.XLOOKUP(C41,'Shp 500'!D:D,'Shp 500'!D:D)),"Não","Sim"))</f>
        <v>Sim</v>
      </c>
      <c r="N41" s="21" t="str">
        <f>IF(L41="Fastmoss 500","Sim",IF(ISNA(_xlfn.XLOOKUP(_xlfn.XLOOKUP(C41,'Same Seller Hist'!E:E,'Same Seller Hist'!H:H),'Fastmoss 500'!D:D,'Fastmoss 500'!D:D)),"Não","Sim"))</f>
        <v>Sim</v>
      </c>
      <c r="O41" s="21" t="str">
        <f>IF(AND(M41="Sim",N41="Sim"),"Sim","Não")</f>
        <v>Sim</v>
      </c>
      <c r="P41" s="21" t="str">
        <f>IF(I41&gt;K41,"Sim","Não")</f>
        <v>Não</v>
      </c>
      <c r="Q41" s="21">
        <f>COUNTIFS(C:C,C41)</f>
        <v>2</v>
      </c>
    </row>
    <row r="42" spans="3:17" hidden="1" x14ac:dyDescent="0.35">
      <c r="C42" s="5">
        <v>526615488</v>
      </c>
      <c r="D42" s="5" t="s">
        <v>619</v>
      </c>
      <c r="E42" s="5">
        <f>_xlfn.XLOOKUP(C42,'Same Seller Hist'!E:E,'Same Seller Hist'!I:I)</f>
        <v>7.4962211813104302E+18</v>
      </c>
      <c r="F42" s="5" t="str">
        <f>_xlfn.XLOOKUP(C42,'Same Seller Hist'!E:E,'Same Seller Hist'!H:H)</f>
        <v>Sus.store</v>
      </c>
      <c r="G42" s="5" t="s">
        <v>1734</v>
      </c>
      <c r="H42" s="19">
        <v>2276.1290322580612</v>
      </c>
      <c r="I42" s="19">
        <v>16653.106645114451</v>
      </c>
      <c r="J42" s="19">
        <f>_xlfn.IFNA(_xlfn.XLOOKUP(F42,'Fastmoss 500'!D:D,'Fastmoss 500'!O:O),0)</f>
        <v>0</v>
      </c>
      <c r="K42" s="19">
        <f>_xlfn.IFNA(_xlfn.XLOOKUP(F42,'Fastmoss 500'!D:D,'Fastmoss 500'!N:N),0)</f>
        <v>0</v>
      </c>
      <c r="L42" s="21" t="s">
        <v>2528</v>
      </c>
      <c r="M42" s="21" t="str">
        <f>IF(L42="Shp 500","Sim",IF(ISNA(_xlfn.XLOOKUP(C42,'Shp 500'!D:D,'Shp 500'!D:D)),"Não","Sim"))</f>
        <v>Sim</v>
      </c>
      <c r="N42" s="21" t="str">
        <f>IF(L42="Fastmoss 500","Sim",IF(ISNA(_xlfn.XLOOKUP(_xlfn.XLOOKUP(C42,'Same Seller Hist'!E:E,'Same Seller Hist'!H:H),'Fastmoss 500'!D:D,'Fastmoss 500'!D:D)),"Não","Sim"))</f>
        <v>Não</v>
      </c>
      <c r="O42" s="21" t="str">
        <f>IF(AND(M42="Sim",N42="Sim"),"Sim","Não")</f>
        <v>Não</v>
      </c>
      <c r="P42" s="21" t="str">
        <f>IF(I42&gt;K42,"Sim","Não")</f>
        <v>Sim</v>
      </c>
      <c r="Q42" s="21">
        <f>COUNTIFS(C:C,C42)</f>
        <v>1</v>
      </c>
    </row>
    <row r="43" spans="3:17" x14ac:dyDescent="0.35">
      <c r="C43" s="5">
        <v>367507085</v>
      </c>
      <c r="D43" s="5" t="s">
        <v>474</v>
      </c>
      <c r="E43" s="5">
        <f>_xlfn.XLOOKUP(C43,'Same Seller Hist'!E:E,'Same Seller Hist'!I:I)</f>
        <v>7.4961540713888102E+18</v>
      </c>
      <c r="F43" s="5" t="str">
        <f>_xlfn.XLOOKUP(C43,'Same Seller Hist'!E:E,'Same Seller Hist'!H:H)</f>
        <v>Lóris Shoes</v>
      </c>
      <c r="G43" s="5" t="s">
        <v>903</v>
      </c>
      <c r="H43" s="19">
        <v>1376.8709677419354</v>
      </c>
      <c r="I43" s="19">
        <v>13286.643114568387</v>
      </c>
      <c r="J43" s="19">
        <f>_xlfn.IFNA(_xlfn.XLOOKUP(F43,'Fastmoss 500'!D:D,'Fastmoss 500'!O:O),0)</f>
        <v>622.58064516129036</v>
      </c>
      <c r="K43" s="19">
        <f>_xlfn.IFNA(_xlfn.XLOOKUP(F43,'Fastmoss 500'!D:D,'Fastmoss 500'!N:N),0)</f>
        <v>54838.709677419356</v>
      </c>
      <c r="L43" s="21" t="s">
        <v>2528</v>
      </c>
      <c r="M43" s="21" t="str">
        <f>IF(L43="Shp 500","Sim",IF(ISNA(_xlfn.XLOOKUP(C43,'Shp 500'!D:D,'Shp 500'!D:D)),"Não","Sim"))</f>
        <v>Sim</v>
      </c>
      <c r="N43" s="21" t="str">
        <f>IF(L43="Fastmoss 500","Sim",IF(ISNA(_xlfn.XLOOKUP(_xlfn.XLOOKUP(C43,'Same Seller Hist'!E:E,'Same Seller Hist'!H:H),'Fastmoss 500'!D:D,'Fastmoss 500'!D:D)),"Não","Sim"))</f>
        <v>Sim</v>
      </c>
      <c r="O43" s="21" t="str">
        <f>IF(AND(M43="Sim",N43="Sim"),"Sim","Não")</f>
        <v>Sim</v>
      </c>
      <c r="P43" s="21" t="str">
        <f>IF(I43&gt;K43,"Sim","Não")</f>
        <v>Não</v>
      </c>
      <c r="Q43" s="21">
        <f>COUNTIFS(C:C,C43)</f>
        <v>2</v>
      </c>
    </row>
    <row r="44" spans="3:17" x14ac:dyDescent="0.35">
      <c r="C44" s="5">
        <f>_xlfn.XLOOKUP(F44,'Same Seller Hist'!H:H,'Same Seller Hist'!E:E)</f>
        <v>367507085</v>
      </c>
      <c r="D44" s="5" t="str">
        <f>_xlfn.XLOOKUP(F44,'Same Seller Hist'!H:H,'Same Seller Hist'!D:D)</f>
        <v>Lóris Shoes</v>
      </c>
      <c r="E44" s="5">
        <f>_xlfn.XLOOKUP(F44,'Same Seller Hist'!H:H,'Same Seller Hist'!I:I)</f>
        <v>7.4961540713888102E+18</v>
      </c>
      <c r="F44" s="5" t="s">
        <v>474</v>
      </c>
      <c r="G44" s="5" t="str">
        <f>_xlfn.XLOOKUP(C44,'Same Seller Hist'!E:E,'Same Seller Hist'!F:F)</f>
        <v>Fashion</v>
      </c>
      <c r="H44" s="19">
        <f>_xlfn.IFNA(_xlfn.XLOOKUP(C44,'Shp 500'!D:D,'Shp 500'!I:I),0)</f>
        <v>1376.8709677419354</v>
      </c>
      <c r="I44" s="19">
        <f>_xlfn.IFNA(_xlfn.XLOOKUP(C44,'Shp 500'!D:D,'Shp 500'!J:J),0)</f>
        <v>13286.643114568387</v>
      </c>
      <c r="J44" s="19">
        <v>622.58064516129036</v>
      </c>
      <c r="K44" s="19">
        <v>54838.709677419356</v>
      </c>
      <c r="L44" s="21" t="s">
        <v>2530</v>
      </c>
      <c r="M44" s="21" t="str">
        <f>IF(L44="Shp 500","Sim",IF(ISNA(_xlfn.XLOOKUP(C44,'Shp 500'!D:D,'Shp 500'!D:D)),"Não","Sim"))</f>
        <v>Sim</v>
      </c>
      <c r="N44" s="21" t="str">
        <f>IF(L44="Fastmoss 500","Sim",IF(ISNA(_xlfn.XLOOKUP(_xlfn.XLOOKUP(C44,'Same Seller Hist'!E:E,'Same Seller Hist'!H:H),'Fastmoss 500'!D:D,'Fastmoss 500'!D:D)),"Não","Sim"))</f>
        <v>Sim</v>
      </c>
      <c r="O44" s="21" t="str">
        <f>IF(AND(M44="Sim",N44="Sim"),"Sim","Não")</f>
        <v>Sim</v>
      </c>
      <c r="P44" s="21" t="str">
        <f>IF(I44&gt;K44,"Sim","Não")</f>
        <v>Não</v>
      </c>
      <c r="Q44" s="21">
        <f>COUNTIFS(C:C,C44)</f>
        <v>2</v>
      </c>
    </row>
    <row r="45" spans="3:17" x14ac:dyDescent="0.35">
      <c r="C45" s="5">
        <v>373261329</v>
      </c>
      <c r="D45" s="5" t="s">
        <v>1330</v>
      </c>
      <c r="E45" s="5">
        <f>_xlfn.XLOOKUP(C45,'Same Seller Hist'!E:E,'Same Seller Hist'!I:I)</f>
        <v>7.4961538833578998E+18</v>
      </c>
      <c r="F45" s="5" t="str">
        <f>_xlfn.XLOOKUP(C45,'Same Seller Hist'!E:E,'Same Seller Hist'!H:H)</f>
        <v>PRINCIPIA</v>
      </c>
      <c r="G45" s="5" t="s">
        <v>906</v>
      </c>
      <c r="H45" s="19">
        <v>2353.2903225806417</v>
      </c>
      <c r="I45" s="19">
        <v>30442.549893065225</v>
      </c>
      <c r="J45" s="19">
        <f>_xlfn.IFNA(_xlfn.XLOOKUP(F45,'Fastmoss 500'!D:D,'Fastmoss 500'!O:O),0)</f>
        <v>593.54838709677415</v>
      </c>
      <c r="K45" s="19">
        <f>_xlfn.IFNA(_xlfn.XLOOKUP(F45,'Fastmoss 500'!D:D,'Fastmoss 500'!N:N),0)</f>
        <v>48387.096774193546</v>
      </c>
      <c r="L45" s="21" t="s">
        <v>2528</v>
      </c>
      <c r="M45" s="21" t="str">
        <f>IF(L45="Shp 500","Sim",IF(ISNA(_xlfn.XLOOKUP(C45,'Shp 500'!D:D,'Shp 500'!D:D)),"Não","Sim"))</f>
        <v>Sim</v>
      </c>
      <c r="N45" s="21" t="str">
        <f>IF(L45="Fastmoss 500","Sim",IF(ISNA(_xlfn.XLOOKUP(_xlfn.XLOOKUP(C45,'Same Seller Hist'!E:E,'Same Seller Hist'!H:H),'Fastmoss 500'!D:D,'Fastmoss 500'!D:D)),"Não","Sim"))</f>
        <v>Sim</v>
      </c>
      <c r="O45" s="21" t="str">
        <f>IF(AND(M45="Sim",N45="Sim"),"Sim","Não")</f>
        <v>Sim</v>
      </c>
      <c r="P45" s="21" t="str">
        <f>IF(I45&gt;K45,"Sim","Não")</f>
        <v>Não</v>
      </c>
      <c r="Q45" s="21">
        <f>COUNTIFS(C:C,C45)</f>
        <v>2</v>
      </c>
    </row>
    <row r="46" spans="3:17" x14ac:dyDescent="0.35">
      <c r="C46" s="5">
        <f>_xlfn.XLOOKUP(F46,'Same Seller Hist'!H:H,'Same Seller Hist'!E:E)</f>
        <v>373261329</v>
      </c>
      <c r="D46" s="5" t="str">
        <f>_xlfn.XLOOKUP(F46,'Same Seller Hist'!H:H,'Same Seller Hist'!D:D)</f>
        <v>PRINCIPIA</v>
      </c>
      <c r="E46" s="5">
        <f>_xlfn.XLOOKUP(F46,'Same Seller Hist'!H:H,'Same Seller Hist'!I:I)</f>
        <v>7.4961538833578998E+18</v>
      </c>
      <c r="F46" s="5" t="s">
        <v>482</v>
      </c>
      <c r="G46" s="5" t="str">
        <f>_xlfn.XLOOKUP(C46,'Same Seller Hist'!E:E,'Same Seller Hist'!F:F)</f>
        <v>FMCG</v>
      </c>
      <c r="H46" s="19">
        <f>_xlfn.IFNA(_xlfn.XLOOKUP(C46,'Shp 500'!D:D,'Shp 500'!I:I),0)</f>
        <v>2353.2903225806417</v>
      </c>
      <c r="I46" s="19">
        <f>_xlfn.IFNA(_xlfn.XLOOKUP(C46,'Shp 500'!D:D,'Shp 500'!J:J),0)</f>
        <v>30442.549893065225</v>
      </c>
      <c r="J46" s="19">
        <v>593.54838709677415</v>
      </c>
      <c r="K46" s="19">
        <v>48387.096774193546</v>
      </c>
      <c r="L46" s="21" t="s">
        <v>2530</v>
      </c>
      <c r="M46" s="21" t="str">
        <f>IF(L46="Shp 500","Sim",IF(ISNA(_xlfn.XLOOKUP(C46,'Shp 500'!D:D,'Shp 500'!D:D)),"Não","Sim"))</f>
        <v>Sim</v>
      </c>
      <c r="N46" s="21" t="str">
        <f>IF(L46="Fastmoss 500","Sim",IF(ISNA(_xlfn.XLOOKUP(_xlfn.XLOOKUP(C46,'Same Seller Hist'!E:E,'Same Seller Hist'!H:H),'Fastmoss 500'!D:D,'Fastmoss 500'!D:D)),"Não","Sim"))</f>
        <v>Sim</v>
      </c>
      <c r="O46" s="21" t="str">
        <f>IF(AND(M46="Sim",N46="Sim"),"Sim","Não")</f>
        <v>Sim</v>
      </c>
      <c r="P46" s="21" t="str">
        <f>IF(I46&gt;K46,"Sim","Não")</f>
        <v>Não</v>
      </c>
      <c r="Q46" s="21">
        <f>COUNTIFS(C:C,C46)</f>
        <v>2</v>
      </c>
    </row>
    <row r="47" spans="3:17" hidden="1" x14ac:dyDescent="0.35">
      <c r="C47" s="5">
        <v>407760070</v>
      </c>
      <c r="D47" s="5" t="s">
        <v>1350</v>
      </c>
      <c r="E47" s="5">
        <f>_xlfn.XLOOKUP(C47,'Same Seller Hist'!E:E,'Same Seller Hist'!I:I)</f>
        <v>7.4962131051790602E+18</v>
      </c>
      <c r="F47" s="5" t="str">
        <f>_xlfn.XLOOKUP(C47,'Same Seller Hist'!E:E,'Same Seller Hist'!H:H)</f>
        <v>Karseellshop-BR</v>
      </c>
      <c r="G47" s="5" t="s">
        <v>906</v>
      </c>
      <c r="H47" s="19">
        <v>2111.9999999999968</v>
      </c>
      <c r="I47" s="19">
        <v>14126.845328852483</v>
      </c>
      <c r="J47" s="19">
        <f>_xlfn.IFNA(_xlfn.XLOOKUP(F47,'Fastmoss 500'!D:D,'Fastmoss 500'!O:O),0)</f>
        <v>0</v>
      </c>
      <c r="K47" s="19">
        <f>_xlfn.IFNA(_xlfn.XLOOKUP(F47,'Fastmoss 500'!D:D,'Fastmoss 500'!N:N),0)</f>
        <v>0</v>
      </c>
      <c r="L47" s="21" t="s">
        <v>2528</v>
      </c>
      <c r="M47" s="21" t="str">
        <f>IF(L47="Shp 500","Sim",IF(ISNA(_xlfn.XLOOKUP(C47,'Shp 500'!D:D,'Shp 500'!D:D)),"Não","Sim"))</f>
        <v>Sim</v>
      </c>
      <c r="N47" s="21" t="str">
        <f>IF(L47="Fastmoss 500","Sim",IF(ISNA(_xlfn.XLOOKUP(_xlfn.XLOOKUP(C47,'Same Seller Hist'!E:E,'Same Seller Hist'!H:H),'Fastmoss 500'!D:D,'Fastmoss 500'!D:D)),"Não","Sim"))</f>
        <v>Não</v>
      </c>
      <c r="O47" s="21" t="str">
        <f>IF(AND(M47="Sim",N47="Sim"),"Sim","Não")</f>
        <v>Não</v>
      </c>
      <c r="P47" s="21" t="str">
        <f>IF(I47&gt;K47,"Sim","Não")</f>
        <v>Sim</v>
      </c>
      <c r="Q47" s="21">
        <f>COUNTIFS(C:C,C47)</f>
        <v>1</v>
      </c>
    </row>
    <row r="48" spans="3:17" x14ac:dyDescent="0.35">
      <c r="C48" s="5">
        <v>373745451</v>
      </c>
      <c r="D48" s="5" t="s">
        <v>1664</v>
      </c>
      <c r="E48" s="5">
        <f>_xlfn.XLOOKUP(C48,'Same Seller Hist'!E:E,'Same Seller Hist'!I:I)</f>
        <v>7.4961741309414902E+18</v>
      </c>
      <c r="F48" s="5" t="str">
        <f>_xlfn.XLOOKUP(C48,'Same Seller Hist'!E:E,'Same Seller Hist'!H:H)</f>
        <v>Keedistore</v>
      </c>
      <c r="G48" s="5" t="s">
        <v>1734</v>
      </c>
      <c r="H48" s="19">
        <v>892.8387096774162</v>
      </c>
      <c r="I48" s="19">
        <v>7380.453322225484</v>
      </c>
      <c r="J48" s="19">
        <f>_xlfn.IFNA(_xlfn.XLOOKUP(F48,'Fastmoss 500'!D:D,'Fastmoss 500'!O:O),0)</f>
        <v>261.29032258064518</v>
      </c>
      <c r="K48" s="19">
        <f>_xlfn.IFNA(_xlfn.XLOOKUP(F48,'Fastmoss 500'!D:D,'Fastmoss 500'!N:N),0)</f>
        <v>9780.645161290322</v>
      </c>
      <c r="L48" s="21" t="s">
        <v>2528</v>
      </c>
      <c r="M48" s="21" t="str">
        <f>IF(L48="Shp 500","Sim",IF(ISNA(_xlfn.XLOOKUP(C48,'Shp 500'!D:D,'Shp 500'!D:D)),"Não","Sim"))</f>
        <v>Sim</v>
      </c>
      <c r="N48" s="21" t="str">
        <f>IF(L48="Fastmoss 500","Sim",IF(ISNA(_xlfn.XLOOKUP(_xlfn.XLOOKUP(C48,'Same Seller Hist'!E:E,'Same Seller Hist'!H:H),'Fastmoss 500'!D:D,'Fastmoss 500'!D:D)),"Não","Sim"))</f>
        <v>Sim</v>
      </c>
      <c r="O48" s="21" t="str">
        <f>IF(AND(M48="Sim",N48="Sim"),"Sim","Não")</f>
        <v>Sim</v>
      </c>
      <c r="P48" s="21" t="str">
        <f>IF(I48&gt;K48,"Sim","Não")</f>
        <v>Não</v>
      </c>
      <c r="Q48" s="21">
        <f>COUNTIFS(C:C,C48)</f>
        <v>2</v>
      </c>
    </row>
    <row r="49" spans="3:17" x14ac:dyDescent="0.35">
      <c r="C49" s="5">
        <f>_xlfn.XLOOKUP(F49,'Same Seller Hist'!H:H,'Same Seller Hist'!E:E)</f>
        <v>373745451</v>
      </c>
      <c r="D49" s="5" t="str">
        <f>_xlfn.XLOOKUP(F49,'Same Seller Hist'!H:H,'Same Seller Hist'!D:D)</f>
        <v>Keedistore</v>
      </c>
      <c r="E49" s="5">
        <f>_xlfn.XLOOKUP(F49,'Same Seller Hist'!H:H,'Same Seller Hist'!I:I)</f>
        <v>7.4961741309414902E+18</v>
      </c>
      <c r="F49" s="5" t="s">
        <v>483</v>
      </c>
      <c r="G49" s="5" t="str">
        <f>_xlfn.XLOOKUP(C49,'Same Seller Hist'!E:E,'Same Seller Hist'!F:F)</f>
        <v>ELHA</v>
      </c>
      <c r="H49" s="19">
        <f>_xlfn.IFNA(_xlfn.XLOOKUP(C49,'Shp 500'!D:D,'Shp 500'!I:I),0)</f>
        <v>892.8387096774162</v>
      </c>
      <c r="I49" s="19">
        <f>_xlfn.IFNA(_xlfn.XLOOKUP(C49,'Shp 500'!D:D,'Shp 500'!J:J),0)</f>
        <v>7380.453322225484</v>
      </c>
      <c r="J49" s="19">
        <v>261.29032258064518</v>
      </c>
      <c r="K49" s="19">
        <v>9780.645161290322</v>
      </c>
      <c r="L49" s="21" t="s">
        <v>2530</v>
      </c>
      <c r="M49" s="21" t="str">
        <f>IF(L49="Shp 500","Sim",IF(ISNA(_xlfn.XLOOKUP(C49,'Shp 500'!D:D,'Shp 500'!D:D)),"Não","Sim"))</f>
        <v>Sim</v>
      </c>
      <c r="N49" s="21" t="str">
        <f>IF(L49="Fastmoss 500","Sim",IF(ISNA(_xlfn.XLOOKUP(_xlfn.XLOOKUP(C49,'Same Seller Hist'!E:E,'Same Seller Hist'!H:H),'Fastmoss 500'!D:D,'Fastmoss 500'!D:D)),"Não","Sim"))</f>
        <v>Sim</v>
      </c>
      <c r="O49" s="21" t="str">
        <f>IF(AND(M49="Sim",N49="Sim"),"Sim","Não")</f>
        <v>Sim</v>
      </c>
      <c r="P49" s="21" t="str">
        <f>IF(I49&gt;K49,"Sim","Não")</f>
        <v>Não</v>
      </c>
      <c r="Q49" s="21">
        <f>COUNTIFS(C:C,C49)</f>
        <v>2</v>
      </c>
    </row>
    <row r="50" spans="3:17" hidden="1" x14ac:dyDescent="0.35">
      <c r="C50" s="5">
        <v>1515741369</v>
      </c>
      <c r="D50" s="5" t="s">
        <v>1362</v>
      </c>
      <c r="E50" s="5">
        <f>_xlfn.XLOOKUP(C50,'Same Seller Hist'!E:E,'Same Seller Hist'!I:I)</f>
        <v>7.4961821545348803E+18</v>
      </c>
      <c r="F50" s="5" t="str">
        <f>_xlfn.XLOOKUP(C50,'Same Seller Hist'!E:E,'Same Seller Hist'!H:H)</f>
        <v>HEXUNSHOP</v>
      </c>
      <c r="G50" s="5" t="s">
        <v>1734</v>
      </c>
      <c r="H50" s="19">
        <v>1902.6774193548388</v>
      </c>
      <c r="I50" s="19">
        <v>11655.040640780679</v>
      </c>
      <c r="J50" s="19">
        <f>_xlfn.IFNA(_xlfn.XLOOKUP(F50,'Fastmoss 500'!D:D,'Fastmoss 500'!O:O),0)</f>
        <v>0</v>
      </c>
      <c r="K50" s="19">
        <f>_xlfn.IFNA(_xlfn.XLOOKUP(F50,'Fastmoss 500'!D:D,'Fastmoss 500'!N:N),0)</f>
        <v>0</v>
      </c>
      <c r="L50" s="21" t="s">
        <v>2528</v>
      </c>
      <c r="M50" s="21" t="str">
        <f>IF(L50="Shp 500","Sim",IF(ISNA(_xlfn.XLOOKUP(C50,'Shp 500'!D:D,'Shp 500'!D:D)),"Não","Sim"))</f>
        <v>Sim</v>
      </c>
      <c r="N50" s="21" t="str">
        <f>IF(L50="Fastmoss 500","Sim",IF(ISNA(_xlfn.XLOOKUP(_xlfn.XLOOKUP(C50,'Same Seller Hist'!E:E,'Same Seller Hist'!H:H),'Fastmoss 500'!D:D,'Fastmoss 500'!D:D)),"Não","Sim"))</f>
        <v>Não</v>
      </c>
      <c r="O50" s="21" t="str">
        <f>IF(AND(M50="Sim",N50="Sim"),"Sim","Não")</f>
        <v>Não</v>
      </c>
      <c r="P50" s="21" t="str">
        <f>IF(I50&gt;K50,"Sim","Não")</f>
        <v>Sim</v>
      </c>
      <c r="Q50" s="21">
        <f>COUNTIFS(C:C,C50)</f>
        <v>1</v>
      </c>
    </row>
    <row r="51" spans="3:17" hidden="1" x14ac:dyDescent="0.35">
      <c r="C51" s="5">
        <v>322432427</v>
      </c>
      <c r="D51" s="5" t="s">
        <v>1363</v>
      </c>
      <c r="E51" s="5">
        <f>_xlfn.XLOOKUP(C51,'Same Seller Hist'!E:E,'Same Seller Hist'!I:I)</f>
        <v>7.4941559380364104E+18</v>
      </c>
      <c r="F51" s="5" t="str">
        <f>_xlfn.XLOOKUP(C51,'Same Seller Hist'!E:E,'Same Seller Hist'!H:H)</f>
        <v>Amor de Make</v>
      </c>
      <c r="G51" s="5" t="s">
        <v>906</v>
      </c>
      <c r="H51" s="19">
        <v>1889.0645161290322</v>
      </c>
      <c r="I51" s="19">
        <v>13057.062241360903</v>
      </c>
      <c r="J51" s="19">
        <f>_xlfn.IFNA(_xlfn.XLOOKUP(F51,'Fastmoss 500'!D:D,'Fastmoss 500'!O:O),0)</f>
        <v>0</v>
      </c>
      <c r="K51" s="19">
        <f>_xlfn.IFNA(_xlfn.XLOOKUP(F51,'Fastmoss 500'!D:D,'Fastmoss 500'!N:N),0)</f>
        <v>0</v>
      </c>
      <c r="L51" s="21" t="s">
        <v>2528</v>
      </c>
      <c r="M51" s="21" t="str">
        <f>IF(L51="Shp 500","Sim",IF(ISNA(_xlfn.XLOOKUP(C51,'Shp 500'!D:D,'Shp 500'!D:D)),"Não","Sim"))</f>
        <v>Sim</v>
      </c>
      <c r="N51" s="21" t="str">
        <f>IF(L51="Fastmoss 500","Sim",IF(ISNA(_xlfn.XLOOKUP(_xlfn.XLOOKUP(C51,'Same Seller Hist'!E:E,'Same Seller Hist'!H:H),'Fastmoss 500'!D:D,'Fastmoss 500'!D:D)),"Não","Sim"))</f>
        <v>Não</v>
      </c>
      <c r="O51" s="21" t="str">
        <f>IF(AND(M51="Sim",N51="Sim"),"Sim","Não")</f>
        <v>Não</v>
      </c>
      <c r="P51" s="21" t="str">
        <f>IF(I51&gt;K51,"Sim","Não")</f>
        <v>Sim</v>
      </c>
      <c r="Q51" s="21">
        <f>COUNTIFS(C:C,C51)</f>
        <v>1</v>
      </c>
    </row>
    <row r="52" spans="3:17" x14ac:dyDescent="0.35">
      <c r="C52" s="5">
        <v>375175329</v>
      </c>
      <c r="D52" s="5" t="s">
        <v>485</v>
      </c>
      <c r="E52" s="5">
        <f>_xlfn.XLOOKUP(C52,'Same Seller Hist'!E:E,'Same Seller Hist'!I:I)</f>
        <v>7.4961550486724598E+18</v>
      </c>
      <c r="F52" s="5" t="str">
        <f>_xlfn.XLOOKUP(C52,'Same Seller Hist'!E:E,'Same Seller Hist'!H:H)</f>
        <v>Shekinah Calçados</v>
      </c>
      <c r="G52" s="5" t="s">
        <v>903</v>
      </c>
      <c r="H52" s="19">
        <v>1047.6129032258034</v>
      </c>
      <c r="I52" s="19">
        <v>10358.654945444225</v>
      </c>
      <c r="J52" s="19">
        <f>_xlfn.IFNA(_xlfn.XLOOKUP(F52,'Fastmoss 500'!D:D,'Fastmoss 500'!O:O),0)</f>
        <v>296.77419354838707</v>
      </c>
      <c r="K52" s="19">
        <f>_xlfn.IFNA(_xlfn.XLOOKUP(F52,'Fastmoss 500'!D:D,'Fastmoss 500'!N:N),0)</f>
        <v>22419.354838709678</v>
      </c>
      <c r="L52" s="21" t="s">
        <v>2528</v>
      </c>
      <c r="M52" s="21" t="str">
        <f>IF(L52="Shp 500","Sim",IF(ISNA(_xlfn.XLOOKUP(C52,'Shp 500'!D:D,'Shp 500'!D:D)),"Não","Sim"))</f>
        <v>Sim</v>
      </c>
      <c r="N52" s="21" t="str">
        <f>IF(L52="Fastmoss 500","Sim",IF(ISNA(_xlfn.XLOOKUP(_xlfn.XLOOKUP(C52,'Same Seller Hist'!E:E,'Same Seller Hist'!H:H),'Fastmoss 500'!D:D,'Fastmoss 500'!D:D)),"Não","Sim"))</f>
        <v>Sim</v>
      </c>
      <c r="O52" s="21" t="str">
        <f>IF(AND(M52="Sim",N52="Sim"),"Sim","Não")</f>
        <v>Sim</v>
      </c>
      <c r="P52" s="21" t="str">
        <f>IF(I52&gt;K52,"Sim","Não")</f>
        <v>Não</v>
      </c>
      <c r="Q52" s="21">
        <f>COUNTIFS(C:C,C52)</f>
        <v>2</v>
      </c>
    </row>
    <row r="53" spans="3:17" hidden="1" x14ac:dyDescent="0.35">
      <c r="C53" s="5">
        <v>489001115</v>
      </c>
      <c r="D53" s="5" t="s">
        <v>602</v>
      </c>
      <c r="E53" s="5">
        <f>_xlfn.XLOOKUP(C53,'Same Seller Hist'!E:E,'Same Seller Hist'!I:I)</f>
        <v>7.4961625408964198E+18</v>
      </c>
      <c r="F53" s="5" t="str">
        <f>_xlfn.XLOOKUP(C53,'Same Seller Hist'!E:E,'Same Seller Hist'!H:H)</f>
        <v>Dutra Máquinas</v>
      </c>
      <c r="G53" s="5" t="s">
        <v>904</v>
      </c>
      <c r="H53" s="19">
        <v>1873.2258064516129</v>
      </c>
      <c r="I53" s="19">
        <v>62143.234494641933</v>
      </c>
      <c r="J53" s="19">
        <f>_xlfn.IFNA(_xlfn.XLOOKUP(F53,'Fastmoss 500'!D:D,'Fastmoss 500'!O:O),0)</f>
        <v>0</v>
      </c>
      <c r="K53" s="19">
        <f>_xlfn.IFNA(_xlfn.XLOOKUP(F53,'Fastmoss 500'!D:D,'Fastmoss 500'!N:N),0)</f>
        <v>0</v>
      </c>
      <c r="L53" s="21" t="s">
        <v>2528</v>
      </c>
      <c r="M53" s="21" t="str">
        <f>IF(L53="Shp 500","Sim",IF(ISNA(_xlfn.XLOOKUP(C53,'Shp 500'!D:D,'Shp 500'!D:D)),"Não","Sim"))</f>
        <v>Sim</v>
      </c>
      <c r="N53" s="21" t="str">
        <f>IF(L53="Fastmoss 500","Sim",IF(ISNA(_xlfn.XLOOKUP(_xlfn.XLOOKUP(C53,'Same Seller Hist'!E:E,'Same Seller Hist'!H:H),'Fastmoss 500'!D:D,'Fastmoss 500'!D:D)),"Não","Sim"))</f>
        <v>Não</v>
      </c>
      <c r="O53" s="21" t="str">
        <f>IF(AND(M53="Sim",N53="Sim"),"Sim","Não")</f>
        <v>Não</v>
      </c>
      <c r="P53" s="21" t="str">
        <f>IF(I53&gt;K53,"Sim","Não")</f>
        <v>Sim</v>
      </c>
      <c r="Q53" s="21">
        <f>COUNTIFS(C:C,C53)</f>
        <v>1</v>
      </c>
    </row>
    <row r="54" spans="3:17" x14ac:dyDescent="0.35">
      <c r="C54" s="5">
        <f>_xlfn.XLOOKUP(F54,'Same Seller Hist'!H:H,'Same Seller Hist'!E:E)</f>
        <v>375175329</v>
      </c>
      <c r="D54" s="5" t="str">
        <f>_xlfn.XLOOKUP(F54,'Same Seller Hist'!H:H,'Same Seller Hist'!D:D)</f>
        <v>Shekinah Calçados</v>
      </c>
      <c r="E54" s="5">
        <f>_xlfn.XLOOKUP(F54,'Same Seller Hist'!H:H,'Same Seller Hist'!I:I)</f>
        <v>7.4961550486724598E+18</v>
      </c>
      <c r="F54" s="5" t="s">
        <v>485</v>
      </c>
      <c r="G54" s="5" t="str">
        <f>_xlfn.XLOOKUP(C54,'Same Seller Hist'!E:E,'Same Seller Hist'!F:F)</f>
        <v>Fashion</v>
      </c>
      <c r="H54" s="19">
        <f>_xlfn.IFNA(_xlfn.XLOOKUP(C54,'Shp 500'!D:D,'Shp 500'!I:I),0)</f>
        <v>1047.6129032258034</v>
      </c>
      <c r="I54" s="19">
        <f>_xlfn.IFNA(_xlfn.XLOOKUP(C54,'Shp 500'!D:D,'Shp 500'!J:J),0)</f>
        <v>10358.654945444225</v>
      </c>
      <c r="J54" s="19">
        <v>296.77419354838707</v>
      </c>
      <c r="K54" s="19">
        <v>22419.354838709678</v>
      </c>
      <c r="L54" s="21" t="s">
        <v>2530</v>
      </c>
      <c r="M54" s="21" t="str">
        <f>IF(L54="Shp 500","Sim",IF(ISNA(_xlfn.XLOOKUP(C54,'Shp 500'!D:D,'Shp 500'!D:D)),"Não","Sim"))</f>
        <v>Sim</v>
      </c>
      <c r="N54" s="21" t="str">
        <f>IF(L54="Fastmoss 500","Sim",IF(ISNA(_xlfn.XLOOKUP(_xlfn.XLOOKUP(C54,'Same Seller Hist'!E:E,'Same Seller Hist'!H:H),'Fastmoss 500'!D:D,'Fastmoss 500'!D:D)),"Não","Sim"))</f>
        <v>Sim</v>
      </c>
      <c r="O54" s="21" t="str">
        <f>IF(AND(M54="Sim",N54="Sim"),"Sim","Não")</f>
        <v>Sim</v>
      </c>
      <c r="P54" s="21" t="str">
        <f>IF(I54&gt;K54,"Sim","Não")</f>
        <v>Não</v>
      </c>
      <c r="Q54" s="21">
        <f>COUNTIFS(C:C,C54)</f>
        <v>2</v>
      </c>
    </row>
    <row r="55" spans="3:17" x14ac:dyDescent="0.35">
      <c r="C55" s="5">
        <v>377126536</v>
      </c>
      <c r="D55" s="5" t="s">
        <v>1369</v>
      </c>
      <c r="E55" s="5">
        <f>_xlfn.XLOOKUP(C55,'Same Seller Hist'!E:E,'Same Seller Hist'!I:I)</f>
        <v>7.4961536508881398E+18</v>
      </c>
      <c r="F55" s="5" t="str">
        <f>_xlfn.XLOOKUP(C55,'Same Seller Hist'!E:E,'Same Seller Hist'!H:H)</f>
        <v>Multineos - Mochila e Bolsa</v>
      </c>
      <c r="G55" s="5" t="s">
        <v>1734</v>
      </c>
      <c r="H55" s="19">
        <v>1853.548387096771</v>
      </c>
      <c r="I55" s="19">
        <v>15479.430712747839</v>
      </c>
      <c r="J55" s="19">
        <f>_xlfn.IFNA(_xlfn.XLOOKUP(F55,'Fastmoss 500'!D:D,'Fastmoss 500'!O:O),0)</f>
        <v>506.45161290322579</v>
      </c>
      <c r="K55" s="19">
        <f>_xlfn.IFNA(_xlfn.XLOOKUP(F55,'Fastmoss 500'!D:D,'Fastmoss 500'!N:N),0)</f>
        <v>32258.064516129034</v>
      </c>
      <c r="L55" s="21" t="s">
        <v>2528</v>
      </c>
      <c r="M55" s="21" t="str">
        <f>IF(L55="Shp 500","Sim",IF(ISNA(_xlfn.XLOOKUP(C55,'Shp 500'!D:D,'Shp 500'!D:D)),"Não","Sim"))</f>
        <v>Sim</v>
      </c>
      <c r="N55" s="21" t="str">
        <f>IF(L55="Fastmoss 500","Sim",IF(ISNA(_xlfn.XLOOKUP(_xlfn.XLOOKUP(C55,'Same Seller Hist'!E:E,'Same Seller Hist'!H:H),'Fastmoss 500'!D:D,'Fastmoss 500'!D:D)),"Não","Sim"))</f>
        <v>Sim</v>
      </c>
      <c r="O55" s="21" t="str">
        <f>IF(AND(M55="Sim",N55="Sim"),"Sim","Não")</f>
        <v>Sim</v>
      </c>
      <c r="P55" s="21" t="str">
        <f>IF(I55&gt;K55,"Sim","Não")</f>
        <v>Não</v>
      </c>
      <c r="Q55" s="21">
        <f>COUNTIFS(C:C,C55)</f>
        <v>2</v>
      </c>
    </row>
    <row r="56" spans="3:17" x14ac:dyDescent="0.35">
      <c r="C56" s="5">
        <f>_xlfn.XLOOKUP(F56,'Same Seller Hist'!H:H,'Same Seller Hist'!E:E)</f>
        <v>377126536</v>
      </c>
      <c r="D56" s="5" t="str">
        <f>_xlfn.XLOOKUP(F56,'Same Seller Hist'!H:H,'Same Seller Hist'!D:D)</f>
        <v>Multineos - Mochila e Bolsa</v>
      </c>
      <c r="E56" s="5">
        <f>_xlfn.XLOOKUP(F56,'Same Seller Hist'!H:H,'Same Seller Hist'!I:I)</f>
        <v>7.4961536508881398E+18</v>
      </c>
      <c r="F56" s="5" t="s">
        <v>488</v>
      </c>
      <c r="G56" s="5" t="str">
        <f>_xlfn.XLOOKUP(C56,'Same Seller Hist'!E:E,'Same Seller Hist'!F:F)</f>
        <v>Fashion</v>
      </c>
      <c r="H56" s="19">
        <f>_xlfn.IFNA(_xlfn.XLOOKUP(C56,'Shp 500'!D:D,'Shp 500'!I:I),0)</f>
        <v>1853.548387096771</v>
      </c>
      <c r="I56" s="19">
        <f>_xlfn.IFNA(_xlfn.XLOOKUP(C56,'Shp 500'!D:D,'Shp 500'!J:J),0)</f>
        <v>15479.430712747839</v>
      </c>
      <c r="J56" s="19">
        <v>506.45161290322579</v>
      </c>
      <c r="K56" s="19">
        <v>32258.064516129034</v>
      </c>
      <c r="L56" s="21" t="s">
        <v>2530</v>
      </c>
      <c r="M56" s="21" t="str">
        <f>IF(L56="Shp 500","Sim",IF(ISNA(_xlfn.XLOOKUP(C56,'Shp 500'!D:D,'Shp 500'!D:D)),"Não","Sim"))</f>
        <v>Sim</v>
      </c>
      <c r="N56" s="21" t="str">
        <f>IF(L56="Fastmoss 500","Sim",IF(ISNA(_xlfn.XLOOKUP(_xlfn.XLOOKUP(C56,'Same Seller Hist'!E:E,'Same Seller Hist'!H:H),'Fastmoss 500'!D:D,'Fastmoss 500'!D:D)),"Não","Sim"))</f>
        <v>Sim</v>
      </c>
      <c r="O56" s="21" t="str">
        <f>IF(AND(M56="Sim",N56="Sim"),"Sim","Não")</f>
        <v>Sim</v>
      </c>
      <c r="P56" s="21" t="str">
        <f>IF(I56&gt;K56,"Sim","Não")</f>
        <v>Não</v>
      </c>
      <c r="Q56" s="21">
        <f>COUNTIFS(C:C,C56)</f>
        <v>2</v>
      </c>
    </row>
    <row r="57" spans="3:17" hidden="1" x14ac:dyDescent="0.35">
      <c r="C57" s="5">
        <v>594157579</v>
      </c>
      <c r="D57" s="5" t="s">
        <v>646</v>
      </c>
      <c r="E57" s="5">
        <f>_xlfn.XLOOKUP(C57,'Same Seller Hist'!E:E,'Same Seller Hist'!I:I)</f>
        <v>7.4961820434001705E+18</v>
      </c>
      <c r="F57" s="5" t="str">
        <f>_xlfn.XLOOKUP(C57,'Same Seller Hist'!E:E,'Same Seller Hist'!H:H)</f>
        <v>Eggers Móveis Modulados</v>
      </c>
      <c r="G57" s="5" t="s">
        <v>905</v>
      </c>
      <c r="H57" s="19">
        <v>1773.1290322580646</v>
      </c>
      <c r="I57" s="19">
        <v>15343.421754635614</v>
      </c>
      <c r="J57" s="19">
        <f>_xlfn.IFNA(_xlfn.XLOOKUP(F57,'Fastmoss 500'!D:D,'Fastmoss 500'!O:O),0)</f>
        <v>0</v>
      </c>
      <c r="K57" s="19">
        <f>_xlfn.IFNA(_xlfn.XLOOKUP(F57,'Fastmoss 500'!D:D,'Fastmoss 500'!N:N),0)</f>
        <v>0</v>
      </c>
      <c r="L57" s="21" t="s">
        <v>2528</v>
      </c>
      <c r="M57" s="21" t="str">
        <f>IF(L57="Shp 500","Sim",IF(ISNA(_xlfn.XLOOKUP(C57,'Shp 500'!D:D,'Shp 500'!D:D)),"Não","Sim"))</f>
        <v>Sim</v>
      </c>
      <c r="N57" s="21" t="str">
        <f>IF(L57="Fastmoss 500","Sim",IF(ISNA(_xlfn.XLOOKUP(_xlfn.XLOOKUP(C57,'Same Seller Hist'!E:E,'Same Seller Hist'!H:H),'Fastmoss 500'!D:D,'Fastmoss 500'!D:D)),"Não","Sim"))</f>
        <v>Não</v>
      </c>
      <c r="O57" s="21" t="str">
        <f>IF(AND(M57="Sim",N57="Sim"),"Sim","Não")</f>
        <v>Não</v>
      </c>
      <c r="P57" s="21" t="str">
        <f>IF(I57&gt;K57,"Sim","Não")</f>
        <v>Sim</v>
      </c>
      <c r="Q57" s="21">
        <f>COUNTIFS(C:C,C57)</f>
        <v>1</v>
      </c>
    </row>
    <row r="58" spans="3:17" x14ac:dyDescent="0.35">
      <c r="C58" s="5">
        <v>387348115</v>
      </c>
      <c r="D58" s="5" t="s">
        <v>1416</v>
      </c>
      <c r="E58" s="5">
        <f>_xlfn.XLOOKUP(C58,'Same Seller Hist'!E:E,'Same Seller Hist'!I:I)</f>
        <v>7.4961604315664497E+18</v>
      </c>
      <c r="F58" s="5" t="str">
        <f>_xlfn.XLOOKUP(C58,'Same Seller Hist'!E:E,'Same Seller Hist'!H:H)</f>
        <v>GiGiL.</v>
      </c>
      <c r="G58" s="5" t="s">
        <v>903</v>
      </c>
      <c r="H58" s="19">
        <v>1522.5806451612902</v>
      </c>
      <c r="I58" s="19">
        <v>16855.793838075871</v>
      </c>
      <c r="J58" s="19">
        <f>_xlfn.IFNA(_xlfn.XLOOKUP(F58,'Fastmoss 500'!D:D,'Fastmoss 500'!O:O),0)</f>
        <v>470.96774193548384</v>
      </c>
      <c r="K58" s="19">
        <f>_xlfn.IFNA(_xlfn.XLOOKUP(F58,'Fastmoss 500'!D:D,'Fastmoss 500'!N:N),0)</f>
        <v>35483.870967741932</v>
      </c>
      <c r="L58" s="21" t="s">
        <v>2528</v>
      </c>
      <c r="M58" s="21" t="str">
        <f>IF(L58="Shp 500","Sim",IF(ISNA(_xlfn.XLOOKUP(C58,'Shp 500'!D:D,'Shp 500'!D:D)),"Não","Sim"))</f>
        <v>Sim</v>
      </c>
      <c r="N58" s="21" t="str">
        <f>IF(L58="Fastmoss 500","Sim",IF(ISNA(_xlfn.XLOOKUP(_xlfn.XLOOKUP(C58,'Same Seller Hist'!E:E,'Same Seller Hist'!H:H),'Fastmoss 500'!D:D,'Fastmoss 500'!D:D)),"Não","Sim"))</f>
        <v>Sim</v>
      </c>
      <c r="O58" s="21" t="str">
        <f>IF(AND(M58="Sim",N58="Sim"),"Sim","Não")</f>
        <v>Sim</v>
      </c>
      <c r="P58" s="21" t="str">
        <f>IF(I58&gt;K58,"Sim","Não")</f>
        <v>Não</v>
      </c>
      <c r="Q58" s="21">
        <f>COUNTIFS(C:C,C58)</f>
        <v>2</v>
      </c>
    </row>
    <row r="59" spans="3:17" hidden="1" x14ac:dyDescent="0.35">
      <c r="C59" s="5">
        <v>346235717</v>
      </c>
      <c r="D59" s="5" t="s">
        <v>1377</v>
      </c>
      <c r="E59" s="5">
        <f>_xlfn.XLOOKUP(C59,'Same Seller Hist'!E:E,'Same Seller Hist'!I:I)</f>
        <v>7.4962835538517299E+18</v>
      </c>
      <c r="F59" s="5" t="str">
        <f>_xlfn.XLOOKUP(C59,'Same Seller Hist'!E:E,'Same Seller Hist'!H:H)</f>
        <v>heybox ??</v>
      </c>
      <c r="G59" s="5" t="s">
        <v>905</v>
      </c>
      <c r="H59" s="19">
        <v>1755.2580645161258</v>
      </c>
      <c r="I59" s="19">
        <v>16349.483724564225</v>
      </c>
      <c r="J59" s="19">
        <f>_xlfn.IFNA(_xlfn.XLOOKUP(F59,'Fastmoss 500'!D:D,'Fastmoss 500'!O:O),0)</f>
        <v>0</v>
      </c>
      <c r="K59" s="19">
        <f>_xlfn.IFNA(_xlfn.XLOOKUP(F59,'Fastmoss 500'!D:D,'Fastmoss 500'!N:N),0)</f>
        <v>0</v>
      </c>
      <c r="L59" s="21" t="s">
        <v>2528</v>
      </c>
      <c r="M59" s="21" t="str">
        <f>IF(L59="Shp 500","Sim",IF(ISNA(_xlfn.XLOOKUP(C59,'Shp 500'!D:D,'Shp 500'!D:D)),"Não","Sim"))</f>
        <v>Sim</v>
      </c>
      <c r="N59" s="21" t="str">
        <f>IF(L59="Fastmoss 500","Sim",IF(ISNA(_xlfn.XLOOKUP(_xlfn.XLOOKUP(C59,'Same Seller Hist'!E:E,'Same Seller Hist'!H:H),'Fastmoss 500'!D:D,'Fastmoss 500'!D:D)),"Não","Sim"))</f>
        <v>Não</v>
      </c>
      <c r="O59" s="21" t="str">
        <f>IF(AND(M59="Sim",N59="Sim"),"Sim","Não")</f>
        <v>Não</v>
      </c>
      <c r="P59" s="21" t="str">
        <f>IF(I59&gt;K59,"Sim","Não")</f>
        <v>Sim</v>
      </c>
      <c r="Q59" s="21">
        <f>COUNTIFS(C:C,C59)</f>
        <v>1</v>
      </c>
    </row>
    <row r="60" spans="3:17" x14ac:dyDescent="0.35">
      <c r="C60" s="5">
        <f>_xlfn.XLOOKUP(F60,'Same Seller Hist'!H:H,'Same Seller Hist'!E:E)</f>
        <v>387348115</v>
      </c>
      <c r="D60" s="5" t="str">
        <f>_xlfn.XLOOKUP(F60,'Same Seller Hist'!H:H,'Same Seller Hist'!D:D)</f>
        <v>GiGiL.</v>
      </c>
      <c r="E60" s="5">
        <f>_xlfn.XLOOKUP(F60,'Same Seller Hist'!H:H,'Same Seller Hist'!I:I)</f>
        <v>7.4961604315664497E+18</v>
      </c>
      <c r="F60" s="5" t="s">
        <v>507</v>
      </c>
      <c r="G60" s="5" t="str">
        <f>_xlfn.XLOOKUP(C60,'Same Seller Hist'!E:E,'Same Seller Hist'!F:F)</f>
        <v>Fashion</v>
      </c>
      <c r="H60" s="19">
        <f>_xlfn.IFNA(_xlfn.XLOOKUP(C60,'Shp 500'!D:D,'Shp 500'!I:I),0)</f>
        <v>1522.5806451612902</v>
      </c>
      <c r="I60" s="19">
        <f>_xlfn.IFNA(_xlfn.XLOOKUP(C60,'Shp 500'!D:D,'Shp 500'!J:J),0)</f>
        <v>16855.793838075871</v>
      </c>
      <c r="J60" s="19">
        <v>470.96774193548384</v>
      </c>
      <c r="K60" s="19">
        <v>35483.870967741932</v>
      </c>
      <c r="L60" s="21" t="s">
        <v>2530</v>
      </c>
      <c r="M60" s="21" t="str">
        <f>IF(L60="Shp 500","Sim",IF(ISNA(_xlfn.XLOOKUP(C60,'Shp 500'!D:D,'Shp 500'!D:D)),"Não","Sim"))</f>
        <v>Sim</v>
      </c>
      <c r="N60" s="21" t="str">
        <f>IF(L60="Fastmoss 500","Sim",IF(ISNA(_xlfn.XLOOKUP(_xlfn.XLOOKUP(C60,'Same Seller Hist'!E:E,'Same Seller Hist'!H:H),'Fastmoss 500'!D:D,'Fastmoss 500'!D:D)),"Não","Sim"))</f>
        <v>Sim</v>
      </c>
      <c r="O60" s="21" t="str">
        <f>IF(AND(M60="Sim",N60="Sim"),"Sim","Não")</f>
        <v>Sim</v>
      </c>
      <c r="P60" s="21" t="str">
        <f>IF(I60&gt;K60,"Sim","Não")</f>
        <v>Não</v>
      </c>
      <c r="Q60" s="21">
        <f>COUNTIFS(C:C,C60)</f>
        <v>2</v>
      </c>
    </row>
    <row r="61" spans="3:17" hidden="1" x14ac:dyDescent="0.35">
      <c r="C61" s="5">
        <v>225117529</v>
      </c>
      <c r="D61" s="5" t="s">
        <v>354</v>
      </c>
      <c r="E61" s="5">
        <f>_xlfn.XLOOKUP(C61,'Same Seller Hist'!E:E,'Same Seller Hist'!I:I)</f>
        <v>7.4963060441597501E+18</v>
      </c>
      <c r="F61" s="5" t="str">
        <f>_xlfn.XLOOKUP(C61,'Same Seller Hist'!E:E,'Same Seller Hist'!H:H)</f>
        <v>Trissé Acessórios</v>
      </c>
      <c r="G61" s="5" t="s">
        <v>906</v>
      </c>
      <c r="H61" s="19">
        <v>1688.0645161290322</v>
      </c>
      <c r="I61" s="19">
        <v>4998.4763133892902</v>
      </c>
      <c r="J61" s="19">
        <f>_xlfn.IFNA(_xlfn.XLOOKUP(F61,'Fastmoss 500'!D:D,'Fastmoss 500'!O:O),0)</f>
        <v>0</v>
      </c>
      <c r="K61" s="19">
        <f>_xlfn.IFNA(_xlfn.XLOOKUP(F61,'Fastmoss 500'!D:D,'Fastmoss 500'!N:N),0)</f>
        <v>0</v>
      </c>
      <c r="L61" s="21" t="s">
        <v>2528</v>
      </c>
      <c r="M61" s="21" t="str">
        <f>IF(L61="Shp 500","Sim",IF(ISNA(_xlfn.XLOOKUP(C61,'Shp 500'!D:D,'Shp 500'!D:D)),"Não","Sim"))</f>
        <v>Sim</v>
      </c>
      <c r="N61" s="21" t="str">
        <f>IF(L61="Fastmoss 500","Sim",IF(ISNA(_xlfn.XLOOKUP(_xlfn.XLOOKUP(C61,'Same Seller Hist'!E:E,'Same Seller Hist'!H:H),'Fastmoss 500'!D:D,'Fastmoss 500'!D:D)),"Não","Sim"))</f>
        <v>Não</v>
      </c>
      <c r="O61" s="21" t="str">
        <f>IF(AND(M61="Sim",N61="Sim"),"Sim","Não")</f>
        <v>Não</v>
      </c>
      <c r="P61" s="21" t="str">
        <f>IF(I61&gt;K61,"Sim","Não")</f>
        <v>Sim</v>
      </c>
      <c r="Q61" s="21">
        <f>COUNTIFS(C:C,C61)</f>
        <v>1</v>
      </c>
    </row>
    <row r="62" spans="3:17" hidden="1" x14ac:dyDescent="0.35">
      <c r="C62" s="5">
        <v>816161995</v>
      </c>
      <c r="D62" s="5" t="s">
        <v>1386</v>
      </c>
      <c r="E62" s="5">
        <f>_xlfn.XLOOKUP(C62,'Same Seller Hist'!E:E,'Same Seller Hist'!I:I)</f>
        <v>7.4961864856271196E+18</v>
      </c>
      <c r="F62" s="5" t="str">
        <f>_xlfn.XLOOKUP(C62,'Same Seller Hist'!E:E,'Same Seller Hist'!H:H)</f>
        <v>MULTI BAZAR</v>
      </c>
      <c r="G62" s="5" t="s">
        <v>1734</v>
      </c>
      <c r="H62" s="19">
        <v>1684.8709677419322</v>
      </c>
      <c r="I62" s="19">
        <v>6098.1941280004512</v>
      </c>
      <c r="J62" s="19">
        <f>_xlfn.IFNA(_xlfn.XLOOKUP(F62,'Fastmoss 500'!D:D,'Fastmoss 500'!O:O),0)</f>
        <v>0</v>
      </c>
      <c r="K62" s="19">
        <f>_xlfn.IFNA(_xlfn.XLOOKUP(F62,'Fastmoss 500'!D:D,'Fastmoss 500'!N:N),0)</f>
        <v>0</v>
      </c>
      <c r="L62" s="21" t="s">
        <v>2528</v>
      </c>
      <c r="M62" s="21" t="str">
        <f>IF(L62="Shp 500","Sim",IF(ISNA(_xlfn.XLOOKUP(C62,'Shp 500'!D:D,'Shp 500'!D:D)),"Não","Sim"))</f>
        <v>Sim</v>
      </c>
      <c r="N62" s="21" t="str">
        <f>IF(L62="Fastmoss 500","Sim",IF(ISNA(_xlfn.XLOOKUP(_xlfn.XLOOKUP(C62,'Same Seller Hist'!E:E,'Same Seller Hist'!H:H),'Fastmoss 500'!D:D,'Fastmoss 500'!D:D)),"Não","Sim"))</f>
        <v>Não</v>
      </c>
      <c r="O62" s="21" t="str">
        <f>IF(AND(M62="Sim",N62="Sim"),"Sim","Não")</f>
        <v>Não</v>
      </c>
      <c r="P62" s="21" t="str">
        <f>IF(I62&gt;K62,"Sim","Não")</f>
        <v>Sim</v>
      </c>
      <c r="Q62" s="21">
        <f>COUNTIFS(C:C,C62)</f>
        <v>1</v>
      </c>
    </row>
    <row r="63" spans="3:17" x14ac:dyDescent="0.35">
      <c r="C63" s="5">
        <v>390307022</v>
      </c>
      <c r="D63" s="5" t="s">
        <v>1361</v>
      </c>
      <c r="E63" s="5">
        <f>_xlfn.XLOOKUP(C63,'Same Seller Hist'!E:E,'Same Seller Hist'!I:I)</f>
        <v>7.4961634719360901E+18</v>
      </c>
      <c r="F63" s="5" t="str">
        <f>_xlfn.XLOOKUP(C63,'Same Seller Hist'!E:E,'Same Seller Hist'!H:H)</f>
        <v>ZSZ BRASIL</v>
      </c>
      <c r="G63" s="5" t="s">
        <v>1734</v>
      </c>
      <c r="H63" s="19">
        <v>1902.9354838709644</v>
      </c>
      <c r="I63" s="19">
        <v>9217.4875408550324</v>
      </c>
      <c r="J63" s="19">
        <f>_xlfn.IFNA(_xlfn.XLOOKUP(F63,'Fastmoss 500'!D:D,'Fastmoss 500'!O:O),0)</f>
        <v>1687.0967741935483</v>
      </c>
      <c r="K63" s="19">
        <f>_xlfn.IFNA(_xlfn.XLOOKUP(F63,'Fastmoss 500'!D:D,'Fastmoss 500'!N:N),0)</f>
        <v>27238.709677419356</v>
      </c>
      <c r="L63" s="21" t="s">
        <v>2528</v>
      </c>
      <c r="M63" s="21" t="str">
        <f>IF(L63="Shp 500","Sim",IF(ISNA(_xlfn.XLOOKUP(C63,'Shp 500'!D:D,'Shp 500'!D:D)),"Não","Sim"))</f>
        <v>Sim</v>
      </c>
      <c r="N63" s="21" t="str">
        <f>IF(L63="Fastmoss 500","Sim",IF(ISNA(_xlfn.XLOOKUP(_xlfn.XLOOKUP(C63,'Same Seller Hist'!E:E,'Same Seller Hist'!H:H),'Fastmoss 500'!D:D,'Fastmoss 500'!D:D)),"Não","Sim"))</f>
        <v>Sim</v>
      </c>
      <c r="O63" s="21" t="str">
        <f>IF(AND(M63="Sim",N63="Sim"),"Sim","Não")</f>
        <v>Sim</v>
      </c>
      <c r="P63" s="21" t="str">
        <f>IF(I63&gt;K63,"Sim","Não")</f>
        <v>Não</v>
      </c>
      <c r="Q63" s="21">
        <f>COUNTIFS(C:C,C63)</f>
        <v>2</v>
      </c>
    </row>
    <row r="64" spans="3:17" x14ac:dyDescent="0.35">
      <c r="C64" s="5">
        <f>_xlfn.XLOOKUP(F64,'Same Seller Hist'!H:H,'Same Seller Hist'!E:E)</f>
        <v>390307022</v>
      </c>
      <c r="D64" s="5" t="str">
        <f>_xlfn.XLOOKUP(F64,'Same Seller Hist'!H:H,'Same Seller Hist'!D:D)</f>
        <v>ZSZ BRASIL</v>
      </c>
      <c r="E64" s="5">
        <f>_xlfn.XLOOKUP(F64,'Same Seller Hist'!H:H,'Same Seller Hist'!I:I)</f>
        <v>7.4961634719360901E+18</v>
      </c>
      <c r="F64" s="5" t="s">
        <v>512</v>
      </c>
      <c r="G64" s="5" t="str">
        <f>_xlfn.XLOOKUP(C64,'Same Seller Hist'!E:E,'Same Seller Hist'!F:F)</f>
        <v>Lifestyle</v>
      </c>
      <c r="H64" s="19">
        <f>_xlfn.IFNA(_xlfn.XLOOKUP(C64,'Shp 500'!D:D,'Shp 500'!I:I),0)</f>
        <v>1902.9354838709644</v>
      </c>
      <c r="I64" s="19">
        <f>_xlfn.IFNA(_xlfn.XLOOKUP(C64,'Shp 500'!D:D,'Shp 500'!J:J),0)</f>
        <v>9217.4875408550324</v>
      </c>
      <c r="J64" s="19">
        <v>1687.0967741935483</v>
      </c>
      <c r="K64" s="19">
        <v>27238.709677419356</v>
      </c>
      <c r="L64" s="21" t="s">
        <v>2530</v>
      </c>
      <c r="M64" s="21" t="str">
        <f>IF(L64="Shp 500","Sim",IF(ISNA(_xlfn.XLOOKUP(C64,'Shp 500'!D:D,'Shp 500'!D:D)),"Não","Sim"))</f>
        <v>Sim</v>
      </c>
      <c r="N64" s="21" t="str">
        <f>IF(L64="Fastmoss 500","Sim",IF(ISNA(_xlfn.XLOOKUP(_xlfn.XLOOKUP(C64,'Same Seller Hist'!E:E,'Same Seller Hist'!H:H),'Fastmoss 500'!D:D,'Fastmoss 500'!D:D)),"Não","Sim"))</f>
        <v>Sim</v>
      </c>
      <c r="O64" s="21" t="str">
        <f>IF(AND(M64="Sim",N64="Sim"),"Sim","Não")</f>
        <v>Sim</v>
      </c>
      <c r="P64" s="21" t="str">
        <f>IF(I64&gt;K64,"Sim","Não")</f>
        <v>Não</v>
      </c>
      <c r="Q64" s="21">
        <f>COUNTIFS(C:C,C64)</f>
        <v>2</v>
      </c>
    </row>
    <row r="65" spans="3:17" hidden="1" x14ac:dyDescent="0.35">
      <c r="C65" s="5">
        <v>644980753</v>
      </c>
      <c r="D65" s="5" t="s">
        <v>1395</v>
      </c>
      <c r="E65" s="5">
        <f>_xlfn.XLOOKUP(C65,'Same Seller Hist'!E:E,'Same Seller Hist'!I:I)</f>
        <v>7.49627254141986E+18</v>
      </c>
      <c r="F65" s="5" t="str">
        <f>_xlfn.XLOOKUP(C65,'Same Seller Hist'!E:E,'Same Seller Hist'!H:H)</f>
        <v>Encando da Beleza</v>
      </c>
      <c r="G65" s="5" t="s">
        <v>906</v>
      </c>
      <c r="H65" s="19">
        <v>1623.7096774193549</v>
      </c>
      <c r="I65" s="19">
        <v>6583.0182057249676</v>
      </c>
      <c r="J65" s="19">
        <f>_xlfn.IFNA(_xlfn.XLOOKUP(F65,'Fastmoss 500'!D:D,'Fastmoss 500'!O:O),0)</f>
        <v>0</v>
      </c>
      <c r="K65" s="19">
        <f>_xlfn.IFNA(_xlfn.XLOOKUP(F65,'Fastmoss 500'!D:D,'Fastmoss 500'!N:N),0)</f>
        <v>0</v>
      </c>
      <c r="L65" s="21" t="s">
        <v>2528</v>
      </c>
      <c r="M65" s="21" t="str">
        <f>IF(L65="Shp 500","Sim",IF(ISNA(_xlfn.XLOOKUP(C65,'Shp 500'!D:D,'Shp 500'!D:D)),"Não","Sim"))</f>
        <v>Sim</v>
      </c>
      <c r="N65" s="21" t="str">
        <f>IF(L65="Fastmoss 500","Sim",IF(ISNA(_xlfn.XLOOKUP(_xlfn.XLOOKUP(C65,'Same Seller Hist'!E:E,'Same Seller Hist'!H:H),'Fastmoss 500'!D:D,'Fastmoss 500'!D:D)),"Não","Sim"))</f>
        <v>Não</v>
      </c>
      <c r="O65" s="21" t="str">
        <f>IF(AND(M65="Sim",N65="Sim"),"Sim","Não")</f>
        <v>Não</v>
      </c>
      <c r="P65" s="21" t="str">
        <f>IF(I65&gt;K65,"Sim","Não")</f>
        <v>Sim</v>
      </c>
      <c r="Q65" s="21">
        <f>COUNTIFS(C:C,C65)</f>
        <v>1</v>
      </c>
    </row>
    <row r="66" spans="3:17" x14ac:dyDescent="0.35">
      <c r="C66" s="5">
        <v>391739739</v>
      </c>
      <c r="D66" s="5" t="s">
        <v>1278</v>
      </c>
      <c r="E66" s="5">
        <f>_xlfn.XLOOKUP(C66,'Same Seller Hist'!E:E,'Same Seller Hist'!I:I)</f>
        <v>7.4961475059922698E+18</v>
      </c>
      <c r="F66" s="5" t="str">
        <f>_xlfn.XLOOKUP(C66,'Same Seller Hist'!E:E,'Same Seller Hist'!H:H)</f>
        <v>ANJGG.STORE</v>
      </c>
      <c r="G66" s="5" t="s">
        <v>1734</v>
      </c>
      <c r="H66" s="19">
        <v>6695.3225806451292</v>
      </c>
      <c r="I66" s="19">
        <v>52809.985030649033</v>
      </c>
      <c r="J66" s="19">
        <f>_xlfn.IFNA(_xlfn.XLOOKUP(F66,'Fastmoss 500'!D:D,'Fastmoss 500'!O:O),0)</f>
        <v>912.90322580645159</v>
      </c>
      <c r="K66" s="19">
        <f>_xlfn.IFNA(_xlfn.XLOOKUP(F66,'Fastmoss 500'!D:D,'Fastmoss 500'!N:N),0)</f>
        <v>41935.483870967742</v>
      </c>
      <c r="L66" s="21" t="s">
        <v>2528</v>
      </c>
      <c r="M66" s="21" t="str">
        <f>IF(L66="Shp 500","Sim",IF(ISNA(_xlfn.XLOOKUP(C66,'Shp 500'!D:D,'Shp 500'!D:D)),"Não","Sim"))</f>
        <v>Sim</v>
      </c>
      <c r="N66" s="21" t="str">
        <f>IF(L66="Fastmoss 500","Sim",IF(ISNA(_xlfn.XLOOKUP(_xlfn.XLOOKUP(C66,'Same Seller Hist'!E:E,'Same Seller Hist'!H:H),'Fastmoss 500'!D:D,'Fastmoss 500'!D:D)),"Não","Sim"))</f>
        <v>Sim</v>
      </c>
      <c r="O66" s="21" t="str">
        <f>IF(AND(M66="Sim",N66="Sim"),"Sim","Não")</f>
        <v>Sim</v>
      </c>
      <c r="P66" s="21" t="str">
        <f>IF(I66&gt;K66,"Sim","Não")</f>
        <v>Sim</v>
      </c>
      <c r="Q66" s="21">
        <f>COUNTIFS(C:C,C66)</f>
        <v>2</v>
      </c>
    </row>
    <row r="67" spans="3:17" hidden="1" x14ac:dyDescent="0.35">
      <c r="C67" s="5">
        <v>1005980154</v>
      </c>
      <c r="D67" s="5" t="s">
        <v>1397</v>
      </c>
      <c r="E67" s="5">
        <f>_xlfn.XLOOKUP(C67,'Same Seller Hist'!E:E,'Same Seller Hist'!I:I)</f>
        <v>7.4941692853928202E+18</v>
      </c>
      <c r="F67" s="5" t="str">
        <f>_xlfn.XLOOKUP(C67,'Same Seller Hist'!E:E,'Same Seller Hist'!H:H)</f>
        <v>Arara Store.</v>
      </c>
      <c r="G67" s="5" t="s">
        <v>1734</v>
      </c>
      <c r="H67" s="19">
        <v>1618.1612903225773</v>
      </c>
      <c r="I67" s="19">
        <v>10420.293006465386</v>
      </c>
      <c r="J67" s="19">
        <f>_xlfn.IFNA(_xlfn.XLOOKUP(F67,'Fastmoss 500'!D:D,'Fastmoss 500'!O:O),0)</f>
        <v>0</v>
      </c>
      <c r="K67" s="19">
        <f>_xlfn.IFNA(_xlfn.XLOOKUP(F67,'Fastmoss 500'!D:D,'Fastmoss 500'!N:N),0)</f>
        <v>0</v>
      </c>
      <c r="L67" s="21" t="s">
        <v>2528</v>
      </c>
      <c r="M67" s="21" t="str">
        <f>IF(L67="Shp 500","Sim",IF(ISNA(_xlfn.XLOOKUP(C67,'Shp 500'!D:D,'Shp 500'!D:D)),"Não","Sim"))</f>
        <v>Sim</v>
      </c>
      <c r="N67" s="21" t="str">
        <f>IF(L67="Fastmoss 500","Sim",IF(ISNA(_xlfn.XLOOKUP(_xlfn.XLOOKUP(C67,'Same Seller Hist'!E:E,'Same Seller Hist'!H:H),'Fastmoss 500'!D:D,'Fastmoss 500'!D:D)),"Não","Sim"))</f>
        <v>Não</v>
      </c>
      <c r="O67" s="21" t="str">
        <f>IF(AND(M67="Sim",N67="Sim"),"Sim","Não")</f>
        <v>Não</v>
      </c>
      <c r="P67" s="21" t="str">
        <f>IF(I67&gt;K67,"Sim","Não")</f>
        <v>Sim</v>
      </c>
      <c r="Q67" s="21">
        <f>COUNTIFS(C:C,C67)</f>
        <v>1</v>
      </c>
    </row>
    <row r="68" spans="3:17" hidden="1" x14ac:dyDescent="0.35">
      <c r="C68" s="5">
        <v>659435897</v>
      </c>
      <c r="D68" s="5" t="s">
        <v>1398</v>
      </c>
      <c r="E68" s="5">
        <f>_xlfn.XLOOKUP(C68,'Same Seller Hist'!E:E,'Same Seller Hist'!I:I)</f>
        <v>7.4961823047646904E+18</v>
      </c>
      <c r="F68" s="5" t="str">
        <f>_xlfn.XLOOKUP(C68,'Same Seller Hist'!E:E,'Same Seller Hist'!H:H)</f>
        <v>GudBuy</v>
      </c>
      <c r="G68" s="5" t="s">
        <v>1734</v>
      </c>
      <c r="H68" s="19">
        <v>1613.8387096774193</v>
      </c>
      <c r="I68" s="19">
        <v>14152.908208558161</v>
      </c>
      <c r="J68" s="19">
        <f>_xlfn.IFNA(_xlfn.XLOOKUP(F68,'Fastmoss 500'!D:D,'Fastmoss 500'!O:O),0)</f>
        <v>0</v>
      </c>
      <c r="K68" s="19">
        <f>_xlfn.IFNA(_xlfn.XLOOKUP(F68,'Fastmoss 500'!D:D,'Fastmoss 500'!N:N),0)</f>
        <v>0</v>
      </c>
      <c r="L68" s="21" t="s">
        <v>2528</v>
      </c>
      <c r="M68" s="21" t="str">
        <f>IF(L68="Shp 500","Sim",IF(ISNA(_xlfn.XLOOKUP(C68,'Shp 500'!D:D,'Shp 500'!D:D)),"Não","Sim"))</f>
        <v>Sim</v>
      </c>
      <c r="N68" s="21" t="str">
        <f>IF(L68="Fastmoss 500","Sim",IF(ISNA(_xlfn.XLOOKUP(_xlfn.XLOOKUP(C68,'Same Seller Hist'!E:E,'Same Seller Hist'!H:H),'Fastmoss 500'!D:D,'Fastmoss 500'!D:D)),"Não","Sim"))</f>
        <v>Não</v>
      </c>
      <c r="O68" s="21" t="str">
        <f>IF(AND(M68="Sim",N68="Sim"),"Sim","Não")</f>
        <v>Não</v>
      </c>
      <c r="P68" s="21" t="str">
        <f>IF(I68&gt;K68,"Sim","Não")</f>
        <v>Sim</v>
      </c>
      <c r="Q68" s="21">
        <f>COUNTIFS(C:C,C68)</f>
        <v>1</v>
      </c>
    </row>
    <row r="69" spans="3:17" hidden="1" x14ac:dyDescent="0.35">
      <c r="C69" s="5">
        <v>984950642</v>
      </c>
      <c r="D69" s="5" t="s">
        <v>768</v>
      </c>
      <c r="E69" s="5">
        <f>_xlfn.XLOOKUP(C69,'Same Seller Hist'!E:E,'Same Seller Hist'!I:I)</f>
        <v>7.49412591350733E+18</v>
      </c>
      <c r="F69" s="5" t="str">
        <f>_xlfn.XLOOKUP(C69,'Same Seller Hist'!E:E,'Same Seller Hist'!H:H)</f>
        <v>Gira Casa</v>
      </c>
      <c r="G69" s="5" t="s">
        <v>905</v>
      </c>
      <c r="H69" s="19">
        <v>1595.8387096774193</v>
      </c>
      <c r="I69" s="19">
        <v>16729.223012628838</v>
      </c>
      <c r="J69" s="19">
        <f>_xlfn.IFNA(_xlfn.XLOOKUP(F69,'Fastmoss 500'!D:D,'Fastmoss 500'!O:O),0)</f>
        <v>0</v>
      </c>
      <c r="K69" s="19">
        <f>_xlfn.IFNA(_xlfn.XLOOKUP(F69,'Fastmoss 500'!D:D,'Fastmoss 500'!N:N),0)</f>
        <v>0</v>
      </c>
      <c r="L69" s="21" t="s">
        <v>2528</v>
      </c>
      <c r="M69" s="21" t="str">
        <f>IF(L69="Shp 500","Sim",IF(ISNA(_xlfn.XLOOKUP(C69,'Shp 500'!D:D,'Shp 500'!D:D)),"Não","Sim"))</f>
        <v>Sim</v>
      </c>
      <c r="N69" s="21" t="str">
        <f>IF(L69="Fastmoss 500","Sim",IF(ISNA(_xlfn.XLOOKUP(_xlfn.XLOOKUP(C69,'Same Seller Hist'!E:E,'Same Seller Hist'!H:H),'Fastmoss 500'!D:D,'Fastmoss 500'!D:D)),"Não","Sim"))</f>
        <v>Não</v>
      </c>
      <c r="O69" s="21" t="str">
        <f>IF(AND(M69="Sim",N69="Sim"),"Sim","Não")</f>
        <v>Não</v>
      </c>
      <c r="P69" s="21" t="str">
        <f>IF(I69&gt;K69,"Sim","Não")</f>
        <v>Sim</v>
      </c>
      <c r="Q69" s="21">
        <f>COUNTIFS(C:C,C69)</f>
        <v>1</v>
      </c>
    </row>
    <row r="70" spans="3:17" hidden="1" x14ac:dyDescent="0.35">
      <c r="C70" s="5">
        <v>371656735</v>
      </c>
      <c r="D70" s="5" t="s">
        <v>1402</v>
      </c>
      <c r="E70" s="5">
        <f>_xlfn.XLOOKUP(C70,'Same Seller Hist'!E:E,'Same Seller Hist'!I:I)</f>
        <v>7.4961621614902897E+18</v>
      </c>
      <c r="F70" s="5" t="str">
        <f>_xlfn.XLOOKUP(C70,'Same Seller Hist'!E:E,'Same Seller Hist'!H:H)</f>
        <v>my comercio</v>
      </c>
      <c r="G70" s="5" t="s">
        <v>1734</v>
      </c>
      <c r="H70" s="19">
        <v>1588.1935483870968</v>
      </c>
      <c r="I70" s="19">
        <v>7553.4753508781941</v>
      </c>
      <c r="J70" s="19">
        <f>_xlfn.IFNA(_xlfn.XLOOKUP(F70,'Fastmoss 500'!D:D,'Fastmoss 500'!O:O),0)</f>
        <v>0</v>
      </c>
      <c r="K70" s="19">
        <f>_xlfn.IFNA(_xlfn.XLOOKUP(F70,'Fastmoss 500'!D:D,'Fastmoss 500'!N:N),0)</f>
        <v>0</v>
      </c>
      <c r="L70" s="21" t="s">
        <v>2528</v>
      </c>
      <c r="M70" s="21" t="str">
        <f>IF(L70="Shp 500","Sim",IF(ISNA(_xlfn.XLOOKUP(C70,'Shp 500'!D:D,'Shp 500'!D:D)),"Não","Sim"))</f>
        <v>Sim</v>
      </c>
      <c r="N70" s="21" t="str">
        <f>IF(L70="Fastmoss 500","Sim",IF(ISNA(_xlfn.XLOOKUP(_xlfn.XLOOKUP(C70,'Same Seller Hist'!E:E,'Same Seller Hist'!H:H),'Fastmoss 500'!D:D,'Fastmoss 500'!D:D)),"Não","Sim"))</f>
        <v>Não</v>
      </c>
      <c r="O70" s="21" t="str">
        <f>IF(AND(M70="Sim",N70="Sim"),"Sim","Não")</f>
        <v>Não</v>
      </c>
      <c r="P70" s="21" t="str">
        <f>IF(I70&gt;K70,"Sim","Não")</f>
        <v>Sim</v>
      </c>
      <c r="Q70" s="21">
        <f>COUNTIFS(C:C,C70)</f>
        <v>1</v>
      </c>
    </row>
    <row r="71" spans="3:17" x14ac:dyDescent="0.35">
      <c r="C71" s="5">
        <f>_xlfn.XLOOKUP(F71,'Same Seller Hist'!H:H,'Same Seller Hist'!E:E)</f>
        <v>391739739</v>
      </c>
      <c r="D71" s="5" t="str">
        <f>_xlfn.XLOOKUP(F71,'Same Seller Hist'!H:H,'Same Seller Hist'!D:D)</f>
        <v>ANJGG.STORE</v>
      </c>
      <c r="E71" s="5">
        <f>_xlfn.XLOOKUP(F71,'Same Seller Hist'!H:H,'Same Seller Hist'!I:I)</f>
        <v>7.4961475059922698E+18</v>
      </c>
      <c r="F71" s="5" t="s">
        <v>515</v>
      </c>
      <c r="G71" s="5" t="str">
        <f>_xlfn.XLOOKUP(C71,'Same Seller Hist'!E:E,'Same Seller Hist'!F:F)</f>
        <v>ELHA</v>
      </c>
      <c r="H71" s="19">
        <f>_xlfn.IFNA(_xlfn.XLOOKUP(C71,'Shp 500'!D:D,'Shp 500'!I:I),0)</f>
        <v>6695.3225806451292</v>
      </c>
      <c r="I71" s="19">
        <f>_xlfn.IFNA(_xlfn.XLOOKUP(C71,'Shp 500'!D:D,'Shp 500'!J:J),0)</f>
        <v>52809.985030649033</v>
      </c>
      <c r="J71" s="19">
        <v>912.90322580645159</v>
      </c>
      <c r="K71" s="19">
        <v>41935.483870967742</v>
      </c>
      <c r="L71" s="21" t="s">
        <v>2530</v>
      </c>
      <c r="M71" s="21" t="str">
        <f>IF(L71="Shp 500","Sim",IF(ISNA(_xlfn.XLOOKUP(C71,'Shp 500'!D:D,'Shp 500'!D:D)),"Não","Sim"))</f>
        <v>Sim</v>
      </c>
      <c r="N71" s="21" t="str">
        <f>IF(L71="Fastmoss 500","Sim",IF(ISNA(_xlfn.XLOOKUP(_xlfn.XLOOKUP(C71,'Same Seller Hist'!E:E,'Same Seller Hist'!H:H),'Fastmoss 500'!D:D,'Fastmoss 500'!D:D)),"Não","Sim"))</f>
        <v>Sim</v>
      </c>
      <c r="O71" s="21" t="str">
        <f>IF(AND(M71="Sim",N71="Sim"),"Sim","Não")</f>
        <v>Sim</v>
      </c>
      <c r="P71" s="21" t="str">
        <f>IF(I71&gt;K71,"Sim","Não")</f>
        <v>Sim</v>
      </c>
      <c r="Q71" s="21">
        <f>COUNTIFS(C:C,C71)</f>
        <v>2</v>
      </c>
    </row>
    <row r="72" spans="3:17" x14ac:dyDescent="0.35">
      <c r="C72" s="5">
        <v>397374716</v>
      </c>
      <c r="D72" s="5" t="s">
        <v>1596</v>
      </c>
      <c r="E72" s="5">
        <f>_xlfn.XLOOKUP(C72,'Same Seller Hist'!E:E,'Same Seller Hist'!I:I)</f>
        <v>0</v>
      </c>
      <c r="F72" s="5">
        <f>_xlfn.XLOOKUP(C72,'Same Seller Hist'!E:E,'Same Seller Hist'!H:H)</f>
        <v>0</v>
      </c>
      <c r="G72" s="5" t="s">
        <v>1734</v>
      </c>
      <c r="H72" s="19">
        <v>995.48387096773877</v>
      </c>
      <c r="I72" s="19">
        <v>7664.8528716645478</v>
      </c>
      <c r="J72" s="19">
        <f>_xlfn.IFNA(_xlfn.XLOOKUP(F72,'Fastmoss 500'!D:D,'Fastmoss 500'!O:O),0)</f>
        <v>0</v>
      </c>
      <c r="K72" s="19">
        <f>_xlfn.IFNA(_xlfn.XLOOKUP(F72,'Fastmoss 500'!D:D,'Fastmoss 500'!N:N),0)</f>
        <v>0</v>
      </c>
      <c r="L72" s="21" t="s">
        <v>2528</v>
      </c>
      <c r="M72" s="21" t="str">
        <f>IF(L72="Shp 500","Sim",IF(ISNA(_xlfn.XLOOKUP(C72,'Shp 500'!D:D,'Shp 500'!D:D)),"Não","Sim"))</f>
        <v>Sim</v>
      </c>
      <c r="N72" s="21" t="str">
        <f>IF(L72="Fastmoss 500","Sim",IF(ISNA(_xlfn.XLOOKUP(_xlfn.XLOOKUP(C72,'Same Seller Hist'!E:E,'Same Seller Hist'!H:H),'Fastmoss 500'!D:D,'Fastmoss 500'!D:D)),"Não","Sim"))</f>
        <v>Não</v>
      </c>
      <c r="O72" s="21" t="str">
        <f>IF(AND(M72="Sim",N72="Sim"),"Sim","Não")</f>
        <v>Não</v>
      </c>
      <c r="P72" s="21" t="str">
        <f>IF(I72&gt;K72,"Sim","Não")</f>
        <v>Sim</v>
      </c>
      <c r="Q72" s="21">
        <f>COUNTIFS(C:C,C72)</f>
        <v>2</v>
      </c>
    </row>
    <row r="73" spans="3:17" x14ac:dyDescent="0.35">
      <c r="C73" s="5">
        <f>_xlfn.XLOOKUP(F73,'Same Seller Hist'!H:H,'Same Seller Hist'!E:E)</f>
        <v>397374716</v>
      </c>
      <c r="D73" s="5" t="str">
        <f>_xlfn.XLOOKUP(F73,'Same Seller Hist'!H:H,'Same Seller Hist'!D:D)</f>
        <v>NezhaFeira</v>
      </c>
      <c r="E73" s="5">
        <f>_xlfn.XLOOKUP(F73,'Same Seller Hist'!H:H,'Same Seller Hist'!I:I)</f>
        <v>7.49413480049472E+18</v>
      </c>
      <c r="F73" s="5" t="s">
        <v>527</v>
      </c>
      <c r="G73" s="5" t="str">
        <f>_xlfn.XLOOKUP(C73,'Same Seller Hist'!E:E,'Same Seller Hist'!F:F)</f>
        <v>ELHA</v>
      </c>
      <c r="H73" s="19">
        <f>_xlfn.IFNA(_xlfn.XLOOKUP(C73,'Shp 500'!D:D,'Shp 500'!I:I),0)</f>
        <v>995.48387096773877</v>
      </c>
      <c r="I73" s="19">
        <f>_xlfn.IFNA(_xlfn.XLOOKUP(C73,'Shp 500'!D:D,'Shp 500'!J:J),0)</f>
        <v>7664.8528716645478</v>
      </c>
      <c r="J73" s="19">
        <v>348.38709677419354</v>
      </c>
      <c r="K73" s="19">
        <v>16558.06451612903</v>
      </c>
      <c r="L73" s="21" t="s">
        <v>2530</v>
      </c>
      <c r="M73" s="21" t="str">
        <f>IF(L73="Shp 500","Sim",IF(ISNA(_xlfn.XLOOKUP(C73,'Shp 500'!D:D,'Shp 500'!D:D)),"Não","Sim"))</f>
        <v>Sim</v>
      </c>
      <c r="N73" s="21" t="str">
        <f>IF(L73="Fastmoss 500","Sim",IF(ISNA(_xlfn.XLOOKUP(_xlfn.XLOOKUP(C73,'Same Seller Hist'!E:E,'Same Seller Hist'!H:H),'Fastmoss 500'!D:D,'Fastmoss 500'!D:D)),"Não","Sim"))</f>
        <v>Sim</v>
      </c>
      <c r="O73" s="21" t="str">
        <f>IF(AND(M73="Sim",N73="Sim"),"Sim","Não")</f>
        <v>Sim</v>
      </c>
      <c r="P73" s="21" t="str">
        <f>IF(I73&gt;K73,"Sim","Não")</f>
        <v>Não</v>
      </c>
      <c r="Q73" s="21">
        <f>COUNTIFS(C:C,C73)</f>
        <v>2</v>
      </c>
    </row>
    <row r="74" spans="3:17" x14ac:dyDescent="0.35">
      <c r="C74" s="5">
        <v>400905650</v>
      </c>
      <c r="D74" s="5" t="s">
        <v>531</v>
      </c>
      <c r="E74" s="5">
        <f>_xlfn.XLOOKUP(C74,'Same Seller Hist'!E:E,'Same Seller Hist'!I:I)</f>
        <v>7.4961865761146399E+18</v>
      </c>
      <c r="F74" s="5" t="str">
        <f>_xlfn.XLOOKUP(C74,'Same Seller Hist'!E:E,'Same Seller Hist'!H:H)</f>
        <v>Plenitude Distribuidora</v>
      </c>
      <c r="G74" s="5" t="s">
        <v>906</v>
      </c>
      <c r="H74" s="19">
        <v>1494.1612903225807</v>
      </c>
      <c r="I74" s="19">
        <v>11406.269956249904</v>
      </c>
      <c r="J74" s="19">
        <f>_xlfn.IFNA(_xlfn.XLOOKUP(F74,'Fastmoss 500'!D:D,'Fastmoss 500'!O:O),0)</f>
        <v>241.93548387096774</v>
      </c>
      <c r="K74" s="19">
        <f>_xlfn.IFNA(_xlfn.XLOOKUP(F74,'Fastmoss 500'!D:D,'Fastmoss 500'!N:N),0)</f>
        <v>12609.677419354839</v>
      </c>
      <c r="L74" s="21" t="s">
        <v>2528</v>
      </c>
      <c r="M74" s="21" t="str">
        <f>IF(L74="Shp 500","Sim",IF(ISNA(_xlfn.XLOOKUP(C74,'Shp 500'!D:D,'Shp 500'!D:D)),"Não","Sim"))</f>
        <v>Sim</v>
      </c>
      <c r="N74" s="21" t="str">
        <f>IF(L74="Fastmoss 500","Sim",IF(ISNA(_xlfn.XLOOKUP(_xlfn.XLOOKUP(C74,'Same Seller Hist'!E:E,'Same Seller Hist'!H:H),'Fastmoss 500'!D:D,'Fastmoss 500'!D:D)),"Não","Sim"))</f>
        <v>Sim</v>
      </c>
      <c r="O74" s="21" t="str">
        <f>IF(AND(M74="Sim",N74="Sim"),"Sim","Não")</f>
        <v>Sim</v>
      </c>
      <c r="P74" s="21" t="str">
        <f>IF(I74&gt;K74,"Sim","Não")</f>
        <v>Não</v>
      </c>
      <c r="Q74" s="21">
        <f>COUNTIFS(C:C,C74)</f>
        <v>2</v>
      </c>
    </row>
    <row r="75" spans="3:17" hidden="1" x14ac:dyDescent="0.35">
      <c r="C75" s="5">
        <v>371728614</v>
      </c>
      <c r="D75" s="5" t="s">
        <v>1422</v>
      </c>
      <c r="E75" s="5">
        <f>_xlfn.XLOOKUP(C75,'Same Seller Hist'!E:E,'Same Seller Hist'!I:I)</f>
        <v>7.4961675134245601E+18</v>
      </c>
      <c r="F75" s="5" t="str">
        <f>_xlfn.XLOOKUP(C75,'Same Seller Hist'!E:E,'Same Seller Hist'!H:H)</f>
        <v>OSURE</v>
      </c>
      <c r="G75" s="5" t="s">
        <v>1734</v>
      </c>
      <c r="H75" s="19">
        <v>1486.6774193548354</v>
      </c>
      <c r="I75" s="19">
        <v>21942.516724913807</v>
      </c>
      <c r="J75" s="19">
        <f>_xlfn.IFNA(_xlfn.XLOOKUP(F75,'Fastmoss 500'!D:D,'Fastmoss 500'!O:O),0)</f>
        <v>0</v>
      </c>
      <c r="K75" s="19">
        <f>_xlfn.IFNA(_xlfn.XLOOKUP(F75,'Fastmoss 500'!D:D,'Fastmoss 500'!N:N),0)</f>
        <v>0</v>
      </c>
      <c r="L75" s="21" t="s">
        <v>2528</v>
      </c>
      <c r="M75" s="21" t="str">
        <f>IF(L75="Shp 500","Sim",IF(ISNA(_xlfn.XLOOKUP(C75,'Shp 500'!D:D,'Shp 500'!D:D)),"Não","Sim"))</f>
        <v>Sim</v>
      </c>
      <c r="N75" s="21" t="str">
        <f>IF(L75="Fastmoss 500","Sim",IF(ISNA(_xlfn.XLOOKUP(_xlfn.XLOOKUP(C75,'Same Seller Hist'!E:E,'Same Seller Hist'!H:H),'Fastmoss 500'!D:D,'Fastmoss 500'!D:D)),"Não","Sim"))</f>
        <v>Não</v>
      </c>
      <c r="O75" s="21" t="str">
        <f>IF(AND(M75="Sim",N75="Sim"),"Sim","Não")</f>
        <v>Não</v>
      </c>
      <c r="P75" s="21" t="str">
        <f>IF(I75&gt;K75,"Sim","Não")</f>
        <v>Sim</v>
      </c>
      <c r="Q75" s="21">
        <f>COUNTIFS(C:C,C75)</f>
        <v>1</v>
      </c>
    </row>
    <row r="76" spans="3:17" hidden="1" x14ac:dyDescent="0.35">
      <c r="C76" s="5">
        <v>305201598</v>
      </c>
      <c r="D76" s="5" t="s">
        <v>1423</v>
      </c>
      <c r="E76" s="5">
        <f>_xlfn.XLOOKUP(C76,'Same Seller Hist'!E:E,'Same Seller Hist'!I:I)</f>
        <v>7.4961809014760704E+18</v>
      </c>
      <c r="F76" s="5" t="str">
        <f>_xlfn.XLOOKUP(C76,'Same Seller Hist'!E:E,'Same Seller Hist'!H:H)</f>
        <v>ONE LIGHT SHOP BR</v>
      </c>
      <c r="G76" s="5" t="s">
        <v>1734</v>
      </c>
      <c r="H76" s="19">
        <v>1486.483870967742</v>
      </c>
      <c r="I76" s="19">
        <v>8039.4133484203221</v>
      </c>
      <c r="J76" s="19">
        <f>_xlfn.IFNA(_xlfn.XLOOKUP(F76,'Fastmoss 500'!D:D,'Fastmoss 500'!O:O),0)</f>
        <v>0</v>
      </c>
      <c r="K76" s="19">
        <f>_xlfn.IFNA(_xlfn.XLOOKUP(F76,'Fastmoss 500'!D:D,'Fastmoss 500'!N:N),0)</f>
        <v>0</v>
      </c>
      <c r="L76" s="21" t="s">
        <v>2528</v>
      </c>
      <c r="M76" s="21" t="str">
        <f>IF(L76="Shp 500","Sim",IF(ISNA(_xlfn.XLOOKUP(C76,'Shp 500'!D:D,'Shp 500'!D:D)),"Não","Sim"))</f>
        <v>Sim</v>
      </c>
      <c r="N76" s="21" t="str">
        <f>IF(L76="Fastmoss 500","Sim",IF(ISNA(_xlfn.XLOOKUP(_xlfn.XLOOKUP(C76,'Same Seller Hist'!E:E,'Same Seller Hist'!H:H),'Fastmoss 500'!D:D,'Fastmoss 500'!D:D)),"Não","Sim"))</f>
        <v>Não</v>
      </c>
      <c r="O76" s="21" t="str">
        <f>IF(AND(M76="Sim",N76="Sim"),"Sim","Não")</f>
        <v>Não</v>
      </c>
      <c r="P76" s="21" t="str">
        <f>IF(I76&gt;K76,"Sim","Não")</f>
        <v>Sim</v>
      </c>
      <c r="Q76" s="21">
        <f>COUNTIFS(C:C,C76)</f>
        <v>1</v>
      </c>
    </row>
    <row r="77" spans="3:17" hidden="1" x14ac:dyDescent="0.35">
      <c r="C77" s="5">
        <v>487505431</v>
      </c>
      <c r="D77" s="5" t="s">
        <v>1429</v>
      </c>
      <c r="E77" s="5">
        <f>_xlfn.XLOOKUP(C77,'Same Seller Hist'!E:E,'Same Seller Hist'!I:I)</f>
        <v>7.4961854504681103E+18</v>
      </c>
      <c r="F77" s="5" t="str">
        <f>_xlfn.XLOOKUP(C77,'Same Seller Hist'!E:E,'Same Seller Hist'!H:H)</f>
        <v>FU Moon</v>
      </c>
      <c r="G77" s="5" t="s">
        <v>1734</v>
      </c>
      <c r="H77" s="19">
        <v>1444.4516129032224</v>
      </c>
      <c r="I77" s="19">
        <v>6648.9025738931614</v>
      </c>
      <c r="J77" s="19">
        <f>_xlfn.IFNA(_xlfn.XLOOKUP(F77,'Fastmoss 500'!D:D,'Fastmoss 500'!O:O),0)</f>
        <v>0</v>
      </c>
      <c r="K77" s="19">
        <f>_xlfn.IFNA(_xlfn.XLOOKUP(F77,'Fastmoss 500'!D:D,'Fastmoss 500'!N:N),0)</f>
        <v>0</v>
      </c>
      <c r="L77" s="21" t="s">
        <v>2528</v>
      </c>
      <c r="M77" s="21" t="str">
        <f>IF(L77="Shp 500","Sim",IF(ISNA(_xlfn.XLOOKUP(C77,'Shp 500'!D:D,'Shp 500'!D:D)),"Não","Sim"))</f>
        <v>Sim</v>
      </c>
      <c r="N77" s="21" t="str">
        <f>IF(L77="Fastmoss 500","Sim",IF(ISNA(_xlfn.XLOOKUP(_xlfn.XLOOKUP(C77,'Same Seller Hist'!E:E,'Same Seller Hist'!H:H),'Fastmoss 500'!D:D,'Fastmoss 500'!D:D)),"Não","Sim"))</f>
        <v>Não</v>
      </c>
      <c r="O77" s="21" t="str">
        <f>IF(AND(M77="Sim",N77="Sim"),"Sim","Não")</f>
        <v>Não</v>
      </c>
      <c r="P77" s="21" t="str">
        <f>IF(I77&gt;K77,"Sim","Não")</f>
        <v>Sim</v>
      </c>
      <c r="Q77" s="21">
        <f>COUNTIFS(C:C,C77)</f>
        <v>1</v>
      </c>
    </row>
    <row r="78" spans="3:17" hidden="1" x14ac:dyDescent="0.35">
      <c r="C78" s="5">
        <v>294602625</v>
      </c>
      <c r="D78" s="5" t="s">
        <v>1430</v>
      </c>
      <c r="E78" s="5">
        <f>_xlfn.XLOOKUP(C78,'Same Seller Hist'!E:E,'Same Seller Hist'!I:I)</f>
        <v>7.4941680831005604E+18</v>
      </c>
      <c r="F78" s="5" t="str">
        <f>_xlfn.XLOOKUP(C78,'Same Seller Hist'!E:E,'Same Seller Hist'!H:H)</f>
        <v>Colina.shop</v>
      </c>
      <c r="G78" s="5" t="s">
        <v>905</v>
      </c>
      <c r="H78" s="19">
        <v>1437.516129032258</v>
      </c>
      <c r="I78" s="19">
        <v>5645.7252393388071</v>
      </c>
      <c r="J78" s="19">
        <f>_xlfn.IFNA(_xlfn.XLOOKUP(F78,'Fastmoss 500'!D:D,'Fastmoss 500'!O:O),0)</f>
        <v>0</v>
      </c>
      <c r="K78" s="19">
        <f>_xlfn.IFNA(_xlfn.XLOOKUP(F78,'Fastmoss 500'!D:D,'Fastmoss 500'!N:N),0)</f>
        <v>0</v>
      </c>
      <c r="L78" s="21" t="s">
        <v>2528</v>
      </c>
      <c r="M78" s="21" t="str">
        <f>IF(L78="Shp 500","Sim",IF(ISNA(_xlfn.XLOOKUP(C78,'Shp 500'!D:D,'Shp 500'!D:D)),"Não","Sim"))</f>
        <v>Sim</v>
      </c>
      <c r="N78" s="21" t="str">
        <f>IF(L78="Fastmoss 500","Sim",IF(ISNA(_xlfn.XLOOKUP(_xlfn.XLOOKUP(C78,'Same Seller Hist'!E:E,'Same Seller Hist'!H:H),'Fastmoss 500'!D:D,'Fastmoss 500'!D:D)),"Não","Sim"))</f>
        <v>Não</v>
      </c>
      <c r="O78" s="21" t="str">
        <f>IF(AND(M78="Sim",N78="Sim"),"Sim","Não")</f>
        <v>Não</v>
      </c>
      <c r="P78" s="21" t="str">
        <f>IF(I78&gt;K78,"Sim","Não")</f>
        <v>Sim</v>
      </c>
      <c r="Q78" s="21">
        <f>COUNTIFS(C:C,C78)</f>
        <v>1</v>
      </c>
    </row>
    <row r="79" spans="3:17" hidden="1" x14ac:dyDescent="0.35">
      <c r="C79" s="5">
        <v>384529520</v>
      </c>
      <c r="D79" s="5" t="s">
        <v>503</v>
      </c>
      <c r="E79" s="5">
        <f>_xlfn.XLOOKUP(C79,'Same Seller Hist'!E:E,'Same Seller Hist'!I:I)</f>
        <v>7.4961818676962601E+18</v>
      </c>
      <c r="F79" s="5" t="str">
        <f>_xlfn.XLOOKUP(C79,'Same Seller Hist'!E:E,'Same Seller Hist'!H:H)</f>
        <v>Ninipink Store</v>
      </c>
      <c r="G79" s="5" t="s">
        <v>1734</v>
      </c>
      <c r="H79" s="19">
        <v>1436.322580645158</v>
      </c>
      <c r="I79" s="19">
        <v>7309.1526937145481</v>
      </c>
      <c r="J79" s="19">
        <f>_xlfn.IFNA(_xlfn.XLOOKUP(F79,'Fastmoss 500'!D:D,'Fastmoss 500'!O:O),0)</f>
        <v>0</v>
      </c>
      <c r="K79" s="19">
        <f>_xlfn.IFNA(_xlfn.XLOOKUP(F79,'Fastmoss 500'!D:D,'Fastmoss 500'!N:N),0)</f>
        <v>0</v>
      </c>
      <c r="L79" s="21" t="s">
        <v>2528</v>
      </c>
      <c r="M79" s="21" t="str">
        <f>IF(L79="Shp 500","Sim",IF(ISNA(_xlfn.XLOOKUP(C79,'Shp 500'!D:D,'Shp 500'!D:D)),"Não","Sim"))</f>
        <v>Sim</v>
      </c>
      <c r="N79" s="21" t="str">
        <f>IF(L79="Fastmoss 500","Sim",IF(ISNA(_xlfn.XLOOKUP(_xlfn.XLOOKUP(C79,'Same Seller Hist'!E:E,'Same Seller Hist'!H:H),'Fastmoss 500'!D:D,'Fastmoss 500'!D:D)),"Não","Sim"))</f>
        <v>Não</v>
      </c>
      <c r="O79" s="21" t="str">
        <f>IF(AND(M79="Sim",N79="Sim"),"Sim","Não")</f>
        <v>Não</v>
      </c>
      <c r="P79" s="21" t="str">
        <f>IF(I79&gt;K79,"Sim","Não")</f>
        <v>Sim</v>
      </c>
      <c r="Q79" s="21">
        <f>COUNTIFS(C:C,C79)</f>
        <v>1</v>
      </c>
    </row>
    <row r="80" spans="3:17" hidden="1" x14ac:dyDescent="0.35">
      <c r="C80" s="5">
        <v>1101178064</v>
      </c>
      <c r="D80" s="5" t="s">
        <v>1436</v>
      </c>
      <c r="E80" s="5">
        <f>_xlfn.XLOOKUP(C80,'Same Seller Hist'!E:E,'Same Seller Hist'!I:I)</f>
        <v>7.4961820490297201E+18</v>
      </c>
      <c r="F80" s="5" t="str">
        <f>_xlfn.XLOOKUP(C80,'Same Seller Hist'!E:E,'Same Seller Hist'!H:H)</f>
        <v>JATOBRAZ BRASIL</v>
      </c>
      <c r="G80" s="5" t="s">
        <v>905</v>
      </c>
      <c r="H80" s="19">
        <v>1420.3870967741902</v>
      </c>
      <c r="I80" s="19">
        <v>9179.3450660007748</v>
      </c>
      <c r="J80" s="19">
        <f>_xlfn.IFNA(_xlfn.XLOOKUP(F80,'Fastmoss 500'!D:D,'Fastmoss 500'!O:O),0)</f>
        <v>0</v>
      </c>
      <c r="K80" s="19">
        <f>_xlfn.IFNA(_xlfn.XLOOKUP(F80,'Fastmoss 500'!D:D,'Fastmoss 500'!N:N),0)</f>
        <v>0</v>
      </c>
      <c r="L80" s="21" t="s">
        <v>2528</v>
      </c>
      <c r="M80" s="21" t="str">
        <f>IF(L80="Shp 500","Sim",IF(ISNA(_xlfn.XLOOKUP(C80,'Shp 500'!D:D,'Shp 500'!D:D)),"Não","Sim"))</f>
        <v>Sim</v>
      </c>
      <c r="N80" s="21" t="str">
        <f>IF(L80="Fastmoss 500","Sim",IF(ISNA(_xlfn.XLOOKUP(_xlfn.XLOOKUP(C80,'Same Seller Hist'!E:E,'Same Seller Hist'!H:H),'Fastmoss 500'!D:D,'Fastmoss 500'!D:D)),"Não","Sim"))</f>
        <v>Não</v>
      </c>
      <c r="O80" s="21" t="str">
        <f>IF(AND(M80="Sim",N80="Sim"),"Sim","Não")</f>
        <v>Não</v>
      </c>
      <c r="P80" s="21" t="str">
        <f>IF(I80&gt;K80,"Sim","Não")</f>
        <v>Sim</v>
      </c>
      <c r="Q80" s="21">
        <f>COUNTIFS(C:C,C80)</f>
        <v>1</v>
      </c>
    </row>
    <row r="81" spans="3:17" hidden="1" x14ac:dyDescent="0.35">
      <c r="C81" s="5">
        <v>301956567</v>
      </c>
      <c r="D81" s="5" t="s">
        <v>1437</v>
      </c>
      <c r="E81" s="5">
        <f>_xlfn.XLOOKUP(C81,'Same Seller Hist'!E:E,'Same Seller Hist'!I:I)</f>
        <v>7.4961902169755802E+18</v>
      </c>
      <c r="F81" s="5" t="str">
        <f>_xlfn.XLOOKUP(C81,'Same Seller Hist'!E:E,'Same Seller Hist'!H:H)</f>
        <v>KASPRIME</v>
      </c>
      <c r="G81" s="5" t="s">
        <v>1734</v>
      </c>
      <c r="H81" s="19">
        <v>1412.0967741935451</v>
      </c>
      <c r="I81" s="19">
        <v>3936.1361479060001</v>
      </c>
      <c r="J81" s="19">
        <f>_xlfn.IFNA(_xlfn.XLOOKUP(F81,'Fastmoss 500'!D:D,'Fastmoss 500'!O:O),0)</f>
        <v>0</v>
      </c>
      <c r="K81" s="19">
        <f>_xlfn.IFNA(_xlfn.XLOOKUP(F81,'Fastmoss 500'!D:D,'Fastmoss 500'!N:N),0)</f>
        <v>0</v>
      </c>
      <c r="L81" s="21" t="s">
        <v>2528</v>
      </c>
      <c r="M81" s="21" t="str">
        <f>IF(L81="Shp 500","Sim",IF(ISNA(_xlfn.XLOOKUP(C81,'Shp 500'!D:D,'Shp 500'!D:D)),"Não","Sim"))</f>
        <v>Sim</v>
      </c>
      <c r="N81" s="21" t="str">
        <f>IF(L81="Fastmoss 500","Sim",IF(ISNA(_xlfn.XLOOKUP(_xlfn.XLOOKUP(C81,'Same Seller Hist'!E:E,'Same Seller Hist'!H:H),'Fastmoss 500'!D:D,'Fastmoss 500'!D:D)),"Não","Sim"))</f>
        <v>Não</v>
      </c>
      <c r="O81" s="21" t="str">
        <f>IF(AND(M81="Sim",N81="Sim"),"Sim","Não")</f>
        <v>Não</v>
      </c>
      <c r="P81" s="21" t="str">
        <f>IF(I81&gt;K81,"Sim","Não")</f>
        <v>Sim</v>
      </c>
      <c r="Q81" s="21">
        <f>COUNTIFS(C:C,C81)</f>
        <v>1</v>
      </c>
    </row>
    <row r="82" spans="3:17" hidden="1" x14ac:dyDescent="0.35">
      <c r="C82" s="5">
        <v>442506479</v>
      </c>
      <c r="D82" s="5" t="s">
        <v>1439</v>
      </c>
      <c r="E82" s="5">
        <f>_xlfn.XLOOKUP(C82,'Same Seller Hist'!E:E,'Same Seller Hist'!I:I)</f>
        <v>7.4961867650095196E+18</v>
      </c>
      <c r="F82" s="5" t="str">
        <f>_xlfn.XLOOKUP(C82,'Same Seller Hist'!E:E,'Same Seller Hist'!H:H)</f>
        <v>Brester Brasil</v>
      </c>
      <c r="G82" s="5" t="s">
        <v>905</v>
      </c>
      <c r="H82" s="19">
        <v>1409.2580645161258</v>
      </c>
      <c r="I82" s="19">
        <v>17888.046600505226</v>
      </c>
      <c r="J82" s="19">
        <f>_xlfn.IFNA(_xlfn.XLOOKUP(F82,'Fastmoss 500'!D:D,'Fastmoss 500'!O:O),0)</f>
        <v>0</v>
      </c>
      <c r="K82" s="19">
        <f>_xlfn.IFNA(_xlfn.XLOOKUP(F82,'Fastmoss 500'!D:D,'Fastmoss 500'!N:N),0)</f>
        <v>0</v>
      </c>
      <c r="L82" s="21" t="s">
        <v>2528</v>
      </c>
      <c r="M82" s="21" t="str">
        <f>IF(L82="Shp 500","Sim",IF(ISNA(_xlfn.XLOOKUP(C82,'Shp 500'!D:D,'Shp 500'!D:D)),"Não","Sim"))</f>
        <v>Sim</v>
      </c>
      <c r="N82" s="21" t="str">
        <f>IF(L82="Fastmoss 500","Sim",IF(ISNA(_xlfn.XLOOKUP(_xlfn.XLOOKUP(C82,'Same Seller Hist'!E:E,'Same Seller Hist'!H:H),'Fastmoss 500'!D:D,'Fastmoss 500'!D:D)),"Não","Sim"))</f>
        <v>Não</v>
      </c>
      <c r="O82" s="21" t="str">
        <f>IF(AND(M82="Sim",N82="Sim"),"Sim","Não")</f>
        <v>Não</v>
      </c>
      <c r="P82" s="21" t="str">
        <f>IF(I82&gt;K82,"Sim","Não")</f>
        <v>Sim</v>
      </c>
      <c r="Q82" s="21">
        <f>COUNTIFS(C:C,C82)</f>
        <v>1</v>
      </c>
    </row>
    <row r="83" spans="3:17" hidden="1" x14ac:dyDescent="0.35">
      <c r="C83" s="5">
        <v>394786209</v>
      </c>
      <c r="D83" s="5" t="s">
        <v>524</v>
      </c>
      <c r="E83" s="5">
        <f>_xlfn.XLOOKUP(C83,'Same Seller Hist'!E:E,'Same Seller Hist'!I:I)</f>
        <v>7.49617909530385E+18</v>
      </c>
      <c r="F83" s="5" t="str">
        <f>_xlfn.XLOOKUP(C83,'Same Seller Hist'!E:E,'Same Seller Hist'!H:H)</f>
        <v>big-joia</v>
      </c>
      <c r="G83" s="5" t="s">
        <v>1734</v>
      </c>
      <c r="H83" s="19">
        <v>1387.9354838709678</v>
      </c>
      <c r="I83" s="19">
        <v>4418.7463039849672</v>
      </c>
      <c r="J83" s="19">
        <f>_xlfn.IFNA(_xlfn.XLOOKUP(F83,'Fastmoss 500'!D:D,'Fastmoss 500'!O:O),0)</f>
        <v>0</v>
      </c>
      <c r="K83" s="19">
        <f>_xlfn.IFNA(_xlfn.XLOOKUP(F83,'Fastmoss 500'!D:D,'Fastmoss 500'!N:N),0)</f>
        <v>0</v>
      </c>
      <c r="L83" s="21" t="s">
        <v>2528</v>
      </c>
      <c r="M83" s="21" t="str">
        <f>IF(L83="Shp 500","Sim",IF(ISNA(_xlfn.XLOOKUP(C83,'Shp 500'!D:D,'Shp 500'!D:D)),"Não","Sim"))</f>
        <v>Sim</v>
      </c>
      <c r="N83" s="21" t="str">
        <f>IF(L83="Fastmoss 500","Sim",IF(ISNA(_xlfn.XLOOKUP(_xlfn.XLOOKUP(C83,'Same Seller Hist'!E:E,'Same Seller Hist'!H:H),'Fastmoss 500'!D:D,'Fastmoss 500'!D:D)),"Não","Sim"))</f>
        <v>Não</v>
      </c>
      <c r="O83" s="21" t="str">
        <f>IF(AND(M83="Sim",N83="Sim"),"Sim","Não")</f>
        <v>Não</v>
      </c>
      <c r="P83" s="21" t="str">
        <f>IF(I83&gt;K83,"Sim","Não")</f>
        <v>Sim</v>
      </c>
      <c r="Q83" s="21">
        <f>COUNTIFS(C:C,C83)</f>
        <v>1</v>
      </c>
    </row>
    <row r="84" spans="3:17" hidden="1" x14ac:dyDescent="0.35">
      <c r="C84" s="5">
        <v>389806204</v>
      </c>
      <c r="D84" s="5" t="s">
        <v>510</v>
      </c>
      <c r="E84" s="5">
        <f>_xlfn.XLOOKUP(C84,'Same Seller Hist'!E:E,'Same Seller Hist'!I:I)</f>
        <v>7.4942531326721004E+18</v>
      </c>
      <c r="F84" s="5" t="str">
        <f>_xlfn.XLOOKUP(C84,'Same Seller Hist'!E:E,'Same Seller Hist'!H:H)</f>
        <v>Vancron</v>
      </c>
      <c r="G84" s="5" t="s">
        <v>1734</v>
      </c>
      <c r="H84" s="19">
        <v>1380.6774193548354</v>
      </c>
      <c r="I84" s="19">
        <v>13734.0128437</v>
      </c>
      <c r="J84" s="19">
        <f>_xlfn.IFNA(_xlfn.XLOOKUP(F84,'Fastmoss 500'!D:D,'Fastmoss 500'!O:O),0)</f>
        <v>0</v>
      </c>
      <c r="K84" s="19">
        <f>_xlfn.IFNA(_xlfn.XLOOKUP(F84,'Fastmoss 500'!D:D,'Fastmoss 500'!N:N),0)</f>
        <v>0</v>
      </c>
      <c r="L84" s="21" t="s">
        <v>2528</v>
      </c>
      <c r="M84" s="21" t="str">
        <f>IF(L84="Shp 500","Sim",IF(ISNA(_xlfn.XLOOKUP(C84,'Shp 500'!D:D,'Shp 500'!D:D)),"Não","Sim"))</f>
        <v>Sim</v>
      </c>
      <c r="N84" s="21" t="str">
        <f>IF(L84="Fastmoss 500","Sim",IF(ISNA(_xlfn.XLOOKUP(_xlfn.XLOOKUP(C84,'Same Seller Hist'!E:E,'Same Seller Hist'!H:H),'Fastmoss 500'!D:D,'Fastmoss 500'!D:D)),"Não","Sim"))</f>
        <v>Não</v>
      </c>
      <c r="O84" s="21" t="str">
        <f>IF(AND(M84="Sim",N84="Sim"),"Sim","Não")</f>
        <v>Não</v>
      </c>
      <c r="P84" s="21" t="str">
        <f>IF(I84&gt;K84,"Sim","Não")</f>
        <v>Sim</v>
      </c>
      <c r="Q84" s="21">
        <f>COUNTIFS(C:C,C84)</f>
        <v>1</v>
      </c>
    </row>
    <row r="85" spans="3:17" x14ac:dyDescent="0.35">
      <c r="C85" s="5">
        <f>_xlfn.XLOOKUP(F85,'Same Seller Hist'!H:H,'Same Seller Hist'!E:E)</f>
        <v>400905650</v>
      </c>
      <c r="D85" s="5" t="str">
        <f>_xlfn.XLOOKUP(F85,'Same Seller Hist'!H:H,'Same Seller Hist'!D:D)</f>
        <v>Plenitude Distribuidora</v>
      </c>
      <c r="E85" s="5">
        <f>_xlfn.XLOOKUP(F85,'Same Seller Hist'!H:H,'Same Seller Hist'!I:I)</f>
        <v>7.4961865761146399E+18</v>
      </c>
      <c r="F85" s="5" t="s">
        <v>531</v>
      </c>
      <c r="G85" s="5" t="str">
        <f>_xlfn.XLOOKUP(C85,'Same Seller Hist'!E:E,'Same Seller Hist'!F:F)</f>
        <v>FMCG</v>
      </c>
      <c r="H85" s="19">
        <f>_xlfn.IFNA(_xlfn.XLOOKUP(C85,'Shp 500'!D:D,'Shp 500'!I:I),0)</f>
        <v>1494.1612903225807</v>
      </c>
      <c r="I85" s="19">
        <f>_xlfn.IFNA(_xlfn.XLOOKUP(C85,'Shp 500'!D:D,'Shp 500'!J:J),0)</f>
        <v>11406.269956249904</v>
      </c>
      <c r="J85" s="19">
        <v>241.93548387096774</v>
      </c>
      <c r="K85" s="19">
        <v>12609.677419354839</v>
      </c>
      <c r="L85" s="21" t="s">
        <v>2530</v>
      </c>
      <c r="M85" s="21" t="str">
        <f>IF(L85="Shp 500","Sim",IF(ISNA(_xlfn.XLOOKUP(C85,'Shp 500'!D:D,'Shp 500'!D:D)),"Não","Sim"))</f>
        <v>Sim</v>
      </c>
      <c r="N85" s="21" t="str">
        <f>IF(L85="Fastmoss 500","Sim",IF(ISNA(_xlfn.XLOOKUP(_xlfn.XLOOKUP(C85,'Same Seller Hist'!E:E,'Same Seller Hist'!H:H),'Fastmoss 500'!D:D,'Fastmoss 500'!D:D)),"Não","Sim"))</f>
        <v>Sim</v>
      </c>
      <c r="O85" s="21" t="str">
        <f>IF(AND(M85="Sim",N85="Sim"),"Sim","Não")</f>
        <v>Sim</v>
      </c>
      <c r="P85" s="21" t="str">
        <f>IF(I85&gt;K85,"Sim","Não")</f>
        <v>Não</v>
      </c>
      <c r="Q85" s="21">
        <f>COUNTIFS(C:C,C85)</f>
        <v>2</v>
      </c>
    </row>
    <row r="86" spans="3:17" hidden="1" x14ac:dyDescent="0.35">
      <c r="C86" s="5">
        <v>1099068336</v>
      </c>
      <c r="D86" s="5" t="s">
        <v>1445</v>
      </c>
      <c r="E86" s="5">
        <f>_xlfn.XLOOKUP(C86,'Same Seller Hist'!E:E,'Same Seller Hist'!I:I)</f>
        <v>7.4961818907543101E+18</v>
      </c>
      <c r="F86" s="5" t="str">
        <f>_xlfn.XLOOKUP(C86,'Same Seller Hist'!E:E,'Same Seller Hist'!H:H)</f>
        <v>Estou Crescendo</v>
      </c>
      <c r="G86" s="5" t="s">
        <v>904</v>
      </c>
      <c r="H86" s="19">
        <v>1371.7096774193515</v>
      </c>
      <c r="I86" s="19">
        <v>7936.3226848881613</v>
      </c>
      <c r="J86" s="19">
        <f>_xlfn.IFNA(_xlfn.XLOOKUP(F86,'Fastmoss 500'!D:D,'Fastmoss 500'!O:O),0)</f>
        <v>0</v>
      </c>
      <c r="K86" s="19">
        <f>_xlfn.IFNA(_xlfn.XLOOKUP(F86,'Fastmoss 500'!D:D,'Fastmoss 500'!N:N),0)</f>
        <v>0</v>
      </c>
      <c r="L86" s="21" t="s">
        <v>2528</v>
      </c>
      <c r="M86" s="21" t="str">
        <f>IF(L86="Shp 500","Sim",IF(ISNA(_xlfn.XLOOKUP(C86,'Shp 500'!D:D,'Shp 500'!D:D)),"Não","Sim"))</f>
        <v>Sim</v>
      </c>
      <c r="N86" s="21" t="str">
        <f>IF(L86="Fastmoss 500","Sim",IF(ISNA(_xlfn.XLOOKUP(_xlfn.XLOOKUP(C86,'Same Seller Hist'!E:E,'Same Seller Hist'!H:H),'Fastmoss 500'!D:D,'Fastmoss 500'!D:D)),"Não","Sim"))</f>
        <v>Não</v>
      </c>
      <c r="O86" s="21" t="str">
        <f>IF(AND(M86="Sim",N86="Sim"),"Sim","Não")</f>
        <v>Não</v>
      </c>
      <c r="P86" s="21" t="str">
        <f>IF(I86&gt;K86,"Sim","Não")</f>
        <v>Sim</v>
      </c>
      <c r="Q86" s="21">
        <f>COUNTIFS(C:C,C86)</f>
        <v>1</v>
      </c>
    </row>
    <row r="87" spans="3:17" x14ac:dyDescent="0.35">
      <c r="C87" s="5">
        <v>401609924</v>
      </c>
      <c r="D87" s="5" t="s">
        <v>1618</v>
      </c>
      <c r="E87" s="5">
        <f>_xlfn.XLOOKUP(C87,'Same Seller Hist'!E:E,'Same Seller Hist'!I:I)</f>
        <v>7.4961822006128497E+18</v>
      </c>
      <c r="F87" s="5" t="str">
        <f>_xlfn.XLOOKUP(C87,'Same Seller Hist'!E:E,'Same Seller Hist'!H:H)</f>
        <v>ALICE BEAUTY BR</v>
      </c>
      <c r="G87" s="5" t="s">
        <v>1734</v>
      </c>
      <c r="H87" s="19">
        <v>960.03225806451292</v>
      </c>
      <c r="I87" s="19">
        <v>4019.7777402218712</v>
      </c>
      <c r="J87" s="19">
        <f>_xlfn.IFNA(_xlfn.XLOOKUP(F87,'Fastmoss 500'!D:D,'Fastmoss 500'!O:O),0)</f>
        <v>319.35483870967744</v>
      </c>
      <c r="K87" s="19">
        <f>_xlfn.IFNA(_xlfn.XLOOKUP(F87,'Fastmoss 500'!D:D,'Fastmoss 500'!N:N),0)</f>
        <v>8648.3870967741932</v>
      </c>
      <c r="L87" s="21" t="s">
        <v>2528</v>
      </c>
      <c r="M87" s="21" t="str">
        <f>IF(L87="Shp 500","Sim",IF(ISNA(_xlfn.XLOOKUP(C87,'Shp 500'!D:D,'Shp 500'!D:D)),"Não","Sim"))</f>
        <v>Sim</v>
      </c>
      <c r="N87" s="21" t="str">
        <f>IF(L87="Fastmoss 500","Sim",IF(ISNA(_xlfn.XLOOKUP(_xlfn.XLOOKUP(C87,'Same Seller Hist'!E:E,'Same Seller Hist'!H:H),'Fastmoss 500'!D:D,'Fastmoss 500'!D:D)),"Não","Sim"))</f>
        <v>Sim</v>
      </c>
      <c r="O87" s="21" t="str">
        <f>IF(AND(M87="Sim",N87="Sim"),"Sim","Não")</f>
        <v>Sim</v>
      </c>
      <c r="P87" s="21" t="str">
        <f>IF(I87&gt;K87,"Sim","Não")</f>
        <v>Não</v>
      </c>
      <c r="Q87" s="21">
        <f>COUNTIFS(C:C,C87)</f>
        <v>2</v>
      </c>
    </row>
    <row r="88" spans="3:17" x14ac:dyDescent="0.35">
      <c r="C88" s="5">
        <f>_xlfn.XLOOKUP(F88,'Same Seller Hist'!H:H,'Same Seller Hist'!E:E)</f>
        <v>401609924</v>
      </c>
      <c r="D88" s="5" t="str">
        <f>_xlfn.XLOOKUP(F88,'Same Seller Hist'!H:H,'Same Seller Hist'!D:D)</f>
        <v>ALICE BEAUTY BR</v>
      </c>
      <c r="E88" s="5">
        <f>_xlfn.XLOOKUP(F88,'Same Seller Hist'!H:H,'Same Seller Hist'!I:I)</f>
        <v>7.4961822006128497E+18</v>
      </c>
      <c r="F88" s="5" t="s">
        <v>533</v>
      </c>
      <c r="G88" s="5" t="str">
        <f>_xlfn.XLOOKUP(C88,'Same Seller Hist'!E:E,'Same Seller Hist'!F:F)</f>
        <v>FMCG</v>
      </c>
      <c r="H88" s="19">
        <f>_xlfn.IFNA(_xlfn.XLOOKUP(C88,'Shp 500'!D:D,'Shp 500'!I:I),0)</f>
        <v>960.03225806451292</v>
      </c>
      <c r="I88" s="19">
        <f>_xlfn.IFNA(_xlfn.XLOOKUP(C88,'Shp 500'!D:D,'Shp 500'!J:J),0)</f>
        <v>4019.7777402218712</v>
      </c>
      <c r="J88" s="19">
        <v>319.35483870967744</v>
      </c>
      <c r="K88" s="19">
        <v>8648.3870967741932</v>
      </c>
      <c r="L88" s="21" t="s">
        <v>2530</v>
      </c>
      <c r="M88" s="21" t="str">
        <f>IF(L88="Shp 500","Sim",IF(ISNA(_xlfn.XLOOKUP(C88,'Shp 500'!D:D,'Shp 500'!D:D)),"Não","Sim"))</f>
        <v>Sim</v>
      </c>
      <c r="N88" s="21" t="str">
        <f>IF(L88="Fastmoss 500","Sim",IF(ISNA(_xlfn.XLOOKUP(_xlfn.XLOOKUP(C88,'Same Seller Hist'!E:E,'Same Seller Hist'!H:H),'Fastmoss 500'!D:D,'Fastmoss 500'!D:D)),"Não","Sim"))</f>
        <v>Sim</v>
      </c>
      <c r="O88" s="21" t="str">
        <f>IF(AND(M88="Sim",N88="Sim"),"Sim","Não")</f>
        <v>Sim</v>
      </c>
      <c r="P88" s="21" t="str">
        <f>IF(I88&gt;K88,"Sim","Não")</f>
        <v>Não</v>
      </c>
      <c r="Q88" s="21">
        <f>COUNTIFS(C:C,C88)</f>
        <v>2</v>
      </c>
    </row>
    <row r="89" spans="3:17" hidden="1" x14ac:dyDescent="0.35">
      <c r="C89" s="5">
        <v>1033215079</v>
      </c>
      <c r="D89" s="5" t="s">
        <v>1455</v>
      </c>
      <c r="E89" s="5">
        <f>_xlfn.XLOOKUP(C89,'Same Seller Hist'!E:E,'Same Seller Hist'!I:I)</f>
        <v>7.4961622046494904E+18</v>
      </c>
      <c r="F89" s="5" t="str">
        <f>_xlfn.XLOOKUP(C89,'Same Seller Hist'!E:E,'Same Seller Hist'!H:H)</f>
        <v>HerberT TK</v>
      </c>
      <c r="G89" s="5" t="s">
        <v>1734</v>
      </c>
      <c r="H89" s="19">
        <v>1339.8064516129032</v>
      </c>
      <c r="I89" s="19">
        <v>11320.565129940613</v>
      </c>
      <c r="J89" s="19">
        <f>_xlfn.IFNA(_xlfn.XLOOKUP(F89,'Fastmoss 500'!D:D,'Fastmoss 500'!O:O),0)</f>
        <v>0</v>
      </c>
      <c r="K89" s="19">
        <f>_xlfn.IFNA(_xlfn.XLOOKUP(F89,'Fastmoss 500'!D:D,'Fastmoss 500'!N:N),0)</f>
        <v>0</v>
      </c>
      <c r="L89" s="21" t="s">
        <v>2528</v>
      </c>
      <c r="M89" s="21" t="str">
        <f>IF(L89="Shp 500","Sim",IF(ISNA(_xlfn.XLOOKUP(C89,'Shp 500'!D:D,'Shp 500'!D:D)),"Não","Sim"))</f>
        <v>Sim</v>
      </c>
      <c r="N89" s="21" t="str">
        <f>IF(L89="Fastmoss 500","Sim",IF(ISNA(_xlfn.XLOOKUP(_xlfn.XLOOKUP(C89,'Same Seller Hist'!E:E,'Same Seller Hist'!H:H),'Fastmoss 500'!D:D,'Fastmoss 500'!D:D)),"Não","Sim"))</f>
        <v>Não</v>
      </c>
      <c r="O89" s="21" t="str">
        <f>IF(AND(M89="Sim",N89="Sim"),"Sim","Não")</f>
        <v>Não</v>
      </c>
      <c r="P89" s="21" t="str">
        <f>IF(I89&gt;K89,"Sim","Não")</f>
        <v>Sim</v>
      </c>
      <c r="Q89" s="21">
        <f>COUNTIFS(C:C,C89)</f>
        <v>1</v>
      </c>
    </row>
    <row r="90" spans="3:17" hidden="1" x14ac:dyDescent="0.35">
      <c r="C90" s="5">
        <v>359240167</v>
      </c>
      <c r="D90" s="5" t="s">
        <v>1457</v>
      </c>
      <c r="E90" s="5">
        <f>_xlfn.XLOOKUP(C90,'Same Seller Hist'!E:E,'Same Seller Hist'!I:I)</f>
        <v>7.4961820762513398E+18</v>
      </c>
      <c r="F90" s="5" t="str">
        <f>_xlfn.XLOOKUP(C90,'Same Seller Hist'!E:E,'Same Seller Hist'!H:H)</f>
        <v>RIO BAZAR ATACADO</v>
      </c>
      <c r="G90" s="5" t="s">
        <v>1734</v>
      </c>
      <c r="H90" s="19">
        <v>1335.2258064516129</v>
      </c>
      <c r="I90" s="19">
        <v>5283.6509312222252</v>
      </c>
      <c r="J90" s="19">
        <f>_xlfn.IFNA(_xlfn.XLOOKUP(F90,'Fastmoss 500'!D:D,'Fastmoss 500'!O:O),0)</f>
        <v>0</v>
      </c>
      <c r="K90" s="19">
        <f>_xlfn.IFNA(_xlfn.XLOOKUP(F90,'Fastmoss 500'!D:D,'Fastmoss 500'!N:N),0)</f>
        <v>0</v>
      </c>
      <c r="L90" s="21" t="s">
        <v>2528</v>
      </c>
      <c r="M90" s="21" t="str">
        <f>IF(L90="Shp 500","Sim",IF(ISNA(_xlfn.XLOOKUP(C90,'Shp 500'!D:D,'Shp 500'!D:D)),"Não","Sim"))</f>
        <v>Sim</v>
      </c>
      <c r="N90" s="21" t="str">
        <f>IF(L90="Fastmoss 500","Sim",IF(ISNA(_xlfn.XLOOKUP(_xlfn.XLOOKUP(C90,'Same Seller Hist'!E:E,'Same Seller Hist'!H:H),'Fastmoss 500'!D:D,'Fastmoss 500'!D:D)),"Não","Sim"))</f>
        <v>Não</v>
      </c>
      <c r="O90" s="21" t="str">
        <f>IF(AND(M90="Sim",N90="Sim"),"Sim","Não")</f>
        <v>Não</v>
      </c>
      <c r="P90" s="21" t="str">
        <f>IF(I90&gt;K90,"Sim","Não")</f>
        <v>Sim</v>
      </c>
      <c r="Q90" s="21">
        <f>COUNTIFS(C:C,C90)</f>
        <v>1</v>
      </c>
    </row>
    <row r="91" spans="3:17" x14ac:dyDescent="0.35">
      <c r="C91" s="5">
        <v>406098813</v>
      </c>
      <c r="D91" s="5" t="s">
        <v>1669</v>
      </c>
      <c r="E91" s="5">
        <f>_xlfn.XLOOKUP(C91,'Same Seller Hist'!E:E,'Same Seller Hist'!I:I)</f>
        <v>7.4962608112056003E+18</v>
      </c>
      <c r="F91" s="5" t="str">
        <f>_xlfn.XLOOKUP(C91,'Same Seller Hist'!E:E,'Same Seller Hist'!H:H)</f>
        <v>Fbo.store</v>
      </c>
      <c r="G91" s="5" t="s">
        <v>1734</v>
      </c>
      <c r="H91" s="19">
        <v>877.67741935483866</v>
      </c>
      <c r="I91" s="19">
        <v>8582.4831771782901</v>
      </c>
      <c r="J91" s="19">
        <f>_xlfn.IFNA(_xlfn.XLOOKUP(F91,'Fastmoss 500'!D:D,'Fastmoss 500'!O:O),0)</f>
        <v>361.29032258064518</v>
      </c>
      <c r="K91" s="19">
        <f>_xlfn.IFNA(_xlfn.XLOOKUP(F91,'Fastmoss 500'!D:D,'Fastmoss 500'!N:N),0)</f>
        <v>12112.903225806451</v>
      </c>
      <c r="L91" s="21" t="s">
        <v>2528</v>
      </c>
      <c r="M91" s="21" t="str">
        <f>IF(L91="Shp 500","Sim",IF(ISNA(_xlfn.XLOOKUP(C91,'Shp 500'!D:D,'Shp 500'!D:D)),"Não","Sim"))</f>
        <v>Sim</v>
      </c>
      <c r="N91" s="21" t="str">
        <f>IF(L91="Fastmoss 500","Sim",IF(ISNA(_xlfn.XLOOKUP(_xlfn.XLOOKUP(C91,'Same Seller Hist'!E:E,'Same Seller Hist'!H:H),'Fastmoss 500'!D:D,'Fastmoss 500'!D:D)),"Não","Sim"))</f>
        <v>Sim</v>
      </c>
      <c r="O91" s="21" t="str">
        <f>IF(AND(M91="Sim",N91="Sim"),"Sim","Não")</f>
        <v>Sim</v>
      </c>
      <c r="P91" s="21" t="str">
        <f>IF(I91&gt;K91,"Sim","Não")</f>
        <v>Não</v>
      </c>
      <c r="Q91" s="21">
        <f>COUNTIFS(C:C,C91)</f>
        <v>2</v>
      </c>
    </row>
    <row r="92" spans="3:17" hidden="1" x14ac:dyDescent="0.35">
      <c r="C92" s="5">
        <v>445163047</v>
      </c>
      <c r="D92" s="5" t="s">
        <v>1465</v>
      </c>
      <c r="E92" s="5">
        <f>_xlfn.XLOOKUP(C92,'Same Seller Hist'!E:E,'Same Seller Hist'!I:I)</f>
        <v>7.4941996957521295E+18</v>
      </c>
      <c r="F92" s="5" t="str">
        <f>_xlfn.XLOOKUP(C92,'Same Seller Hist'!E:E,'Same Seller Hist'!H:H)</f>
        <v>Domus Utilidades</v>
      </c>
      <c r="G92" s="5" t="s">
        <v>905</v>
      </c>
      <c r="H92" s="19">
        <v>1289.516129032258</v>
      </c>
      <c r="I92" s="19">
        <v>37754.633073138713</v>
      </c>
      <c r="J92" s="19">
        <f>_xlfn.IFNA(_xlfn.XLOOKUP(F92,'Fastmoss 500'!D:D,'Fastmoss 500'!O:O),0)</f>
        <v>0</v>
      </c>
      <c r="K92" s="19">
        <f>_xlfn.IFNA(_xlfn.XLOOKUP(F92,'Fastmoss 500'!D:D,'Fastmoss 500'!N:N),0)</f>
        <v>0</v>
      </c>
      <c r="L92" s="21" t="s">
        <v>2528</v>
      </c>
      <c r="M92" s="21" t="str">
        <f>IF(L92="Shp 500","Sim",IF(ISNA(_xlfn.XLOOKUP(C92,'Shp 500'!D:D,'Shp 500'!D:D)),"Não","Sim"))</f>
        <v>Sim</v>
      </c>
      <c r="N92" s="21" t="str">
        <f>IF(L92="Fastmoss 500","Sim",IF(ISNA(_xlfn.XLOOKUP(_xlfn.XLOOKUP(C92,'Same Seller Hist'!E:E,'Same Seller Hist'!H:H),'Fastmoss 500'!D:D,'Fastmoss 500'!D:D)),"Não","Sim"))</f>
        <v>Não</v>
      </c>
      <c r="O92" s="21" t="str">
        <f>IF(AND(M92="Sim",N92="Sim"),"Sim","Não")</f>
        <v>Não</v>
      </c>
      <c r="P92" s="21" t="str">
        <f>IF(I92&gt;K92,"Sim","Não")</f>
        <v>Sim</v>
      </c>
      <c r="Q92" s="21">
        <f>COUNTIFS(C:C,C92)</f>
        <v>1</v>
      </c>
    </row>
    <row r="93" spans="3:17" hidden="1" x14ac:dyDescent="0.35">
      <c r="C93" s="5">
        <v>1278493331</v>
      </c>
      <c r="D93" s="5" t="s">
        <v>1471</v>
      </c>
      <c r="E93" s="5">
        <f>_xlfn.XLOOKUP(C93,'Same Seller Hist'!E:E,'Same Seller Hist'!I:I)</f>
        <v>7.4941168850322995E+18</v>
      </c>
      <c r="F93" s="5" t="str">
        <f>_xlfn.XLOOKUP(C93,'Same Seller Hist'!E:E,'Same Seller Hist'!H:H)</f>
        <v>Casa Full Utilidades Ltda</v>
      </c>
      <c r="G93" s="5" t="s">
        <v>1734</v>
      </c>
      <c r="H93" s="19">
        <v>1278.1290322580646</v>
      </c>
      <c r="I93" s="19">
        <v>6577.2764696790646</v>
      </c>
      <c r="J93" s="19">
        <f>_xlfn.IFNA(_xlfn.XLOOKUP(F93,'Fastmoss 500'!D:D,'Fastmoss 500'!O:O),0)</f>
        <v>0</v>
      </c>
      <c r="K93" s="19">
        <f>_xlfn.IFNA(_xlfn.XLOOKUP(F93,'Fastmoss 500'!D:D,'Fastmoss 500'!N:N),0)</f>
        <v>0</v>
      </c>
      <c r="L93" s="21" t="s">
        <v>2528</v>
      </c>
      <c r="M93" s="21" t="str">
        <f>IF(L93="Shp 500","Sim",IF(ISNA(_xlfn.XLOOKUP(C93,'Shp 500'!D:D,'Shp 500'!D:D)),"Não","Sim"))</f>
        <v>Sim</v>
      </c>
      <c r="N93" s="21" t="str">
        <f>IF(L93="Fastmoss 500","Sim",IF(ISNA(_xlfn.XLOOKUP(_xlfn.XLOOKUP(C93,'Same Seller Hist'!E:E,'Same Seller Hist'!H:H),'Fastmoss 500'!D:D,'Fastmoss 500'!D:D)),"Não","Sim"))</f>
        <v>Não</v>
      </c>
      <c r="O93" s="21" t="str">
        <f>IF(AND(M93="Sim",N93="Sim"),"Sim","Não")</f>
        <v>Não</v>
      </c>
      <c r="P93" s="21" t="str">
        <f>IF(I93&gt;K93,"Sim","Não")</f>
        <v>Sim</v>
      </c>
      <c r="Q93" s="21">
        <f>COUNTIFS(C:C,C93)</f>
        <v>1</v>
      </c>
    </row>
    <row r="94" spans="3:17" hidden="1" x14ac:dyDescent="0.35">
      <c r="C94" s="5">
        <v>570502401</v>
      </c>
      <c r="D94" s="5" t="s">
        <v>1473</v>
      </c>
      <c r="E94" s="5">
        <f>_xlfn.XLOOKUP(C94,'Same Seller Hist'!E:E,'Same Seller Hist'!I:I)</f>
        <v>7.4942185226994596E+18</v>
      </c>
      <c r="F94" s="5" t="str">
        <f>_xlfn.XLOOKUP(C94,'Same Seller Hist'!E:E,'Same Seller Hist'!H:H)</f>
        <v>Bella Veste Moda Shop</v>
      </c>
      <c r="G94" s="5" t="s">
        <v>903</v>
      </c>
      <c r="H94" s="19">
        <v>1266.516129032258</v>
      </c>
      <c r="I94" s="19">
        <v>4357.18500269171</v>
      </c>
      <c r="J94" s="19">
        <f>_xlfn.IFNA(_xlfn.XLOOKUP(F94,'Fastmoss 500'!D:D,'Fastmoss 500'!O:O),0)</f>
        <v>0</v>
      </c>
      <c r="K94" s="19">
        <f>_xlfn.IFNA(_xlfn.XLOOKUP(F94,'Fastmoss 500'!D:D,'Fastmoss 500'!N:N),0)</f>
        <v>0</v>
      </c>
      <c r="L94" s="21" t="s">
        <v>2528</v>
      </c>
      <c r="M94" s="21" t="str">
        <f>IF(L94="Shp 500","Sim",IF(ISNA(_xlfn.XLOOKUP(C94,'Shp 500'!D:D,'Shp 500'!D:D)),"Não","Sim"))</f>
        <v>Sim</v>
      </c>
      <c r="N94" s="21" t="str">
        <f>IF(L94="Fastmoss 500","Sim",IF(ISNA(_xlfn.XLOOKUP(_xlfn.XLOOKUP(C94,'Same Seller Hist'!E:E,'Same Seller Hist'!H:H),'Fastmoss 500'!D:D,'Fastmoss 500'!D:D)),"Não","Sim"))</f>
        <v>Não</v>
      </c>
      <c r="O94" s="21" t="str">
        <f>IF(AND(M94="Sim",N94="Sim"),"Sim","Não")</f>
        <v>Não</v>
      </c>
      <c r="P94" s="21" t="str">
        <f>IF(I94&gt;K94,"Sim","Não")</f>
        <v>Sim</v>
      </c>
      <c r="Q94" s="21">
        <f>COUNTIFS(C:C,C94)</f>
        <v>1</v>
      </c>
    </row>
    <row r="95" spans="3:17" hidden="1" x14ac:dyDescent="0.35">
      <c r="C95" s="5">
        <v>436723291</v>
      </c>
      <c r="D95" s="5" t="s">
        <v>1478</v>
      </c>
      <c r="E95" s="5">
        <f>_xlfn.XLOOKUP(C95,'Same Seller Hist'!E:E,'Same Seller Hist'!I:I)</f>
        <v>7.4961819526650604E+18</v>
      </c>
      <c r="F95" s="5" t="str">
        <f>_xlfn.XLOOKUP(C95,'Same Seller Hist'!E:E,'Same Seller Hist'!H:H)</f>
        <v>DUDUSHOP BR</v>
      </c>
      <c r="G95" s="5" t="s">
        <v>906</v>
      </c>
      <c r="H95" s="19">
        <v>1249.516129032258</v>
      </c>
      <c r="I95" s="19">
        <v>7577.0928849943866</v>
      </c>
      <c r="J95" s="19">
        <f>_xlfn.IFNA(_xlfn.XLOOKUP(F95,'Fastmoss 500'!D:D,'Fastmoss 500'!O:O),0)</f>
        <v>0</v>
      </c>
      <c r="K95" s="19">
        <f>_xlfn.IFNA(_xlfn.XLOOKUP(F95,'Fastmoss 500'!D:D,'Fastmoss 500'!N:N),0)</f>
        <v>0</v>
      </c>
      <c r="L95" s="21" t="s">
        <v>2528</v>
      </c>
      <c r="M95" s="21" t="str">
        <f>IF(L95="Shp 500","Sim",IF(ISNA(_xlfn.XLOOKUP(C95,'Shp 500'!D:D,'Shp 500'!D:D)),"Não","Sim"))</f>
        <v>Sim</v>
      </c>
      <c r="N95" s="21" t="str">
        <f>IF(L95="Fastmoss 500","Sim",IF(ISNA(_xlfn.XLOOKUP(_xlfn.XLOOKUP(C95,'Same Seller Hist'!E:E,'Same Seller Hist'!H:H),'Fastmoss 500'!D:D,'Fastmoss 500'!D:D)),"Não","Sim"))</f>
        <v>Não</v>
      </c>
      <c r="O95" s="21" t="str">
        <f>IF(AND(M95="Sim",N95="Sim"),"Sim","Não")</f>
        <v>Não</v>
      </c>
      <c r="P95" s="21" t="str">
        <f>IF(I95&gt;K95,"Sim","Não")</f>
        <v>Sim</v>
      </c>
      <c r="Q95" s="21">
        <f>COUNTIFS(C:C,C95)</f>
        <v>1</v>
      </c>
    </row>
    <row r="96" spans="3:17" hidden="1" x14ac:dyDescent="0.35">
      <c r="C96" s="5">
        <v>376022922</v>
      </c>
      <c r="D96" s="5" t="s">
        <v>1481</v>
      </c>
      <c r="E96" s="5">
        <f>_xlfn.XLOOKUP(C96,'Same Seller Hist'!E:E,'Same Seller Hist'!I:I)</f>
        <v>7.4962392185367101E+18</v>
      </c>
      <c r="F96" s="5" t="str">
        <f>_xlfn.XLOOKUP(C96,'Same Seller Hist'!E:E,'Same Seller Hist'!H:H)</f>
        <v>Selfridge.Store.BR</v>
      </c>
      <c r="G96" s="5" t="s">
        <v>1734</v>
      </c>
      <c r="H96" s="19">
        <v>1240.8387096774193</v>
      </c>
      <c r="I96" s="19">
        <v>7320.8880750954841</v>
      </c>
      <c r="J96" s="19">
        <f>_xlfn.IFNA(_xlfn.XLOOKUP(F96,'Fastmoss 500'!D:D,'Fastmoss 500'!O:O),0)</f>
        <v>0</v>
      </c>
      <c r="K96" s="19">
        <f>_xlfn.IFNA(_xlfn.XLOOKUP(F96,'Fastmoss 500'!D:D,'Fastmoss 500'!N:N),0)</f>
        <v>0</v>
      </c>
      <c r="L96" s="21" t="s">
        <v>2528</v>
      </c>
      <c r="M96" s="21" t="str">
        <f>IF(L96="Shp 500","Sim",IF(ISNA(_xlfn.XLOOKUP(C96,'Shp 500'!D:D,'Shp 500'!D:D)),"Não","Sim"))</f>
        <v>Sim</v>
      </c>
      <c r="N96" s="21" t="str">
        <f>IF(L96="Fastmoss 500","Sim",IF(ISNA(_xlfn.XLOOKUP(_xlfn.XLOOKUP(C96,'Same Seller Hist'!E:E,'Same Seller Hist'!H:H),'Fastmoss 500'!D:D,'Fastmoss 500'!D:D)),"Não","Sim"))</f>
        <v>Não</v>
      </c>
      <c r="O96" s="21" t="str">
        <f>IF(AND(M96="Sim",N96="Sim"),"Sim","Não")</f>
        <v>Não</v>
      </c>
      <c r="P96" s="21" t="str">
        <f>IF(I96&gt;K96,"Sim","Não")</f>
        <v>Sim</v>
      </c>
      <c r="Q96" s="21">
        <f>COUNTIFS(C:C,C96)</f>
        <v>1</v>
      </c>
    </row>
    <row r="97" spans="3:17" hidden="1" x14ac:dyDescent="0.35">
      <c r="C97" s="5">
        <v>502619181</v>
      </c>
      <c r="D97" s="5" t="s">
        <v>1493</v>
      </c>
      <c r="E97" s="5">
        <f>_xlfn.XLOOKUP(C97,'Same Seller Hist'!E:E,'Same Seller Hist'!I:I)</f>
        <v>7.4961831981512397E+18</v>
      </c>
      <c r="F97" s="5" t="str">
        <f>_xlfn.XLOOKUP(C97,'Same Seller Hist'!E:E,'Same Seller Hist'!H:H)</f>
        <v>NIVEA Brasil</v>
      </c>
      <c r="G97" s="5" t="s">
        <v>906</v>
      </c>
      <c r="H97" s="19">
        <v>1200.4516129032259</v>
      </c>
      <c r="I97" s="19">
        <v>7160.8560336411283</v>
      </c>
      <c r="J97" s="19">
        <f>_xlfn.IFNA(_xlfn.XLOOKUP(F97,'Fastmoss 500'!D:D,'Fastmoss 500'!O:O),0)</f>
        <v>0</v>
      </c>
      <c r="K97" s="19">
        <f>_xlfn.IFNA(_xlfn.XLOOKUP(F97,'Fastmoss 500'!D:D,'Fastmoss 500'!N:N),0)</f>
        <v>0</v>
      </c>
      <c r="L97" s="21" t="s">
        <v>2528</v>
      </c>
      <c r="M97" s="21" t="str">
        <f>IF(L97="Shp 500","Sim",IF(ISNA(_xlfn.XLOOKUP(C97,'Shp 500'!D:D,'Shp 500'!D:D)),"Não","Sim"))</f>
        <v>Sim</v>
      </c>
      <c r="N97" s="21" t="str">
        <f>IF(L97="Fastmoss 500","Sim",IF(ISNA(_xlfn.XLOOKUP(_xlfn.XLOOKUP(C97,'Same Seller Hist'!E:E,'Same Seller Hist'!H:H),'Fastmoss 500'!D:D,'Fastmoss 500'!D:D)),"Não","Sim"))</f>
        <v>Não</v>
      </c>
      <c r="O97" s="21" t="str">
        <f>IF(AND(M97="Sim",N97="Sim"),"Sim","Não")</f>
        <v>Não</v>
      </c>
      <c r="P97" s="21" t="str">
        <f>IF(I97&gt;K97,"Sim","Não")</f>
        <v>Sim</v>
      </c>
      <c r="Q97" s="21">
        <f>COUNTIFS(C:C,C97)</f>
        <v>1</v>
      </c>
    </row>
    <row r="98" spans="3:17" hidden="1" x14ac:dyDescent="0.35">
      <c r="C98" s="5">
        <v>298953477</v>
      </c>
      <c r="D98" s="5" t="s">
        <v>1499</v>
      </c>
      <c r="E98" s="5">
        <f>_xlfn.XLOOKUP(C98,'Same Seller Hist'!E:E,'Same Seller Hist'!I:I)</f>
        <v>7.4961872797722501E+18</v>
      </c>
      <c r="F98" s="5" t="str">
        <f>_xlfn.XLOOKUP(C98,'Same Seller Hist'!E:E,'Same Seller Hist'!H:H)</f>
        <v>PALU ECOM</v>
      </c>
      <c r="G98" s="5" t="s">
        <v>906</v>
      </c>
      <c r="H98" s="19">
        <v>1182.2258064516095</v>
      </c>
      <c r="I98" s="19">
        <v>7398.5789810304514</v>
      </c>
      <c r="J98" s="19">
        <f>_xlfn.IFNA(_xlfn.XLOOKUP(F98,'Fastmoss 500'!D:D,'Fastmoss 500'!O:O),0)</f>
        <v>0</v>
      </c>
      <c r="K98" s="19">
        <f>_xlfn.IFNA(_xlfn.XLOOKUP(F98,'Fastmoss 500'!D:D,'Fastmoss 500'!N:N),0)</f>
        <v>0</v>
      </c>
      <c r="L98" s="21" t="s">
        <v>2528</v>
      </c>
      <c r="M98" s="21" t="str">
        <f>IF(L98="Shp 500","Sim",IF(ISNA(_xlfn.XLOOKUP(C98,'Shp 500'!D:D,'Shp 500'!D:D)),"Não","Sim"))</f>
        <v>Sim</v>
      </c>
      <c r="N98" s="21" t="str">
        <f>IF(L98="Fastmoss 500","Sim",IF(ISNA(_xlfn.XLOOKUP(_xlfn.XLOOKUP(C98,'Same Seller Hist'!E:E,'Same Seller Hist'!H:H),'Fastmoss 500'!D:D,'Fastmoss 500'!D:D)),"Não","Sim"))</f>
        <v>Não</v>
      </c>
      <c r="O98" s="21" t="str">
        <f>IF(AND(M98="Sim",N98="Sim"),"Sim","Não")</f>
        <v>Não</v>
      </c>
      <c r="P98" s="21" t="str">
        <f>IF(I98&gt;K98,"Sim","Não")</f>
        <v>Sim</v>
      </c>
      <c r="Q98" s="21">
        <f>COUNTIFS(C:C,C98)</f>
        <v>1</v>
      </c>
    </row>
    <row r="99" spans="3:17" hidden="1" x14ac:dyDescent="0.35">
      <c r="C99" s="5">
        <v>1165620003</v>
      </c>
      <c r="D99" s="5" t="s">
        <v>1500</v>
      </c>
      <c r="E99" s="5">
        <f>_xlfn.XLOOKUP(C99,'Same Seller Hist'!E:E,'Same Seller Hist'!I:I)</f>
        <v>0</v>
      </c>
      <c r="F99" s="5">
        <f>_xlfn.XLOOKUP(C99,'Same Seller Hist'!E:E,'Same Seller Hist'!H:H)</f>
        <v>0</v>
      </c>
      <c r="G99" s="5" t="s">
        <v>904</v>
      </c>
      <c r="H99" s="19">
        <v>1178.4516129032224</v>
      </c>
      <c r="I99" s="19">
        <v>6066.472176553968</v>
      </c>
      <c r="J99" s="19">
        <f>_xlfn.IFNA(_xlfn.XLOOKUP(F99,'Fastmoss 500'!D:D,'Fastmoss 500'!O:O),0)</f>
        <v>0</v>
      </c>
      <c r="K99" s="19">
        <f>_xlfn.IFNA(_xlfn.XLOOKUP(F99,'Fastmoss 500'!D:D,'Fastmoss 500'!N:N),0)</f>
        <v>0</v>
      </c>
      <c r="L99" s="21" t="s">
        <v>2528</v>
      </c>
      <c r="M99" s="21" t="str">
        <f>IF(L99="Shp 500","Sim",IF(ISNA(_xlfn.XLOOKUP(C99,'Shp 500'!D:D,'Shp 500'!D:D)),"Não","Sim"))</f>
        <v>Sim</v>
      </c>
      <c r="N99" s="21" t="str">
        <f>IF(L99="Fastmoss 500","Sim",IF(ISNA(_xlfn.XLOOKUP(_xlfn.XLOOKUP(C99,'Same Seller Hist'!E:E,'Same Seller Hist'!H:H),'Fastmoss 500'!D:D,'Fastmoss 500'!D:D)),"Não","Sim"))</f>
        <v>Não</v>
      </c>
      <c r="O99" s="21" t="str">
        <f>IF(AND(M99="Sim",N99="Sim"),"Sim","Não")</f>
        <v>Não</v>
      </c>
      <c r="P99" s="21" t="str">
        <f>IF(I99&gt;K99,"Sim","Não")</f>
        <v>Sim</v>
      </c>
      <c r="Q99" s="21">
        <f>COUNTIFS(C:C,C99)</f>
        <v>1</v>
      </c>
    </row>
    <row r="100" spans="3:17" hidden="1" x14ac:dyDescent="0.35">
      <c r="C100" s="5">
        <v>352674932</v>
      </c>
      <c r="D100" s="5" t="s">
        <v>460</v>
      </c>
      <c r="E100" s="5">
        <f>_xlfn.XLOOKUP(C100,'Same Seller Hist'!E:E,'Same Seller Hist'!I:I)</f>
        <v>7.49616343596083E+18</v>
      </c>
      <c r="F100" s="5" t="str">
        <f>_xlfn.XLOOKUP(C100,'Same Seller Hist'!E:E,'Same Seller Hist'!H:H)</f>
        <v>LEVE HOME</v>
      </c>
      <c r="G100" s="5" t="s">
        <v>1734</v>
      </c>
      <c r="H100" s="19">
        <v>1174.6451612903227</v>
      </c>
      <c r="I100" s="19">
        <v>6858.6247898428064</v>
      </c>
      <c r="J100" s="19">
        <f>_xlfn.IFNA(_xlfn.XLOOKUP(F100,'Fastmoss 500'!D:D,'Fastmoss 500'!O:O),0)</f>
        <v>0</v>
      </c>
      <c r="K100" s="19">
        <f>_xlfn.IFNA(_xlfn.XLOOKUP(F100,'Fastmoss 500'!D:D,'Fastmoss 500'!N:N),0)</f>
        <v>0</v>
      </c>
      <c r="L100" s="21" t="s">
        <v>2528</v>
      </c>
      <c r="M100" s="21" t="str">
        <f>IF(L100="Shp 500","Sim",IF(ISNA(_xlfn.XLOOKUP(C100,'Shp 500'!D:D,'Shp 500'!D:D)),"Não","Sim"))</f>
        <v>Sim</v>
      </c>
      <c r="N100" s="21" t="str">
        <f>IF(L100="Fastmoss 500","Sim",IF(ISNA(_xlfn.XLOOKUP(_xlfn.XLOOKUP(C100,'Same Seller Hist'!E:E,'Same Seller Hist'!H:H),'Fastmoss 500'!D:D,'Fastmoss 500'!D:D)),"Não","Sim"))</f>
        <v>Não</v>
      </c>
      <c r="O100" s="21" t="str">
        <f>IF(AND(M100="Sim",N100="Sim"),"Sim","Não")</f>
        <v>Não</v>
      </c>
      <c r="P100" s="21" t="str">
        <f>IF(I100&gt;K100,"Sim","Não")</f>
        <v>Sim</v>
      </c>
      <c r="Q100" s="21">
        <f>COUNTIFS(C:C,C100)</f>
        <v>1</v>
      </c>
    </row>
    <row r="101" spans="3:17" hidden="1" x14ac:dyDescent="0.35">
      <c r="C101" s="5">
        <v>1541927562</v>
      </c>
      <c r="D101" s="5" t="s">
        <v>1505</v>
      </c>
      <c r="E101" s="5">
        <f>_xlfn.XLOOKUP(C101,'Same Seller Hist'!E:E,'Same Seller Hist'!I:I)</f>
        <v>7.4963107548595098E+18</v>
      </c>
      <c r="F101" s="5" t="str">
        <f>_xlfn.XLOOKUP(C101,'Same Seller Hist'!E:E,'Same Seller Hist'!H:H)</f>
        <v>NeoShop Brasil</v>
      </c>
      <c r="G101" s="5" t="s">
        <v>905</v>
      </c>
      <c r="H101" s="19">
        <v>1172.3225806451612</v>
      </c>
      <c r="I101" s="19">
        <v>5011.8846230191939</v>
      </c>
      <c r="J101" s="19">
        <f>_xlfn.IFNA(_xlfn.XLOOKUP(F101,'Fastmoss 500'!D:D,'Fastmoss 500'!O:O),0)</f>
        <v>0</v>
      </c>
      <c r="K101" s="19">
        <f>_xlfn.IFNA(_xlfn.XLOOKUP(F101,'Fastmoss 500'!D:D,'Fastmoss 500'!N:N),0)</f>
        <v>0</v>
      </c>
      <c r="L101" s="21" t="s">
        <v>2528</v>
      </c>
      <c r="M101" s="21" t="str">
        <f>IF(L101="Shp 500","Sim",IF(ISNA(_xlfn.XLOOKUP(C101,'Shp 500'!D:D,'Shp 500'!D:D)),"Não","Sim"))</f>
        <v>Sim</v>
      </c>
      <c r="N101" s="21" t="str">
        <f>IF(L101="Fastmoss 500","Sim",IF(ISNA(_xlfn.XLOOKUP(_xlfn.XLOOKUP(C101,'Same Seller Hist'!E:E,'Same Seller Hist'!H:H),'Fastmoss 500'!D:D,'Fastmoss 500'!D:D)),"Não","Sim"))</f>
        <v>Não</v>
      </c>
      <c r="O101" s="21" t="str">
        <f>IF(AND(M101="Sim",N101="Sim"),"Sim","Não")</f>
        <v>Não</v>
      </c>
      <c r="P101" s="21" t="str">
        <f>IF(I101&gt;K101,"Sim","Não")</f>
        <v>Sim</v>
      </c>
      <c r="Q101" s="21">
        <f>COUNTIFS(C:C,C101)</f>
        <v>1</v>
      </c>
    </row>
    <row r="102" spans="3:17" hidden="1" x14ac:dyDescent="0.35">
      <c r="C102" s="5">
        <v>1307017279</v>
      </c>
      <c r="D102" s="5" t="s">
        <v>1509</v>
      </c>
      <c r="E102" s="5">
        <f>_xlfn.XLOOKUP(C102,'Same Seller Hist'!E:E,'Same Seller Hist'!I:I)</f>
        <v>7.4941890929233398E+18</v>
      </c>
      <c r="F102" s="5" t="str">
        <f>_xlfn.XLOOKUP(C102,'Same Seller Hist'!E:E,'Same Seller Hist'!H:H)</f>
        <v>Zem Acessórios</v>
      </c>
      <c r="G102" s="5" t="s">
        <v>1734</v>
      </c>
      <c r="H102" s="19">
        <v>1161.7741935483839</v>
      </c>
      <c r="I102" s="19">
        <v>6344.4856661400972</v>
      </c>
      <c r="J102" s="19">
        <f>_xlfn.IFNA(_xlfn.XLOOKUP(F102,'Fastmoss 500'!D:D,'Fastmoss 500'!O:O),0)</f>
        <v>0</v>
      </c>
      <c r="K102" s="19">
        <f>_xlfn.IFNA(_xlfn.XLOOKUP(F102,'Fastmoss 500'!D:D,'Fastmoss 500'!N:N),0)</f>
        <v>0</v>
      </c>
      <c r="L102" s="21" t="s">
        <v>2528</v>
      </c>
      <c r="M102" s="21" t="str">
        <f>IF(L102="Shp 500","Sim",IF(ISNA(_xlfn.XLOOKUP(C102,'Shp 500'!D:D,'Shp 500'!D:D)),"Não","Sim"))</f>
        <v>Sim</v>
      </c>
      <c r="N102" s="21" t="str">
        <f>IF(L102="Fastmoss 500","Sim",IF(ISNA(_xlfn.XLOOKUP(_xlfn.XLOOKUP(C102,'Same Seller Hist'!E:E,'Same Seller Hist'!H:H),'Fastmoss 500'!D:D,'Fastmoss 500'!D:D)),"Não","Sim"))</f>
        <v>Não</v>
      </c>
      <c r="O102" s="21" t="str">
        <f>IF(AND(M102="Sim",N102="Sim"),"Sim","Não")</f>
        <v>Não</v>
      </c>
      <c r="P102" s="21" t="str">
        <f>IF(I102&gt;K102,"Sim","Não")</f>
        <v>Sim</v>
      </c>
      <c r="Q102" s="21">
        <f>COUNTIFS(C:C,C102)</f>
        <v>1</v>
      </c>
    </row>
    <row r="103" spans="3:17" hidden="1" x14ac:dyDescent="0.35">
      <c r="C103" s="5">
        <v>847598018</v>
      </c>
      <c r="D103" s="5" t="s">
        <v>1514</v>
      </c>
      <c r="E103" s="5">
        <f>_xlfn.XLOOKUP(C103,'Same Seller Hist'!E:E,'Same Seller Hist'!I:I)</f>
        <v>7.4962270927903396E+18</v>
      </c>
      <c r="F103" s="5" t="str">
        <f>_xlfn.XLOOKUP(C103,'Same Seller Hist'!E:E,'Same Seller Hist'!H:H)</f>
        <v>NGKSTORE BR</v>
      </c>
      <c r="G103" s="5" t="s">
        <v>905</v>
      </c>
      <c r="H103" s="19">
        <v>1155.3548387096773</v>
      </c>
      <c r="I103" s="19">
        <v>10260.081055630193</v>
      </c>
      <c r="J103" s="19">
        <f>_xlfn.IFNA(_xlfn.XLOOKUP(F103,'Fastmoss 500'!D:D,'Fastmoss 500'!O:O),0)</f>
        <v>0</v>
      </c>
      <c r="K103" s="19">
        <f>_xlfn.IFNA(_xlfn.XLOOKUP(F103,'Fastmoss 500'!D:D,'Fastmoss 500'!N:N),0)</f>
        <v>0</v>
      </c>
      <c r="L103" s="21" t="s">
        <v>2528</v>
      </c>
      <c r="M103" s="21" t="str">
        <f>IF(L103="Shp 500","Sim",IF(ISNA(_xlfn.XLOOKUP(C103,'Shp 500'!D:D,'Shp 500'!D:D)),"Não","Sim"))</f>
        <v>Sim</v>
      </c>
      <c r="N103" s="21" t="str">
        <f>IF(L103="Fastmoss 500","Sim",IF(ISNA(_xlfn.XLOOKUP(_xlfn.XLOOKUP(C103,'Same Seller Hist'!E:E,'Same Seller Hist'!H:H),'Fastmoss 500'!D:D,'Fastmoss 500'!D:D)),"Não","Sim"))</f>
        <v>Não</v>
      </c>
      <c r="O103" s="21" t="str">
        <f>IF(AND(M103="Sim",N103="Sim"),"Sim","Não")</f>
        <v>Não</v>
      </c>
      <c r="P103" s="21" t="str">
        <f>IF(I103&gt;K103,"Sim","Não")</f>
        <v>Sim</v>
      </c>
      <c r="Q103" s="21">
        <f>COUNTIFS(C:C,C103)</f>
        <v>1</v>
      </c>
    </row>
    <row r="104" spans="3:17" hidden="1" x14ac:dyDescent="0.35">
      <c r="C104" s="5">
        <v>323760756</v>
      </c>
      <c r="D104" s="5" t="s">
        <v>1516</v>
      </c>
      <c r="E104" s="5">
        <f>_xlfn.XLOOKUP(C104,'Same Seller Hist'!E:E,'Same Seller Hist'!I:I)</f>
        <v>7.4961612707008E+18</v>
      </c>
      <c r="F104" s="5" t="str">
        <f>_xlfn.XLOOKUP(C104,'Same Seller Hist'!E:E,'Same Seller Hist'!H:H)</f>
        <v>lumiss_br</v>
      </c>
      <c r="G104" s="5" t="s">
        <v>903</v>
      </c>
      <c r="H104" s="19">
        <v>1152.8709677419354</v>
      </c>
      <c r="I104" s="19">
        <v>14427.359179190742</v>
      </c>
      <c r="J104" s="19">
        <f>_xlfn.IFNA(_xlfn.XLOOKUP(F104,'Fastmoss 500'!D:D,'Fastmoss 500'!O:O),0)</f>
        <v>0</v>
      </c>
      <c r="K104" s="19">
        <f>_xlfn.IFNA(_xlfn.XLOOKUP(F104,'Fastmoss 500'!D:D,'Fastmoss 500'!N:N),0)</f>
        <v>0</v>
      </c>
      <c r="L104" s="21" t="s">
        <v>2528</v>
      </c>
      <c r="M104" s="21" t="str">
        <f>IF(L104="Shp 500","Sim",IF(ISNA(_xlfn.XLOOKUP(C104,'Shp 500'!D:D,'Shp 500'!D:D)),"Não","Sim"))</f>
        <v>Sim</v>
      </c>
      <c r="N104" s="21" t="str">
        <f>IF(L104="Fastmoss 500","Sim",IF(ISNA(_xlfn.XLOOKUP(_xlfn.XLOOKUP(C104,'Same Seller Hist'!E:E,'Same Seller Hist'!H:H),'Fastmoss 500'!D:D,'Fastmoss 500'!D:D)),"Não","Sim"))</f>
        <v>Não</v>
      </c>
      <c r="O104" s="21" t="str">
        <f>IF(AND(M104="Sim",N104="Sim"),"Sim","Não")</f>
        <v>Não</v>
      </c>
      <c r="P104" s="21" t="str">
        <f>IF(I104&gt;K104,"Sim","Não")</f>
        <v>Sim</v>
      </c>
      <c r="Q104" s="21">
        <f>COUNTIFS(C:C,C104)</f>
        <v>1</v>
      </c>
    </row>
    <row r="105" spans="3:17" hidden="1" x14ac:dyDescent="0.35">
      <c r="C105" s="5">
        <v>463228698</v>
      </c>
      <c r="D105" s="5" t="s">
        <v>586</v>
      </c>
      <c r="E105" s="5">
        <f>_xlfn.XLOOKUP(C105,'Same Seller Hist'!E:E,'Same Seller Hist'!I:I)</f>
        <v>7.4961817642965699E+18</v>
      </c>
      <c r="F105" s="5" t="str">
        <f>_xlfn.XLOOKUP(C105,'Same Seller Hist'!E:E,'Same Seller Hist'!H:H)</f>
        <v>HW Presentes</v>
      </c>
      <c r="G105" s="5" t="s">
        <v>1734</v>
      </c>
      <c r="H105" s="19">
        <v>1143.8709677419354</v>
      </c>
      <c r="I105" s="19">
        <v>4018.9564593441291</v>
      </c>
      <c r="J105" s="19">
        <f>_xlfn.IFNA(_xlfn.XLOOKUP(F105,'Fastmoss 500'!D:D,'Fastmoss 500'!O:O),0)</f>
        <v>0</v>
      </c>
      <c r="K105" s="19">
        <f>_xlfn.IFNA(_xlfn.XLOOKUP(F105,'Fastmoss 500'!D:D,'Fastmoss 500'!N:N),0)</f>
        <v>0</v>
      </c>
      <c r="L105" s="21" t="s">
        <v>2528</v>
      </c>
      <c r="M105" s="21" t="str">
        <f>IF(L105="Shp 500","Sim",IF(ISNA(_xlfn.XLOOKUP(C105,'Shp 500'!D:D,'Shp 500'!D:D)),"Não","Sim"))</f>
        <v>Sim</v>
      </c>
      <c r="N105" s="21" t="str">
        <f>IF(L105="Fastmoss 500","Sim",IF(ISNA(_xlfn.XLOOKUP(_xlfn.XLOOKUP(C105,'Same Seller Hist'!E:E,'Same Seller Hist'!H:H),'Fastmoss 500'!D:D,'Fastmoss 500'!D:D)),"Não","Sim"))</f>
        <v>Não</v>
      </c>
      <c r="O105" s="21" t="str">
        <f>IF(AND(M105="Sim",N105="Sim"),"Sim","Não")</f>
        <v>Não</v>
      </c>
      <c r="P105" s="21" t="str">
        <f>IF(I105&gt;K105,"Sim","Não")</f>
        <v>Sim</v>
      </c>
      <c r="Q105" s="21">
        <f>COUNTIFS(C:C,C105)</f>
        <v>1</v>
      </c>
    </row>
    <row r="106" spans="3:17" hidden="1" x14ac:dyDescent="0.35">
      <c r="C106" s="5">
        <v>483838536</v>
      </c>
      <c r="D106" s="5" t="s">
        <v>1524</v>
      </c>
      <c r="E106" s="5">
        <f>_xlfn.XLOOKUP(C106,'Same Seller Hist'!E:E,'Same Seller Hist'!I:I)</f>
        <v>7.4962127754267505E+18</v>
      </c>
      <c r="F106" s="5" t="str">
        <f>_xlfn.XLOOKUP(C106,'Same Seller Hist'!E:E,'Same Seller Hist'!H:H)</f>
        <v>DaffineModas</v>
      </c>
      <c r="G106" s="5" t="s">
        <v>903</v>
      </c>
      <c r="H106" s="19">
        <v>1143.4838709677385</v>
      </c>
      <c r="I106" s="19">
        <v>5690.9660609336452</v>
      </c>
      <c r="J106" s="19">
        <f>_xlfn.IFNA(_xlfn.XLOOKUP(F106,'Fastmoss 500'!D:D,'Fastmoss 500'!O:O),0)</f>
        <v>0</v>
      </c>
      <c r="K106" s="19">
        <f>_xlfn.IFNA(_xlfn.XLOOKUP(F106,'Fastmoss 500'!D:D,'Fastmoss 500'!N:N),0)</f>
        <v>0</v>
      </c>
      <c r="L106" s="21" t="s">
        <v>2528</v>
      </c>
      <c r="M106" s="21" t="str">
        <f>IF(L106="Shp 500","Sim",IF(ISNA(_xlfn.XLOOKUP(C106,'Shp 500'!D:D,'Shp 500'!D:D)),"Não","Sim"))</f>
        <v>Sim</v>
      </c>
      <c r="N106" s="21" t="str">
        <f>IF(L106="Fastmoss 500","Sim",IF(ISNA(_xlfn.XLOOKUP(_xlfn.XLOOKUP(C106,'Same Seller Hist'!E:E,'Same Seller Hist'!H:H),'Fastmoss 500'!D:D,'Fastmoss 500'!D:D)),"Não","Sim"))</f>
        <v>Não</v>
      </c>
      <c r="O106" s="21" t="str">
        <f>IF(AND(M106="Sim",N106="Sim"),"Sim","Não")</f>
        <v>Não</v>
      </c>
      <c r="P106" s="21" t="str">
        <f>IF(I106&gt;K106,"Sim","Não")</f>
        <v>Sim</v>
      </c>
      <c r="Q106" s="21">
        <f>COUNTIFS(C:C,C106)</f>
        <v>1</v>
      </c>
    </row>
    <row r="107" spans="3:17" hidden="1" x14ac:dyDescent="0.35">
      <c r="C107" s="5">
        <v>727124919</v>
      </c>
      <c r="D107" s="5" t="s">
        <v>1527</v>
      </c>
      <c r="E107" s="5">
        <f>_xlfn.XLOOKUP(C107,'Same Seller Hist'!E:E,'Same Seller Hist'!I:I)</f>
        <v>7.4961871820405105E+18</v>
      </c>
      <c r="F107" s="5" t="str">
        <f>_xlfn.XLOOKUP(C107,'Same Seller Hist'!E:E,'Same Seller Hist'!H:H)</f>
        <v>Leo Store BR</v>
      </c>
      <c r="G107" s="5" t="s">
        <v>1734</v>
      </c>
      <c r="H107" s="19">
        <v>1140.9677419354839</v>
      </c>
      <c r="I107" s="19">
        <v>5265.9883010669682</v>
      </c>
      <c r="J107" s="19">
        <f>_xlfn.IFNA(_xlfn.XLOOKUP(F107,'Fastmoss 500'!D:D,'Fastmoss 500'!O:O),0)</f>
        <v>0</v>
      </c>
      <c r="K107" s="19">
        <f>_xlfn.IFNA(_xlfn.XLOOKUP(F107,'Fastmoss 500'!D:D,'Fastmoss 500'!N:N),0)</f>
        <v>0</v>
      </c>
      <c r="L107" s="21" t="s">
        <v>2528</v>
      </c>
      <c r="M107" s="21" t="str">
        <f>IF(L107="Shp 500","Sim",IF(ISNA(_xlfn.XLOOKUP(C107,'Shp 500'!D:D,'Shp 500'!D:D)),"Não","Sim"))</f>
        <v>Sim</v>
      </c>
      <c r="N107" s="21" t="str">
        <f>IF(L107="Fastmoss 500","Sim",IF(ISNA(_xlfn.XLOOKUP(_xlfn.XLOOKUP(C107,'Same Seller Hist'!E:E,'Same Seller Hist'!H:H),'Fastmoss 500'!D:D,'Fastmoss 500'!D:D)),"Não","Sim"))</f>
        <v>Não</v>
      </c>
      <c r="O107" s="21" t="str">
        <f>IF(AND(M107="Sim",N107="Sim"),"Sim","Não")</f>
        <v>Não</v>
      </c>
      <c r="P107" s="21" t="str">
        <f>IF(I107&gt;K107,"Sim","Não")</f>
        <v>Sim</v>
      </c>
      <c r="Q107" s="21">
        <f>COUNTIFS(C:C,C107)</f>
        <v>1</v>
      </c>
    </row>
    <row r="108" spans="3:17" hidden="1" x14ac:dyDescent="0.35">
      <c r="C108" s="5">
        <v>1023760886</v>
      </c>
      <c r="D108" s="5" t="s">
        <v>1528</v>
      </c>
      <c r="E108" s="5">
        <f>_xlfn.XLOOKUP(C108,'Same Seller Hist'!E:E,'Same Seller Hist'!I:I)</f>
        <v>7.4961864186406195E+18</v>
      </c>
      <c r="F108" s="5" t="str">
        <f>_xlfn.XLOOKUP(C108,'Same Seller Hist'!E:E,'Same Seller Hist'!H:H)</f>
        <v>Petpremier</v>
      </c>
      <c r="G108" s="5" t="s">
        <v>906</v>
      </c>
      <c r="H108" s="19">
        <v>1136.8064516129032</v>
      </c>
      <c r="I108" s="19">
        <v>18020.795680250838</v>
      </c>
      <c r="J108" s="19">
        <f>_xlfn.IFNA(_xlfn.XLOOKUP(F108,'Fastmoss 500'!D:D,'Fastmoss 500'!O:O),0)</f>
        <v>0</v>
      </c>
      <c r="K108" s="19">
        <f>_xlfn.IFNA(_xlfn.XLOOKUP(F108,'Fastmoss 500'!D:D,'Fastmoss 500'!N:N),0)</f>
        <v>0</v>
      </c>
      <c r="L108" s="21" t="s">
        <v>2528</v>
      </c>
      <c r="M108" s="21" t="str">
        <f>IF(L108="Shp 500","Sim",IF(ISNA(_xlfn.XLOOKUP(C108,'Shp 500'!D:D,'Shp 500'!D:D)),"Não","Sim"))</f>
        <v>Sim</v>
      </c>
      <c r="N108" s="21" t="str">
        <f>IF(L108="Fastmoss 500","Sim",IF(ISNA(_xlfn.XLOOKUP(_xlfn.XLOOKUP(C108,'Same Seller Hist'!E:E,'Same Seller Hist'!H:H),'Fastmoss 500'!D:D,'Fastmoss 500'!D:D)),"Não","Sim"))</f>
        <v>Não</v>
      </c>
      <c r="O108" s="21" t="str">
        <f>IF(AND(M108="Sim",N108="Sim"),"Sim","Não")</f>
        <v>Não</v>
      </c>
      <c r="P108" s="21" t="str">
        <f>IF(I108&gt;K108,"Sim","Não")</f>
        <v>Sim</v>
      </c>
      <c r="Q108" s="21">
        <f>COUNTIFS(C:C,C108)</f>
        <v>1</v>
      </c>
    </row>
    <row r="109" spans="3:17" x14ac:dyDescent="0.35">
      <c r="C109" s="5">
        <f>_xlfn.XLOOKUP(F109,'Same Seller Hist'!H:H,'Same Seller Hist'!E:E)</f>
        <v>406098813</v>
      </c>
      <c r="D109" s="5" t="str">
        <f>_xlfn.XLOOKUP(F109,'Same Seller Hist'!H:H,'Same Seller Hist'!D:D)</f>
        <v>Fbo.store</v>
      </c>
      <c r="E109" s="5">
        <f>_xlfn.XLOOKUP(F109,'Same Seller Hist'!H:H,'Same Seller Hist'!I:I)</f>
        <v>7.4962608112056003E+18</v>
      </c>
      <c r="F109" s="5" t="s">
        <v>537</v>
      </c>
      <c r="G109" s="5" t="str">
        <f>_xlfn.XLOOKUP(C109,'Same Seller Hist'!E:E,'Same Seller Hist'!F:F)</f>
        <v>Lifestyle</v>
      </c>
      <c r="H109" s="19">
        <f>_xlfn.IFNA(_xlfn.XLOOKUP(C109,'Shp 500'!D:D,'Shp 500'!I:I),0)</f>
        <v>877.67741935483866</v>
      </c>
      <c r="I109" s="19">
        <f>_xlfn.IFNA(_xlfn.XLOOKUP(C109,'Shp 500'!D:D,'Shp 500'!J:J),0)</f>
        <v>8582.4831771782901</v>
      </c>
      <c r="J109" s="19">
        <v>361.29032258064518</v>
      </c>
      <c r="K109" s="19">
        <v>12112.903225806451</v>
      </c>
      <c r="L109" s="21" t="s">
        <v>2530</v>
      </c>
      <c r="M109" s="21" t="str">
        <f>IF(L109="Shp 500","Sim",IF(ISNA(_xlfn.XLOOKUP(C109,'Shp 500'!D:D,'Shp 500'!D:D)),"Não","Sim"))</f>
        <v>Sim</v>
      </c>
      <c r="N109" s="21" t="str">
        <f>IF(L109="Fastmoss 500","Sim",IF(ISNA(_xlfn.XLOOKUP(_xlfn.XLOOKUP(C109,'Same Seller Hist'!E:E,'Same Seller Hist'!H:H),'Fastmoss 500'!D:D,'Fastmoss 500'!D:D)),"Não","Sim"))</f>
        <v>Sim</v>
      </c>
      <c r="O109" s="21" t="str">
        <f>IF(AND(M109="Sim",N109="Sim"),"Sim","Não")</f>
        <v>Sim</v>
      </c>
      <c r="P109" s="21" t="str">
        <f>IF(I109&gt;K109,"Sim","Não")</f>
        <v>Não</v>
      </c>
      <c r="Q109" s="21">
        <f>COUNTIFS(C:C,C109)</f>
        <v>2</v>
      </c>
    </row>
    <row r="110" spans="3:17" x14ac:dyDescent="0.35">
      <c r="C110" s="5">
        <v>409164022</v>
      </c>
      <c r="D110" s="5" t="s">
        <v>1339</v>
      </c>
      <c r="E110" s="5">
        <f>_xlfn.XLOOKUP(C110,'Same Seller Hist'!E:E,'Same Seller Hist'!I:I)</f>
        <v>7.4961531651682796E+18</v>
      </c>
      <c r="F110" s="5" t="str">
        <f>_xlfn.XLOOKUP(C110,'Same Seller Hist'!E:E,'Same Seller Hist'!H:H)</f>
        <v>Neverdie Store.br</v>
      </c>
      <c r="G110" s="5" t="s">
        <v>1734</v>
      </c>
      <c r="H110" s="19">
        <v>2243.4516129032227</v>
      </c>
      <c r="I110" s="19">
        <v>11390.064254643128</v>
      </c>
      <c r="J110" s="19">
        <f>_xlfn.IFNA(_xlfn.XLOOKUP(F110,'Fastmoss 500'!D:D,'Fastmoss 500'!O:O),0)</f>
        <v>1741.9354838709678</v>
      </c>
      <c r="K110" s="19">
        <f>_xlfn.IFNA(_xlfn.XLOOKUP(F110,'Fastmoss 500'!D:D,'Fastmoss 500'!N:N),0)</f>
        <v>32258.064516129034</v>
      </c>
      <c r="L110" s="21" t="s">
        <v>2528</v>
      </c>
      <c r="M110" s="21" t="str">
        <f>IF(L110="Shp 500","Sim",IF(ISNA(_xlfn.XLOOKUP(C110,'Shp 500'!D:D,'Shp 500'!D:D)),"Não","Sim"))</f>
        <v>Sim</v>
      </c>
      <c r="N110" s="21" t="str">
        <f>IF(L110="Fastmoss 500","Sim",IF(ISNA(_xlfn.XLOOKUP(_xlfn.XLOOKUP(C110,'Same Seller Hist'!E:E,'Same Seller Hist'!H:H),'Fastmoss 500'!D:D,'Fastmoss 500'!D:D)),"Não","Sim"))</f>
        <v>Sim</v>
      </c>
      <c r="O110" s="21" t="str">
        <f>IF(AND(M110="Sim",N110="Sim"),"Sim","Não")</f>
        <v>Sim</v>
      </c>
      <c r="P110" s="21" t="str">
        <f>IF(I110&gt;K110,"Sim","Não")</f>
        <v>Não</v>
      </c>
      <c r="Q110" s="21">
        <f>COUNTIFS(C:C,C110)</f>
        <v>2</v>
      </c>
    </row>
    <row r="111" spans="3:17" x14ac:dyDescent="0.35">
      <c r="C111" s="5">
        <f>_xlfn.XLOOKUP(F111,'Same Seller Hist'!H:H,'Same Seller Hist'!E:E)</f>
        <v>409164022</v>
      </c>
      <c r="D111" s="5" t="str">
        <f>_xlfn.XLOOKUP(F111,'Same Seller Hist'!H:H,'Same Seller Hist'!D:D)</f>
        <v>Neverdie Store.br</v>
      </c>
      <c r="E111" s="5">
        <f>_xlfn.XLOOKUP(F111,'Same Seller Hist'!H:H,'Same Seller Hist'!I:I)</f>
        <v>7.4961531651682796E+18</v>
      </c>
      <c r="F111" s="5" t="s">
        <v>545</v>
      </c>
      <c r="G111" s="5" t="str">
        <f>_xlfn.XLOOKUP(C111,'Same Seller Hist'!E:E,'Same Seller Hist'!F:F)</f>
        <v>Lifestyle</v>
      </c>
      <c r="H111" s="19">
        <f>_xlfn.IFNA(_xlfn.XLOOKUP(C111,'Shp 500'!D:D,'Shp 500'!I:I),0)</f>
        <v>2243.4516129032227</v>
      </c>
      <c r="I111" s="19">
        <f>_xlfn.IFNA(_xlfn.XLOOKUP(C111,'Shp 500'!D:D,'Shp 500'!J:J),0)</f>
        <v>11390.064254643128</v>
      </c>
      <c r="J111" s="19">
        <v>1741.9354838709678</v>
      </c>
      <c r="K111" s="19">
        <v>32258.064516129034</v>
      </c>
      <c r="L111" s="21" t="s">
        <v>2530</v>
      </c>
      <c r="M111" s="21" t="str">
        <f>IF(L111="Shp 500","Sim",IF(ISNA(_xlfn.XLOOKUP(C111,'Shp 500'!D:D,'Shp 500'!D:D)),"Não","Sim"))</f>
        <v>Sim</v>
      </c>
      <c r="N111" s="21" t="str">
        <f>IF(L111="Fastmoss 500","Sim",IF(ISNA(_xlfn.XLOOKUP(_xlfn.XLOOKUP(C111,'Same Seller Hist'!E:E,'Same Seller Hist'!H:H),'Fastmoss 500'!D:D,'Fastmoss 500'!D:D)),"Não","Sim"))</f>
        <v>Sim</v>
      </c>
      <c r="O111" s="21" t="str">
        <f>IF(AND(M111="Sim",N111="Sim"),"Sim","Não")</f>
        <v>Sim</v>
      </c>
      <c r="P111" s="21" t="str">
        <f>IF(I111&gt;K111,"Sim","Não")</f>
        <v>Não</v>
      </c>
      <c r="Q111" s="21">
        <f>COUNTIFS(C:C,C111)</f>
        <v>2</v>
      </c>
    </row>
    <row r="112" spans="3:17" x14ac:dyDescent="0.35">
      <c r="C112" s="5">
        <v>413762733</v>
      </c>
      <c r="D112" s="5" t="s">
        <v>1562</v>
      </c>
      <c r="E112" s="5">
        <f>_xlfn.XLOOKUP(C112,'Same Seller Hist'!E:E,'Same Seller Hist'!I:I)</f>
        <v>7.4961623590013102E+18</v>
      </c>
      <c r="F112" s="5" t="str">
        <f>_xlfn.XLOOKUP(C112,'Same Seller Hist'!E:E,'Same Seller Hist'!H:H)</f>
        <v>ALAN FONTE</v>
      </c>
      <c r="G112" s="5" t="s">
        <v>1734</v>
      </c>
      <c r="H112" s="19">
        <v>1043.1612903225775</v>
      </c>
      <c r="I112" s="19">
        <v>12148.091746551934</v>
      </c>
      <c r="J112" s="19">
        <f>_xlfn.IFNA(_xlfn.XLOOKUP(F112,'Fastmoss 500'!D:D,'Fastmoss 500'!O:O),0)</f>
        <v>280.64516129032256</v>
      </c>
      <c r="K112" s="19">
        <f>_xlfn.IFNA(_xlfn.XLOOKUP(F112,'Fastmoss 500'!D:D,'Fastmoss 500'!N:N),0)</f>
        <v>14412.903225806451</v>
      </c>
      <c r="L112" s="21" t="s">
        <v>2528</v>
      </c>
      <c r="M112" s="21" t="str">
        <f>IF(L112="Shp 500","Sim",IF(ISNA(_xlfn.XLOOKUP(C112,'Shp 500'!D:D,'Shp 500'!D:D)),"Não","Sim"))</f>
        <v>Sim</v>
      </c>
      <c r="N112" s="21" t="str">
        <f>IF(L112="Fastmoss 500","Sim",IF(ISNA(_xlfn.XLOOKUP(_xlfn.XLOOKUP(C112,'Same Seller Hist'!E:E,'Same Seller Hist'!H:H),'Fastmoss 500'!D:D,'Fastmoss 500'!D:D)),"Não","Sim"))</f>
        <v>Sim</v>
      </c>
      <c r="O112" s="21" t="str">
        <f>IF(AND(M112="Sim",N112="Sim"),"Sim","Não")</f>
        <v>Sim</v>
      </c>
      <c r="P112" s="21" t="str">
        <f>IF(I112&gt;K112,"Sim","Não")</f>
        <v>Não</v>
      </c>
      <c r="Q112" s="21">
        <f>COUNTIFS(C:C,C112)</f>
        <v>2</v>
      </c>
    </row>
    <row r="113" spans="3:17" hidden="1" x14ac:dyDescent="0.35">
      <c r="C113" s="5">
        <v>875039015</v>
      </c>
      <c r="D113" s="5" t="s">
        <v>740</v>
      </c>
      <c r="E113" s="5">
        <f>_xlfn.XLOOKUP(C113,'Same Seller Hist'!E:E,'Same Seller Hist'!I:I)</f>
        <v>7.4962079188174397E+18</v>
      </c>
      <c r="F113" s="5" t="str">
        <f>_xlfn.XLOOKUP(C113,'Same Seller Hist'!E:E,'Same Seller Hist'!H:H)</f>
        <v>MovicPets</v>
      </c>
      <c r="G113" s="5" t="s">
        <v>905</v>
      </c>
      <c r="H113" s="19">
        <v>1077.6774193548354</v>
      </c>
      <c r="I113" s="19">
        <v>10387.294337103549</v>
      </c>
      <c r="J113" s="19">
        <f>_xlfn.IFNA(_xlfn.XLOOKUP(F113,'Fastmoss 500'!D:D,'Fastmoss 500'!O:O),0)</f>
        <v>0</v>
      </c>
      <c r="K113" s="19">
        <f>_xlfn.IFNA(_xlfn.XLOOKUP(F113,'Fastmoss 500'!D:D,'Fastmoss 500'!N:N),0)</f>
        <v>0</v>
      </c>
      <c r="L113" s="21" t="s">
        <v>2528</v>
      </c>
      <c r="M113" s="21" t="str">
        <f>IF(L113="Shp 500","Sim",IF(ISNA(_xlfn.XLOOKUP(C113,'Shp 500'!D:D,'Shp 500'!D:D)),"Não","Sim"))</f>
        <v>Sim</v>
      </c>
      <c r="N113" s="21" t="str">
        <f>IF(L113="Fastmoss 500","Sim",IF(ISNA(_xlfn.XLOOKUP(_xlfn.XLOOKUP(C113,'Same Seller Hist'!E:E,'Same Seller Hist'!H:H),'Fastmoss 500'!D:D,'Fastmoss 500'!D:D)),"Não","Sim"))</f>
        <v>Não</v>
      </c>
      <c r="O113" s="21" t="str">
        <f>IF(AND(M113="Sim",N113="Sim"),"Sim","Não")</f>
        <v>Não</v>
      </c>
      <c r="P113" s="21" t="str">
        <f>IF(I113&gt;K113,"Sim","Não")</f>
        <v>Sim</v>
      </c>
      <c r="Q113" s="21">
        <f>COUNTIFS(C:C,C113)</f>
        <v>1</v>
      </c>
    </row>
    <row r="114" spans="3:17" hidden="1" x14ac:dyDescent="0.35">
      <c r="C114" s="5">
        <v>338558924</v>
      </c>
      <c r="D114" s="5" t="s">
        <v>1554</v>
      </c>
      <c r="E114" s="5">
        <f>_xlfn.XLOOKUP(C114,'Same Seller Hist'!E:E,'Same Seller Hist'!I:I)</f>
        <v>7.4962223508266998E+18</v>
      </c>
      <c r="F114" s="5" t="str">
        <f>_xlfn.XLOOKUP(C114,'Same Seller Hist'!E:E,'Same Seller Hist'!H:H)</f>
        <v>SUAS COMPRAS SHOP</v>
      </c>
      <c r="G114" s="5" t="s">
        <v>905</v>
      </c>
      <c r="H114" s="19">
        <v>1060.4516129032259</v>
      </c>
      <c r="I114" s="19">
        <v>6598.9676599932582</v>
      </c>
      <c r="J114" s="19">
        <f>_xlfn.IFNA(_xlfn.XLOOKUP(F114,'Fastmoss 500'!D:D,'Fastmoss 500'!O:O),0)</f>
        <v>0</v>
      </c>
      <c r="K114" s="19">
        <f>_xlfn.IFNA(_xlfn.XLOOKUP(F114,'Fastmoss 500'!D:D,'Fastmoss 500'!N:N),0)</f>
        <v>0</v>
      </c>
      <c r="L114" s="21" t="s">
        <v>2528</v>
      </c>
      <c r="M114" s="21" t="str">
        <f>IF(L114="Shp 500","Sim",IF(ISNA(_xlfn.XLOOKUP(C114,'Shp 500'!D:D,'Shp 500'!D:D)),"Não","Sim"))</f>
        <v>Sim</v>
      </c>
      <c r="N114" s="21" t="str">
        <f>IF(L114="Fastmoss 500","Sim",IF(ISNA(_xlfn.XLOOKUP(_xlfn.XLOOKUP(C114,'Same Seller Hist'!E:E,'Same Seller Hist'!H:H),'Fastmoss 500'!D:D,'Fastmoss 500'!D:D)),"Não","Sim"))</f>
        <v>Não</v>
      </c>
      <c r="O114" s="21" t="str">
        <f>IF(AND(M114="Sim",N114="Sim"),"Sim","Não")</f>
        <v>Não</v>
      </c>
      <c r="P114" s="21" t="str">
        <f>IF(I114&gt;K114,"Sim","Não")</f>
        <v>Sim</v>
      </c>
      <c r="Q114" s="21">
        <f>COUNTIFS(C:C,C114)</f>
        <v>1</v>
      </c>
    </row>
    <row r="115" spans="3:17" hidden="1" x14ac:dyDescent="0.35">
      <c r="C115" s="5">
        <v>403640709</v>
      </c>
      <c r="D115" s="5" t="s">
        <v>1558</v>
      </c>
      <c r="E115" s="5">
        <f>_xlfn.XLOOKUP(C115,'Same Seller Hist'!E:E,'Same Seller Hist'!I:I)</f>
        <v>7.49618198292945E+18</v>
      </c>
      <c r="F115" s="5" t="str">
        <f>_xlfn.XLOOKUP(C115,'Same Seller Hist'!E:E,'Same Seller Hist'!H:H)</f>
        <v>B.w.w</v>
      </c>
      <c r="G115" s="5" t="s">
        <v>905</v>
      </c>
      <c r="H115" s="19">
        <v>1056.1935483870936</v>
      </c>
      <c r="I115" s="19">
        <v>5769.9448312066452</v>
      </c>
      <c r="J115" s="19">
        <f>_xlfn.IFNA(_xlfn.XLOOKUP(F115,'Fastmoss 500'!D:D,'Fastmoss 500'!O:O),0)</f>
        <v>0</v>
      </c>
      <c r="K115" s="19">
        <f>_xlfn.IFNA(_xlfn.XLOOKUP(F115,'Fastmoss 500'!D:D,'Fastmoss 500'!N:N),0)</f>
        <v>0</v>
      </c>
      <c r="L115" s="21" t="s">
        <v>2528</v>
      </c>
      <c r="M115" s="21" t="str">
        <f>IF(L115="Shp 500","Sim",IF(ISNA(_xlfn.XLOOKUP(C115,'Shp 500'!D:D,'Shp 500'!D:D)),"Não","Sim"))</f>
        <v>Sim</v>
      </c>
      <c r="N115" s="21" t="str">
        <f>IF(L115="Fastmoss 500","Sim",IF(ISNA(_xlfn.XLOOKUP(_xlfn.XLOOKUP(C115,'Same Seller Hist'!E:E,'Same Seller Hist'!H:H),'Fastmoss 500'!D:D,'Fastmoss 500'!D:D)),"Não","Sim"))</f>
        <v>Não</v>
      </c>
      <c r="O115" s="21" t="str">
        <f>IF(AND(M115="Sim",N115="Sim"),"Sim","Não")</f>
        <v>Não</v>
      </c>
      <c r="P115" s="21" t="str">
        <f>IF(I115&gt;K115,"Sim","Não")</f>
        <v>Sim</v>
      </c>
      <c r="Q115" s="21">
        <f>COUNTIFS(C:C,C115)</f>
        <v>1</v>
      </c>
    </row>
    <row r="116" spans="3:17" hidden="1" x14ac:dyDescent="0.35">
      <c r="C116" s="5">
        <v>342086228</v>
      </c>
      <c r="D116" s="5" t="s">
        <v>451</v>
      </c>
      <c r="E116" s="5">
        <f>_xlfn.XLOOKUP(C116,'Same Seller Hist'!E:E,'Same Seller Hist'!I:I)</f>
        <v>7.4961686312600504E+18</v>
      </c>
      <c r="F116" s="5" t="str">
        <f>_xlfn.XLOOKUP(C116,'Same Seller Hist'!E:E,'Same Seller Hist'!H:H)</f>
        <v>BUMPER MAGAZINE</v>
      </c>
      <c r="G116" s="5" t="s">
        <v>904</v>
      </c>
      <c r="H116" s="19">
        <v>1054.9677419354807</v>
      </c>
      <c r="I116" s="19">
        <v>30696.130171000907</v>
      </c>
      <c r="J116" s="19">
        <f>_xlfn.IFNA(_xlfn.XLOOKUP(F116,'Fastmoss 500'!D:D,'Fastmoss 500'!O:O),0)</f>
        <v>0</v>
      </c>
      <c r="K116" s="19">
        <f>_xlfn.IFNA(_xlfn.XLOOKUP(F116,'Fastmoss 500'!D:D,'Fastmoss 500'!N:N),0)</f>
        <v>0</v>
      </c>
      <c r="L116" s="21" t="s">
        <v>2528</v>
      </c>
      <c r="M116" s="21" t="str">
        <f>IF(L116="Shp 500","Sim",IF(ISNA(_xlfn.XLOOKUP(C116,'Shp 500'!D:D,'Shp 500'!D:D)),"Não","Sim"))</f>
        <v>Sim</v>
      </c>
      <c r="N116" s="21" t="str">
        <f>IF(L116="Fastmoss 500","Sim",IF(ISNA(_xlfn.XLOOKUP(_xlfn.XLOOKUP(C116,'Same Seller Hist'!E:E,'Same Seller Hist'!H:H),'Fastmoss 500'!D:D,'Fastmoss 500'!D:D)),"Não","Sim"))</f>
        <v>Não</v>
      </c>
      <c r="O116" s="21" t="str">
        <f>IF(AND(M116="Sim",N116="Sim"),"Sim","Não")</f>
        <v>Não</v>
      </c>
      <c r="P116" s="21" t="str">
        <f>IF(I116&gt;K116,"Sim","Não")</f>
        <v>Sim</v>
      </c>
      <c r="Q116" s="21">
        <f>COUNTIFS(C:C,C116)</f>
        <v>1</v>
      </c>
    </row>
    <row r="117" spans="3:17" x14ac:dyDescent="0.35">
      <c r="C117" s="5">
        <f>_xlfn.XLOOKUP(F117,'Same Seller Hist'!H:H,'Same Seller Hist'!E:E)</f>
        <v>413762733</v>
      </c>
      <c r="D117" s="5" t="str">
        <f>_xlfn.XLOOKUP(F117,'Same Seller Hist'!H:H,'Same Seller Hist'!D:D)</f>
        <v>ALAN FONTE</v>
      </c>
      <c r="E117" s="5">
        <f>_xlfn.XLOOKUP(F117,'Same Seller Hist'!H:H,'Same Seller Hist'!I:I)</f>
        <v>7.4961623590013102E+18</v>
      </c>
      <c r="F117" s="5" t="s">
        <v>550</v>
      </c>
      <c r="G117" s="5" t="str">
        <f>_xlfn.XLOOKUP(C117,'Same Seller Hist'!E:E,'Same Seller Hist'!F:F)</f>
        <v>Fashion</v>
      </c>
      <c r="H117" s="19">
        <f>_xlfn.IFNA(_xlfn.XLOOKUP(C117,'Shp 500'!D:D,'Shp 500'!I:I),0)</f>
        <v>1043.1612903225775</v>
      </c>
      <c r="I117" s="19">
        <f>_xlfn.IFNA(_xlfn.XLOOKUP(C117,'Shp 500'!D:D,'Shp 500'!J:J),0)</f>
        <v>12148.091746551934</v>
      </c>
      <c r="J117" s="19">
        <v>280.64516129032256</v>
      </c>
      <c r="K117" s="19">
        <v>14412.903225806451</v>
      </c>
      <c r="L117" s="21" t="s">
        <v>2530</v>
      </c>
      <c r="M117" s="21" t="str">
        <f>IF(L117="Shp 500","Sim",IF(ISNA(_xlfn.XLOOKUP(C117,'Shp 500'!D:D,'Shp 500'!D:D)),"Não","Sim"))</f>
        <v>Sim</v>
      </c>
      <c r="N117" s="21" t="str">
        <f>IF(L117="Fastmoss 500","Sim",IF(ISNA(_xlfn.XLOOKUP(_xlfn.XLOOKUP(C117,'Same Seller Hist'!E:E,'Same Seller Hist'!H:H),'Fastmoss 500'!D:D,'Fastmoss 500'!D:D)),"Não","Sim"))</f>
        <v>Sim</v>
      </c>
      <c r="O117" s="21" t="str">
        <f>IF(AND(M117="Sim",N117="Sim"),"Sim","Não")</f>
        <v>Sim</v>
      </c>
      <c r="P117" s="21" t="str">
        <f>IF(I117&gt;K117,"Sim","Não")</f>
        <v>Não</v>
      </c>
      <c r="Q117" s="21">
        <f>COUNTIFS(C:C,C117)</f>
        <v>2</v>
      </c>
    </row>
    <row r="118" spans="3:17" x14ac:dyDescent="0.35">
      <c r="C118" s="5">
        <v>415175805</v>
      </c>
      <c r="D118" s="5" t="s">
        <v>1348</v>
      </c>
      <c r="E118" s="5">
        <f>_xlfn.XLOOKUP(C118,'Same Seller Hist'!E:E,'Same Seller Hist'!I:I)</f>
        <v>7.4961617045187103E+18</v>
      </c>
      <c r="F118" s="5" t="str">
        <f>_xlfn.XLOOKUP(C118,'Same Seller Hist'!E:E,'Same Seller Hist'!H:H)</f>
        <v>Isabela top</v>
      </c>
      <c r="G118" s="5" t="s">
        <v>1734</v>
      </c>
      <c r="H118" s="19">
        <v>2126.3225806451615</v>
      </c>
      <c r="I118" s="19">
        <v>12304.551508389968</v>
      </c>
      <c r="J118" s="19">
        <f>_xlfn.IFNA(_xlfn.XLOOKUP(F118,'Fastmoss 500'!D:D,'Fastmoss 500'!O:O),0)</f>
        <v>1116.1290322580646</v>
      </c>
      <c r="K118" s="19">
        <f>_xlfn.IFNA(_xlfn.XLOOKUP(F118,'Fastmoss 500'!D:D,'Fastmoss 500'!N:N),0)</f>
        <v>30035.483870967742</v>
      </c>
      <c r="L118" s="21" t="s">
        <v>2528</v>
      </c>
      <c r="M118" s="21" t="str">
        <f>IF(L118="Shp 500","Sim",IF(ISNA(_xlfn.XLOOKUP(C118,'Shp 500'!D:D,'Shp 500'!D:D)),"Não","Sim"))</f>
        <v>Sim</v>
      </c>
      <c r="N118" s="21" t="str">
        <f>IF(L118="Fastmoss 500","Sim",IF(ISNA(_xlfn.XLOOKUP(_xlfn.XLOOKUP(C118,'Same Seller Hist'!E:E,'Same Seller Hist'!H:H),'Fastmoss 500'!D:D,'Fastmoss 500'!D:D)),"Não","Sim"))</f>
        <v>Sim</v>
      </c>
      <c r="O118" s="21" t="str">
        <f>IF(AND(M118="Sim",N118="Sim"),"Sim","Não")</f>
        <v>Sim</v>
      </c>
      <c r="P118" s="21" t="str">
        <f>IF(I118&gt;K118,"Sim","Não")</f>
        <v>Não</v>
      </c>
      <c r="Q118" s="21">
        <f>COUNTIFS(C:C,C118)</f>
        <v>2</v>
      </c>
    </row>
    <row r="119" spans="3:17" hidden="1" x14ac:dyDescent="0.35">
      <c r="C119" s="5">
        <v>790605924</v>
      </c>
      <c r="D119" s="5" t="s">
        <v>1566</v>
      </c>
      <c r="E119" s="5">
        <f>_xlfn.XLOOKUP(C119,'Same Seller Hist'!E:E,'Same Seller Hist'!I:I)</f>
        <v>7.4963009151073997E+18</v>
      </c>
      <c r="F119" s="5" t="str">
        <f>_xlfn.XLOOKUP(C119,'Same Seller Hist'!E:E,'Same Seller Hist'!H:H)</f>
        <v>Adora Reborn</v>
      </c>
      <c r="G119" s="5" t="s">
        <v>905</v>
      </c>
      <c r="H119" s="19">
        <v>1041.0967741935451</v>
      </c>
      <c r="I119" s="19">
        <v>18478.950392067192</v>
      </c>
      <c r="J119" s="19">
        <f>_xlfn.IFNA(_xlfn.XLOOKUP(F119,'Fastmoss 500'!D:D,'Fastmoss 500'!O:O),0)</f>
        <v>0</v>
      </c>
      <c r="K119" s="19">
        <f>_xlfn.IFNA(_xlfn.XLOOKUP(F119,'Fastmoss 500'!D:D,'Fastmoss 500'!N:N),0)</f>
        <v>0</v>
      </c>
      <c r="L119" s="21" t="s">
        <v>2528</v>
      </c>
      <c r="M119" s="21" t="str">
        <f>IF(L119="Shp 500","Sim",IF(ISNA(_xlfn.XLOOKUP(C119,'Shp 500'!D:D,'Shp 500'!D:D)),"Não","Sim"))</f>
        <v>Sim</v>
      </c>
      <c r="N119" s="21" t="str">
        <f>IF(L119="Fastmoss 500","Sim",IF(ISNA(_xlfn.XLOOKUP(_xlfn.XLOOKUP(C119,'Same Seller Hist'!E:E,'Same Seller Hist'!H:H),'Fastmoss 500'!D:D,'Fastmoss 500'!D:D)),"Não","Sim"))</f>
        <v>Não</v>
      </c>
      <c r="O119" s="21" t="str">
        <f>IF(AND(M119="Sim",N119="Sim"),"Sim","Não")</f>
        <v>Não</v>
      </c>
      <c r="P119" s="21" t="str">
        <f>IF(I119&gt;K119,"Sim","Não")</f>
        <v>Sim</v>
      </c>
      <c r="Q119" s="21">
        <f>COUNTIFS(C:C,C119)</f>
        <v>1</v>
      </c>
    </row>
    <row r="120" spans="3:17" hidden="1" x14ac:dyDescent="0.35">
      <c r="C120" s="5">
        <v>378982950</v>
      </c>
      <c r="D120" s="5" t="s">
        <v>495</v>
      </c>
      <c r="E120" s="5">
        <f>_xlfn.XLOOKUP(C120,'Same Seller Hist'!E:E,'Same Seller Hist'!I:I)</f>
        <v>7.4962139404399698E+18</v>
      </c>
      <c r="F120" s="5" t="str">
        <f>_xlfn.XLOOKUP(C120,'Same Seller Hist'!E:E,'Same Seller Hist'!H:H)</f>
        <v>Brasil Casa</v>
      </c>
      <c r="G120" s="5" t="s">
        <v>905</v>
      </c>
      <c r="H120" s="19">
        <v>1040.0967741935451</v>
      </c>
      <c r="I120" s="19">
        <v>2251.2986944728482</v>
      </c>
      <c r="J120" s="19">
        <f>_xlfn.IFNA(_xlfn.XLOOKUP(F120,'Fastmoss 500'!D:D,'Fastmoss 500'!O:O),0)</f>
        <v>0</v>
      </c>
      <c r="K120" s="19">
        <f>_xlfn.IFNA(_xlfn.XLOOKUP(F120,'Fastmoss 500'!D:D,'Fastmoss 500'!N:N),0)</f>
        <v>0</v>
      </c>
      <c r="L120" s="21" t="s">
        <v>2528</v>
      </c>
      <c r="M120" s="21" t="str">
        <f>IF(L120="Shp 500","Sim",IF(ISNA(_xlfn.XLOOKUP(C120,'Shp 500'!D:D,'Shp 500'!D:D)),"Não","Sim"))</f>
        <v>Sim</v>
      </c>
      <c r="N120" s="21" t="str">
        <f>IF(L120="Fastmoss 500","Sim",IF(ISNA(_xlfn.XLOOKUP(_xlfn.XLOOKUP(C120,'Same Seller Hist'!E:E,'Same Seller Hist'!H:H),'Fastmoss 500'!D:D,'Fastmoss 500'!D:D)),"Não","Sim"))</f>
        <v>Não</v>
      </c>
      <c r="O120" s="21" t="str">
        <f>IF(AND(M120="Sim",N120="Sim"),"Sim","Não")</f>
        <v>Não</v>
      </c>
      <c r="P120" s="21" t="str">
        <f>IF(I120&gt;K120,"Sim","Não")</f>
        <v>Sim</v>
      </c>
      <c r="Q120" s="21">
        <f>COUNTIFS(C:C,C120)</f>
        <v>1</v>
      </c>
    </row>
    <row r="121" spans="3:17" hidden="1" x14ac:dyDescent="0.35">
      <c r="C121" s="5">
        <v>1262603742</v>
      </c>
      <c r="D121" s="5" t="s">
        <v>1569</v>
      </c>
      <c r="E121" s="5">
        <f>_xlfn.XLOOKUP(C121,'Same Seller Hist'!E:E,'Same Seller Hist'!I:I)</f>
        <v>7.4962024628752497E+18</v>
      </c>
      <c r="F121" s="5" t="str">
        <f>_xlfn.XLOOKUP(C121,'Same Seller Hist'!E:E,'Same Seller Hist'!H:H)</f>
        <v>Cosméticos São Paulo</v>
      </c>
      <c r="G121" s="5" t="s">
        <v>906</v>
      </c>
      <c r="H121" s="19">
        <v>1035.258064516129</v>
      </c>
      <c r="I121" s="19">
        <v>7727.9425591420322</v>
      </c>
      <c r="J121" s="19">
        <f>_xlfn.IFNA(_xlfn.XLOOKUP(F121,'Fastmoss 500'!D:D,'Fastmoss 500'!O:O),0)</f>
        <v>0</v>
      </c>
      <c r="K121" s="19">
        <f>_xlfn.IFNA(_xlfn.XLOOKUP(F121,'Fastmoss 500'!D:D,'Fastmoss 500'!N:N),0)</f>
        <v>0</v>
      </c>
      <c r="L121" s="21" t="s">
        <v>2528</v>
      </c>
      <c r="M121" s="21" t="str">
        <f>IF(L121="Shp 500","Sim",IF(ISNA(_xlfn.XLOOKUP(C121,'Shp 500'!D:D,'Shp 500'!D:D)),"Não","Sim"))</f>
        <v>Sim</v>
      </c>
      <c r="N121" s="21" t="str">
        <f>IF(L121="Fastmoss 500","Sim",IF(ISNA(_xlfn.XLOOKUP(_xlfn.XLOOKUP(C121,'Same Seller Hist'!E:E,'Same Seller Hist'!H:H),'Fastmoss 500'!D:D,'Fastmoss 500'!D:D)),"Não","Sim"))</f>
        <v>Não</v>
      </c>
      <c r="O121" s="21" t="str">
        <f>IF(AND(M121="Sim",N121="Sim"),"Sim","Não")</f>
        <v>Não</v>
      </c>
      <c r="P121" s="21" t="str">
        <f>IF(I121&gt;K121,"Sim","Não")</f>
        <v>Sim</v>
      </c>
      <c r="Q121" s="21">
        <f>COUNTIFS(C:C,C121)</f>
        <v>1</v>
      </c>
    </row>
    <row r="122" spans="3:17" hidden="1" x14ac:dyDescent="0.35">
      <c r="C122" s="5">
        <v>284901819</v>
      </c>
      <c r="D122" s="5" t="s">
        <v>1571</v>
      </c>
      <c r="E122" s="5">
        <f>_xlfn.XLOOKUP(C122,'Same Seller Hist'!E:E,'Same Seller Hist'!I:I)</f>
        <v>7.49620383353553E+18</v>
      </c>
      <c r="F122" s="5" t="str">
        <f>_xlfn.XLOOKUP(C122,'Same Seller Hist'!E:E,'Same Seller Hist'!H:H)</f>
        <v>ZemshopBR</v>
      </c>
      <c r="G122" s="5" t="s">
        <v>1734</v>
      </c>
      <c r="H122" s="19">
        <v>1030.6129032258034</v>
      </c>
      <c r="I122" s="19">
        <v>5586.8543845695485</v>
      </c>
      <c r="J122" s="19">
        <f>_xlfn.IFNA(_xlfn.XLOOKUP(F122,'Fastmoss 500'!D:D,'Fastmoss 500'!O:O),0)</f>
        <v>0</v>
      </c>
      <c r="K122" s="19">
        <f>_xlfn.IFNA(_xlfn.XLOOKUP(F122,'Fastmoss 500'!D:D,'Fastmoss 500'!N:N),0)</f>
        <v>0</v>
      </c>
      <c r="L122" s="21" t="s">
        <v>2528</v>
      </c>
      <c r="M122" s="21" t="str">
        <f>IF(L122="Shp 500","Sim",IF(ISNA(_xlfn.XLOOKUP(C122,'Shp 500'!D:D,'Shp 500'!D:D)),"Não","Sim"))</f>
        <v>Sim</v>
      </c>
      <c r="N122" s="21" t="str">
        <f>IF(L122="Fastmoss 500","Sim",IF(ISNA(_xlfn.XLOOKUP(_xlfn.XLOOKUP(C122,'Same Seller Hist'!E:E,'Same Seller Hist'!H:H),'Fastmoss 500'!D:D,'Fastmoss 500'!D:D)),"Não","Sim"))</f>
        <v>Não</v>
      </c>
      <c r="O122" s="21" t="str">
        <f>IF(AND(M122="Sim",N122="Sim"),"Sim","Não")</f>
        <v>Não</v>
      </c>
      <c r="P122" s="21" t="str">
        <f>IF(I122&gt;K122,"Sim","Não")</f>
        <v>Sim</v>
      </c>
      <c r="Q122" s="21">
        <f>COUNTIFS(C:C,C122)</f>
        <v>1</v>
      </c>
    </row>
    <row r="123" spans="3:17" hidden="1" x14ac:dyDescent="0.35">
      <c r="C123" s="5">
        <v>379994163</v>
      </c>
      <c r="D123" s="5" t="s">
        <v>497</v>
      </c>
      <c r="E123" s="5">
        <f>_xlfn.XLOOKUP(C123,'Same Seller Hist'!E:E,'Same Seller Hist'!I:I)</f>
        <v>7.4961622817423698E+18</v>
      </c>
      <c r="F123" s="5" t="str">
        <f>_xlfn.XLOOKUP(C123,'Same Seller Hist'!E:E,'Same Seller Hist'!H:H)</f>
        <v>Supreo</v>
      </c>
      <c r="G123" s="5" t="s">
        <v>1734</v>
      </c>
      <c r="H123" s="19">
        <v>1025.1290322580614</v>
      </c>
      <c r="I123" s="19">
        <v>7773.840839249774</v>
      </c>
      <c r="J123" s="19">
        <f>_xlfn.IFNA(_xlfn.XLOOKUP(F123,'Fastmoss 500'!D:D,'Fastmoss 500'!O:O),0)</f>
        <v>0</v>
      </c>
      <c r="K123" s="19">
        <f>_xlfn.IFNA(_xlfn.XLOOKUP(F123,'Fastmoss 500'!D:D,'Fastmoss 500'!N:N),0)</f>
        <v>0</v>
      </c>
      <c r="L123" s="21" t="s">
        <v>2528</v>
      </c>
      <c r="M123" s="21" t="str">
        <f>IF(L123="Shp 500","Sim",IF(ISNA(_xlfn.XLOOKUP(C123,'Shp 500'!D:D,'Shp 500'!D:D)),"Não","Sim"))</f>
        <v>Sim</v>
      </c>
      <c r="N123" s="21" t="str">
        <f>IF(L123="Fastmoss 500","Sim",IF(ISNA(_xlfn.XLOOKUP(_xlfn.XLOOKUP(C123,'Same Seller Hist'!E:E,'Same Seller Hist'!H:H),'Fastmoss 500'!D:D,'Fastmoss 500'!D:D)),"Não","Sim"))</f>
        <v>Não</v>
      </c>
      <c r="O123" s="21" t="str">
        <f>IF(AND(M123="Sim",N123="Sim"),"Sim","Não")</f>
        <v>Não</v>
      </c>
      <c r="P123" s="21" t="str">
        <f>IF(I123&gt;K123,"Sim","Não")</f>
        <v>Sim</v>
      </c>
      <c r="Q123" s="21">
        <f>COUNTIFS(C:C,C123)</f>
        <v>1</v>
      </c>
    </row>
    <row r="124" spans="3:17" hidden="1" x14ac:dyDescent="0.35">
      <c r="C124" s="5">
        <v>845996343</v>
      </c>
      <c r="D124" s="5" t="s">
        <v>1577</v>
      </c>
      <c r="E124" s="5">
        <f>_xlfn.XLOOKUP(C124,'Same Seller Hist'!E:E,'Same Seller Hist'!I:I)</f>
        <v>7.4962177346133996E+18</v>
      </c>
      <c r="F124" s="5" t="str">
        <f>_xlfn.XLOOKUP(C124,'Same Seller Hist'!E:E,'Same Seller Hist'!H:H)</f>
        <v>UNI ECOMMERCE</v>
      </c>
      <c r="G124" s="5" t="s">
        <v>1734</v>
      </c>
      <c r="H124" s="19">
        <v>1021.1612903225806</v>
      </c>
      <c r="I124" s="19">
        <v>7722.0030794325812</v>
      </c>
      <c r="J124" s="19">
        <f>_xlfn.IFNA(_xlfn.XLOOKUP(F124,'Fastmoss 500'!D:D,'Fastmoss 500'!O:O),0)</f>
        <v>0</v>
      </c>
      <c r="K124" s="19">
        <f>_xlfn.IFNA(_xlfn.XLOOKUP(F124,'Fastmoss 500'!D:D,'Fastmoss 500'!N:N),0)</f>
        <v>0</v>
      </c>
      <c r="L124" s="21" t="s">
        <v>2528</v>
      </c>
      <c r="M124" s="21" t="str">
        <f>IF(L124="Shp 500","Sim",IF(ISNA(_xlfn.XLOOKUP(C124,'Shp 500'!D:D,'Shp 500'!D:D)),"Não","Sim"))</f>
        <v>Sim</v>
      </c>
      <c r="N124" s="21" t="str">
        <f>IF(L124="Fastmoss 500","Sim",IF(ISNA(_xlfn.XLOOKUP(_xlfn.XLOOKUP(C124,'Same Seller Hist'!E:E,'Same Seller Hist'!H:H),'Fastmoss 500'!D:D,'Fastmoss 500'!D:D)),"Não","Sim"))</f>
        <v>Não</v>
      </c>
      <c r="O124" s="21" t="str">
        <f>IF(AND(M124="Sim",N124="Sim"),"Sim","Não")</f>
        <v>Não</v>
      </c>
      <c r="P124" s="21" t="str">
        <f>IF(I124&gt;K124,"Sim","Não")</f>
        <v>Sim</v>
      </c>
      <c r="Q124" s="21">
        <f>COUNTIFS(C:C,C124)</f>
        <v>1</v>
      </c>
    </row>
    <row r="125" spans="3:17" hidden="1" x14ac:dyDescent="0.35">
      <c r="C125" s="5">
        <v>468703210</v>
      </c>
      <c r="D125" s="5" t="s">
        <v>591</v>
      </c>
      <c r="E125" s="5">
        <f>_xlfn.XLOOKUP(C125,'Same Seller Hist'!E:E,'Same Seller Hist'!I:I)</f>
        <v>7.4961825098024499E+18</v>
      </c>
      <c r="F125" s="5" t="str">
        <f>_xlfn.XLOOKUP(C125,'Same Seller Hist'!E:E,'Same Seller Hist'!H:H)</f>
        <v>Luxo Real</v>
      </c>
      <c r="G125" s="5" t="s">
        <v>903</v>
      </c>
      <c r="H125" s="19">
        <v>1019.8387096774194</v>
      </c>
      <c r="I125" s="19">
        <v>4070.708542290613</v>
      </c>
      <c r="J125" s="19">
        <f>_xlfn.IFNA(_xlfn.XLOOKUP(F125,'Fastmoss 500'!D:D,'Fastmoss 500'!O:O),0)</f>
        <v>0</v>
      </c>
      <c r="K125" s="19">
        <f>_xlfn.IFNA(_xlfn.XLOOKUP(F125,'Fastmoss 500'!D:D,'Fastmoss 500'!N:N),0)</f>
        <v>0</v>
      </c>
      <c r="L125" s="21" t="s">
        <v>2528</v>
      </c>
      <c r="M125" s="21" t="str">
        <f>IF(L125="Shp 500","Sim",IF(ISNA(_xlfn.XLOOKUP(C125,'Shp 500'!D:D,'Shp 500'!D:D)),"Não","Sim"))</f>
        <v>Sim</v>
      </c>
      <c r="N125" s="21" t="str">
        <f>IF(L125="Fastmoss 500","Sim",IF(ISNA(_xlfn.XLOOKUP(_xlfn.XLOOKUP(C125,'Same Seller Hist'!E:E,'Same Seller Hist'!H:H),'Fastmoss 500'!D:D,'Fastmoss 500'!D:D)),"Não","Sim"))</f>
        <v>Não</v>
      </c>
      <c r="O125" s="21" t="str">
        <f>IF(AND(M125="Sim",N125="Sim"),"Sim","Não")</f>
        <v>Não</v>
      </c>
      <c r="P125" s="21" t="str">
        <f>IF(I125&gt;K125,"Sim","Não")</f>
        <v>Sim</v>
      </c>
      <c r="Q125" s="21">
        <f>COUNTIFS(C:C,C125)</f>
        <v>1</v>
      </c>
    </row>
    <row r="126" spans="3:17" x14ac:dyDescent="0.35">
      <c r="C126" s="5">
        <f>_xlfn.XLOOKUP(F126,'Same Seller Hist'!H:H,'Same Seller Hist'!E:E)</f>
        <v>415175805</v>
      </c>
      <c r="D126" s="5" t="str">
        <f>_xlfn.XLOOKUP(F126,'Same Seller Hist'!H:H,'Same Seller Hist'!D:D)</f>
        <v>Isabela top</v>
      </c>
      <c r="E126" s="5">
        <f>_xlfn.XLOOKUP(F126,'Same Seller Hist'!H:H,'Same Seller Hist'!I:I)</f>
        <v>7.4961617045187103E+18</v>
      </c>
      <c r="F126" s="5" t="s">
        <v>553</v>
      </c>
      <c r="G126" s="5" t="str">
        <f>_xlfn.XLOOKUP(C126,'Same Seller Hist'!E:E,'Same Seller Hist'!F:F)</f>
        <v>ELHA</v>
      </c>
      <c r="H126" s="19">
        <f>_xlfn.IFNA(_xlfn.XLOOKUP(C126,'Shp 500'!D:D,'Shp 500'!I:I),0)</f>
        <v>2126.3225806451615</v>
      </c>
      <c r="I126" s="19">
        <f>_xlfn.IFNA(_xlfn.XLOOKUP(C126,'Shp 500'!D:D,'Shp 500'!J:J),0)</f>
        <v>12304.551508389968</v>
      </c>
      <c r="J126" s="19">
        <v>1116.1290322580646</v>
      </c>
      <c r="K126" s="19">
        <v>30035.483870967742</v>
      </c>
      <c r="L126" s="21" t="s">
        <v>2530</v>
      </c>
      <c r="M126" s="21" t="str">
        <f>IF(L126="Shp 500","Sim",IF(ISNA(_xlfn.XLOOKUP(C126,'Shp 500'!D:D,'Shp 500'!D:D)),"Não","Sim"))</f>
        <v>Sim</v>
      </c>
      <c r="N126" s="21" t="str">
        <f>IF(L126="Fastmoss 500","Sim",IF(ISNA(_xlfn.XLOOKUP(_xlfn.XLOOKUP(C126,'Same Seller Hist'!E:E,'Same Seller Hist'!H:H),'Fastmoss 500'!D:D,'Fastmoss 500'!D:D)),"Não","Sim"))</f>
        <v>Sim</v>
      </c>
      <c r="O126" s="21" t="str">
        <f>IF(AND(M126="Sim",N126="Sim"),"Sim","Não")</f>
        <v>Sim</v>
      </c>
      <c r="P126" s="21" t="str">
        <f>IF(I126&gt;K126,"Sim","Não")</f>
        <v>Não</v>
      </c>
      <c r="Q126" s="21">
        <f>COUNTIFS(C:C,C126)</f>
        <v>2</v>
      </c>
    </row>
    <row r="127" spans="3:17" hidden="1" x14ac:dyDescent="0.35">
      <c r="C127" s="5">
        <v>504894896</v>
      </c>
      <c r="D127" s="5" t="s">
        <v>1583</v>
      </c>
      <c r="E127" s="5">
        <f>_xlfn.XLOOKUP(C127,'Same Seller Hist'!E:E,'Same Seller Hist'!I:I)</f>
        <v>7.4961862859874304E+18</v>
      </c>
      <c r="F127" s="5" t="str">
        <f>_xlfn.XLOOKUP(C127,'Same Seller Hist'!E:E,'Same Seller Hist'!H:H)</f>
        <v>Phils Ecom</v>
      </c>
      <c r="G127" s="5" t="s">
        <v>906</v>
      </c>
      <c r="H127" s="19">
        <v>1006.8387096774162</v>
      </c>
      <c r="I127" s="19">
        <v>5318.063750942807</v>
      </c>
      <c r="J127" s="19">
        <f>_xlfn.IFNA(_xlfn.XLOOKUP(F127,'Fastmoss 500'!D:D,'Fastmoss 500'!O:O),0)</f>
        <v>0</v>
      </c>
      <c r="K127" s="19">
        <f>_xlfn.IFNA(_xlfn.XLOOKUP(F127,'Fastmoss 500'!D:D,'Fastmoss 500'!N:N),0)</f>
        <v>0</v>
      </c>
      <c r="L127" s="21" t="s">
        <v>2528</v>
      </c>
      <c r="M127" s="21" t="str">
        <f>IF(L127="Shp 500","Sim",IF(ISNA(_xlfn.XLOOKUP(C127,'Shp 500'!D:D,'Shp 500'!D:D)),"Não","Sim"))</f>
        <v>Sim</v>
      </c>
      <c r="N127" s="21" t="str">
        <f>IF(L127="Fastmoss 500","Sim",IF(ISNA(_xlfn.XLOOKUP(_xlfn.XLOOKUP(C127,'Same Seller Hist'!E:E,'Same Seller Hist'!H:H),'Fastmoss 500'!D:D,'Fastmoss 500'!D:D)),"Não","Sim"))</f>
        <v>Não</v>
      </c>
      <c r="O127" s="21" t="str">
        <f>IF(AND(M127="Sim",N127="Sim"),"Sim","Não")</f>
        <v>Não</v>
      </c>
      <c r="P127" s="21" t="str">
        <f>IF(I127&gt;K127,"Sim","Não")</f>
        <v>Sim</v>
      </c>
      <c r="Q127" s="21">
        <f>COUNTIFS(C:C,C127)</f>
        <v>1</v>
      </c>
    </row>
    <row r="128" spans="3:17" x14ac:dyDescent="0.35">
      <c r="C128" s="5">
        <v>427289175</v>
      </c>
      <c r="D128" s="5" t="s">
        <v>1672</v>
      </c>
      <c r="E128" s="5">
        <f>_xlfn.XLOOKUP(C128,'Same Seller Hist'!E:E,'Same Seller Hist'!I:I)</f>
        <v>7.4962925231117701E+18</v>
      </c>
      <c r="F128" s="5" t="str">
        <f>_xlfn.XLOOKUP(C128,'Same Seller Hist'!E:E,'Same Seller Hist'!H:H)</f>
        <v>Luv.intimus</v>
      </c>
      <c r="G128" s="5" t="s">
        <v>903</v>
      </c>
      <c r="H128" s="19">
        <v>874.8064516129001</v>
      </c>
      <c r="I128" s="19">
        <v>5802.9562135131609</v>
      </c>
      <c r="J128" s="19">
        <f>_xlfn.IFNA(_xlfn.XLOOKUP(F128,'Fastmoss 500'!D:D,'Fastmoss 500'!O:O),0)</f>
        <v>422.58064516129031</v>
      </c>
      <c r="K128" s="19">
        <f>_xlfn.IFNA(_xlfn.XLOOKUP(F128,'Fastmoss 500'!D:D,'Fastmoss 500'!N:N),0)</f>
        <v>10264.516129032258</v>
      </c>
      <c r="L128" s="21" t="s">
        <v>2528</v>
      </c>
      <c r="M128" s="21" t="str">
        <f>IF(L128="Shp 500","Sim",IF(ISNA(_xlfn.XLOOKUP(C128,'Shp 500'!D:D,'Shp 500'!D:D)),"Não","Sim"))</f>
        <v>Sim</v>
      </c>
      <c r="N128" s="21" t="str">
        <f>IF(L128="Fastmoss 500","Sim",IF(ISNA(_xlfn.XLOOKUP(_xlfn.XLOOKUP(C128,'Same Seller Hist'!E:E,'Same Seller Hist'!H:H),'Fastmoss 500'!D:D,'Fastmoss 500'!D:D)),"Não","Sim"))</f>
        <v>Sim</v>
      </c>
      <c r="O128" s="21" t="str">
        <f>IF(AND(M128="Sim",N128="Sim"),"Sim","Não")</f>
        <v>Sim</v>
      </c>
      <c r="P128" s="21" t="str">
        <f>IF(I128&gt;K128,"Sim","Não")</f>
        <v>Não</v>
      </c>
      <c r="Q128" s="21">
        <f>COUNTIFS(C:C,C128)</f>
        <v>2</v>
      </c>
    </row>
    <row r="129" spans="3:17" x14ac:dyDescent="0.35">
      <c r="C129" s="5">
        <f>_xlfn.XLOOKUP(F129,'Same Seller Hist'!H:H,'Same Seller Hist'!E:E)</f>
        <v>427289175</v>
      </c>
      <c r="D129" s="5" t="str">
        <f>_xlfn.XLOOKUP(F129,'Same Seller Hist'!H:H,'Same Seller Hist'!D:D)</f>
        <v>Luv.intimus</v>
      </c>
      <c r="E129" s="5">
        <f>_xlfn.XLOOKUP(F129,'Same Seller Hist'!H:H,'Same Seller Hist'!I:I)</f>
        <v>7.4962925231117701E+18</v>
      </c>
      <c r="F129" s="5" t="s">
        <v>803</v>
      </c>
      <c r="G129" s="5">
        <f>_xlfn.XLOOKUP(C129,'Same Seller Hist'!E:E,'Same Seller Hist'!F:F)</f>
        <v>0</v>
      </c>
      <c r="H129" s="19">
        <f>_xlfn.IFNA(_xlfn.XLOOKUP(C129,'Shp 500'!D:D,'Shp 500'!I:I),0)</f>
        <v>874.8064516129001</v>
      </c>
      <c r="I129" s="19">
        <f>_xlfn.IFNA(_xlfn.XLOOKUP(C129,'Shp 500'!D:D,'Shp 500'!J:J),0)</f>
        <v>5802.9562135131609</v>
      </c>
      <c r="J129" s="19">
        <v>422.58064516129031</v>
      </c>
      <c r="K129" s="19">
        <v>10264.516129032258</v>
      </c>
      <c r="L129" s="21" t="s">
        <v>2530</v>
      </c>
      <c r="M129" s="21" t="str">
        <f>IF(L129="Shp 500","Sim",IF(ISNA(_xlfn.XLOOKUP(C129,'Shp 500'!D:D,'Shp 500'!D:D)),"Não","Sim"))</f>
        <v>Sim</v>
      </c>
      <c r="N129" s="21" t="str">
        <f>IF(L129="Fastmoss 500","Sim",IF(ISNA(_xlfn.XLOOKUP(_xlfn.XLOOKUP(C129,'Same Seller Hist'!E:E,'Same Seller Hist'!H:H),'Fastmoss 500'!D:D,'Fastmoss 500'!D:D)),"Não","Sim"))</f>
        <v>Sim</v>
      </c>
      <c r="O129" s="21" t="str">
        <f>IF(AND(M129="Sim",N129="Sim"),"Sim","Não")</f>
        <v>Sim</v>
      </c>
      <c r="P129" s="21" t="str">
        <f>IF(I129&gt;K129,"Sim","Não")</f>
        <v>Não</v>
      </c>
      <c r="Q129" s="21">
        <f>COUNTIFS(C:C,C129)</f>
        <v>2</v>
      </c>
    </row>
    <row r="130" spans="3:17" x14ac:dyDescent="0.35">
      <c r="C130" s="5">
        <v>436773535</v>
      </c>
      <c r="D130" s="5" t="s">
        <v>573</v>
      </c>
      <c r="E130" s="5">
        <f>_xlfn.XLOOKUP(C130,'Same Seller Hist'!E:E,'Same Seller Hist'!I:I)</f>
        <v>7.4941445783934996E+18</v>
      </c>
      <c r="F130" s="5" t="str">
        <f>_xlfn.XLOOKUP(C130,'Same Seller Hist'!E:E,'Same Seller Hist'!H:H)</f>
        <v>Balloon Kids</v>
      </c>
      <c r="G130" s="5" t="s">
        <v>903</v>
      </c>
      <c r="H130" s="19">
        <v>920.83870967741939</v>
      </c>
      <c r="I130" s="19">
        <v>8706.8130283091286</v>
      </c>
      <c r="J130" s="19">
        <f>_xlfn.IFNA(_xlfn.XLOOKUP(F130,'Fastmoss 500'!D:D,'Fastmoss 500'!O:O),0)</f>
        <v>225.80645161290323</v>
      </c>
      <c r="K130" s="19">
        <f>_xlfn.IFNA(_xlfn.XLOOKUP(F130,'Fastmoss 500'!D:D,'Fastmoss 500'!N:N),0)</f>
        <v>12780.645161290322</v>
      </c>
      <c r="L130" s="21" t="s">
        <v>2528</v>
      </c>
      <c r="M130" s="21" t="str">
        <f>IF(L130="Shp 500","Sim",IF(ISNA(_xlfn.XLOOKUP(C130,'Shp 500'!D:D,'Shp 500'!D:D)),"Não","Sim"))</f>
        <v>Sim</v>
      </c>
      <c r="N130" s="21" t="str">
        <f>IF(L130="Fastmoss 500","Sim",IF(ISNA(_xlfn.XLOOKUP(_xlfn.XLOOKUP(C130,'Same Seller Hist'!E:E,'Same Seller Hist'!H:H),'Fastmoss 500'!D:D,'Fastmoss 500'!D:D)),"Não","Sim"))</f>
        <v>Sim</v>
      </c>
      <c r="O130" s="21" t="str">
        <f>IF(AND(M130="Sim",N130="Sim"),"Sim","Não")</f>
        <v>Sim</v>
      </c>
      <c r="P130" s="21" t="str">
        <f>IF(I130&gt;K130,"Sim","Não")</f>
        <v>Não</v>
      </c>
      <c r="Q130" s="21">
        <f>COUNTIFS(C:C,C130)</f>
        <v>2</v>
      </c>
    </row>
    <row r="131" spans="3:17" hidden="1" x14ac:dyDescent="0.35">
      <c r="C131" s="5">
        <v>422903557</v>
      </c>
      <c r="D131" s="5" t="s">
        <v>1600</v>
      </c>
      <c r="E131" s="5">
        <f>_xlfn.XLOOKUP(C131,'Same Seller Hist'!E:E,'Same Seller Hist'!I:I)</f>
        <v>7.4961469634047795E+18</v>
      </c>
      <c r="F131" s="5" t="str">
        <f>_xlfn.XLOOKUP(C131,'Same Seller Hist'!E:E,'Same Seller Hist'!H:H)</f>
        <v>Comprou, Chegou Distribuidora</v>
      </c>
      <c r="G131" s="5" t="s">
        <v>906</v>
      </c>
      <c r="H131" s="19">
        <v>990.29032258064194</v>
      </c>
      <c r="I131" s="19">
        <v>3479.3616651460966</v>
      </c>
      <c r="J131" s="19">
        <f>_xlfn.IFNA(_xlfn.XLOOKUP(F131,'Fastmoss 500'!D:D,'Fastmoss 500'!O:O),0)</f>
        <v>0</v>
      </c>
      <c r="K131" s="19">
        <f>_xlfn.IFNA(_xlfn.XLOOKUP(F131,'Fastmoss 500'!D:D,'Fastmoss 500'!N:N),0)</f>
        <v>0</v>
      </c>
      <c r="L131" s="21" t="s">
        <v>2528</v>
      </c>
      <c r="M131" s="21" t="str">
        <f>IF(L131="Shp 500","Sim",IF(ISNA(_xlfn.XLOOKUP(C131,'Shp 500'!D:D,'Shp 500'!D:D)),"Não","Sim"))</f>
        <v>Sim</v>
      </c>
      <c r="N131" s="21" t="str">
        <f>IF(L131="Fastmoss 500","Sim",IF(ISNA(_xlfn.XLOOKUP(_xlfn.XLOOKUP(C131,'Same Seller Hist'!E:E,'Same Seller Hist'!H:H),'Fastmoss 500'!D:D,'Fastmoss 500'!D:D)),"Não","Sim"))</f>
        <v>Não</v>
      </c>
      <c r="O131" s="21" t="str">
        <f>IF(AND(M131="Sim",N131="Sim"),"Sim","Não")</f>
        <v>Não</v>
      </c>
      <c r="P131" s="21" t="str">
        <f>IF(I131&gt;K131,"Sim","Não")</f>
        <v>Sim</v>
      </c>
      <c r="Q131" s="21">
        <f>COUNTIFS(C:C,C131)</f>
        <v>1</v>
      </c>
    </row>
    <row r="132" spans="3:17" hidden="1" x14ac:dyDescent="0.35">
      <c r="C132" s="5">
        <v>1383463294</v>
      </c>
      <c r="D132" s="5" t="s">
        <v>230</v>
      </c>
      <c r="E132" s="5">
        <f>_xlfn.XLOOKUP(C132,'Same Seller Hist'!E:E,'Same Seller Hist'!I:I)</f>
        <v>7.4961821525006397E+18</v>
      </c>
      <c r="F132" s="5" t="str">
        <f>_xlfn.XLOOKUP(C132,'Same Seller Hist'!E:E,'Same Seller Hist'!H:H)</f>
        <v>Lemon Seleção</v>
      </c>
      <c r="G132" s="5" t="s">
        <v>905</v>
      </c>
      <c r="H132" s="19">
        <v>984.70967741935488</v>
      </c>
      <c r="I132" s="19">
        <v>4845.5200848058712</v>
      </c>
      <c r="J132" s="19">
        <f>_xlfn.IFNA(_xlfn.XLOOKUP(F132,'Fastmoss 500'!D:D,'Fastmoss 500'!O:O),0)</f>
        <v>0</v>
      </c>
      <c r="K132" s="19">
        <f>_xlfn.IFNA(_xlfn.XLOOKUP(F132,'Fastmoss 500'!D:D,'Fastmoss 500'!N:N),0)</f>
        <v>0</v>
      </c>
      <c r="L132" s="21" t="s">
        <v>2528</v>
      </c>
      <c r="M132" s="21" t="str">
        <f>IF(L132="Shp 500","Sim",IF(ISNA(_xlfn.XLOOKUP(C132,'Shp 500'!D:D,'Shp 500'!D:D)),"Não","Sim"))</f>
        <v>Sim</v>
      </c>
      <c r="N132" s="21" t="str">
        <f>IF(L132="Fastmoss 500","Sim",IF(ISNA(_xlfn.XLOOKUP(_xlfn.XLOOKUP(C132,'Same Seller Hist'!E:E,'Same Seller Hist'!H:H),'Fastmoss 500'!D:D,'Fastmoss 500'!D:D)),"Não","Sim"))</f>
        <v>Não</v>
      </c>
      <c r="O132" s="21" t="str">
        <f>IF(AND(M132="Sim",N132="Sim"),"Sim","Não")</f>
        <v>Não</v>
      </c>
      <c r="P132" s="21" t="str">
        <f>IF(I132&gt;K132,"Sim","Não")</f>
        <v>Sim</v>
      </c>
      <c r="Q132" s="21">
        <f>COUNTIFS(C:C,C132)</f>
        <v>1</v>
      </c>
    </row>
    <row r="133" spans="3:17" x14ac:dyDescent="0.35">
      <c r="C133" s="5">
        <f>_xlfn.XLOOKUP(F133,'Same Seller Hist'!H:H,'Same Seller Hist'!E:E)</f>
        <v>436773535</v>
      </c>
      <c r="D133" s="5" t="str">
        <f>_xlfn.XLOOKUP(F133,'Same Seller Hist'!H:H,'Same Seller Hist'!D:D)</f>
        <v>Balloon Kids</v>
      </c>
      <c r="E133" s="5">
        <f>_xlfn.XLOOKUP(F133,'Same Seller Hist'!H:H,'Same Seller Hist'!I:I)</f>
        <v>7.4941445783934996E+18</v>
      </c>
      <c r="F133" s="5" t="s">
        <v>573</v>
      </c>
      <c r="G133" s="5" t="str">
        <f>_xlfn.XLOOKUP(C133,'Same Seller Hist'!E:E,'Same Seller Hist'!F:F)</f>
        <v>Fashion</v>
      </c>
      <c r="H133" s="19">
        <f>_xlfn.IFNA(_xlfn.XLOOKUP(C133,'Shp 500'!D:D,'Shp 500'!I:I),0)</f>
        <v>920.83870967741939</v>
      </c>
      <c r="I133" s="19">
        <f>_xlfn.IFNA(_xlfn.XLOOKUP(C133,'Shp 500'!D:D,'Shp 500'!J:J),0)</f>
        <v>8706.8130283091286</v>
      </c>
      <c r="J133" s="19">
        <v>225.80645161290323</v>
      </c>
      <c r="K133" s="19">
        <v>12780.645161290322</v>
      </c>
      <c r="L133" s="21" t="s">
        <v>2530</v>
      </c>
      <c r="M133" s="21" t="str">
        <f>IF(L133="Shp 500","Sim",IF(ISNA(_xlfn.XLOOKUP(C133,'Shp 500'!D:D,'Shp 500'!D:D)),"Não","Sim"))</f>
        <v>Sim</v>
      </c>
      <c r="N133" s="21" t="str">
        <f>IF(L133="Fastmoss 500","Sim",IF(ISNA(_xlfn.XLOOKUP(_xlfn.XLOOKUP(C133,'Same Seller Hist'!E:E,'Same Seller Hist'!H:H),'Fastmoss 500'!D:D,'Fastmoss 500'!D:D)),"Não","Sim"))</f>
        <v>Sim</v>
      </c>
      <c r="O133" s="21" t="str">
        <f>IF(AND(M133="Sim",N133="Sim"),"Sim","Não")</f>
        <v>Sim</v>
      </c>
      <c r="P133" s="21" t="str">
        <f>IF(I133&gt;K133,"Sim","Não")</f>
        <v>Não</v>
      </c>
      <c r="Q133" s="21">
        <f>COUNTIFS(C:C,C133)</f>
        <v>2</v>
      </c>
    </row>
    <row r="134" spans="3:17" hidden="1" x14ac:dyDescent="0.35">
      <c r="C134" s="5">
        <v>331517678</v>
      </c>
      <c r="D134" s="5" t="s">
        <v>1613</v>
      </c>
      <c r="E134" s="5">
        <f>_xlfn.XLOOKUP(C134,'Same Seller Hist'!E:E,'Same Seller Hist'!I:I)</f>
        <v>0</v>
      </c>
      <c r="F134" s="5">
        <f>_xlfn.XLOOKUP(C134,'Same Seller Hist'!E:E,'Same Seller Hist'!H:H)</f>
        <v>0</v>
      </c>
      <c r="G134" s="5" t="s">
        <v>1734</v>
      </c>
      <c r="H134" s="19">
        <v>967.16129032257743</v>
      </c>
      <c r="I134" s="19">
        <v>3994.9900721395161</v>
      </c>
      <c r="J134" s="19">
        <f>_xlfn.IFNA(_xlfn.XLOOKUP(F134,'Fastmoss 500'!D:D,'Fastmoss 500'!O:O),0)</f>
        <v>0</v>
      </c>
      <c r="K134" s="19">
        <f>_xlfn.IFNA(_xlfn.XLOOKUP(F134,'Fastmoss 500'!D:D,'Fastmoss 500'!N:N),0)</f>
        <v>0</v>
      </c>
      <c r="L134" s="21" t="s">
        <v>2528</v>
      </c>
      <c r="M134" s="21" t="str">
        <f>IF(L134="Shp 500","Sim",IF(ISNA(_xlfn.XLOOKUP(C134,'Shp 500'!D:D,'Shp 500'!D:D)),"Não","Sim"))</f>
        <v>Sim</v>
      </c>
      <c r="N134" s="21" t="str">
        <f>IF(L134="Fastmoss 500","Sim",IF(ISNA(_xlfn.XLOOKUP(_xlfn.XLOOKUP(C134,'Same Seller Hist'!E:E,'Same Seller Hist'!H:H),'Fastmoss 500'!D:D,'Fastmoss 500'!D:D)),"Não","Sim"))</f>
        <v>Sim</v>
      </c>
      <c r="O134" s="21" t="str">
        <f>IF(AND(M134="Sim",N134="Sim"),"Sim","Não")</f>
        <v>Sim</v>
      </c>
      <c r="P134" s="21" t="str">
        <f>IF(I134&gt;K134,"Sim","Não")</f>
        <v>Sim</v>
      </c>
      <c r="Q134" s="21">
        <f>COUNTIFS(C:C,C134)</f>
        <v>1</v>
      </c>
    </row>
    <row r="135" spans="3:17" hidden="1" x14ac:dyDescent="0.35">
      <c r="C135" s="5">
        <v>961638733</v>
      </c>
      <c r="D135" s="5" t="s">
        <v>761</v>
      </c>
      <c r="E135" s="5">
        <f>_xlfn.XLOOKUP(C135,'Same Seller Hist'!E:E,'Same Seller Hist'!I:I)</f>
        <v>7.4961820935382897E+18</v>
      </c>
      <c r="F135" s="5" t="str">
        <f>_xlfn.XLOOKUP(C135,'Same Seller Hist'!E:E,'Same Seller Hist'!H:H)</f>
        <v>ROMALIZ</v>
      </c>
      <c r="G135" s="5" t="s">
        <v>905</v>
      </c>
      <c r="H135" s="19">
        <v>962.32258064515815</v>
      </c>
      <c r="I135" s="19">
        <v>9882.1833985151607</v>
      </c>
      <c r="J135" s="19">
        <f>_xlfn.IFNA(_xlfn.XLOOKUP(F135,'Fastmoss 500'!D:D,'Fastmoss 500'!O:O),0)</f>
        <v>0</v>
      </c>
      <c r="K135" s="19">
        <f>_xlfn.IFNA(_xlfn.XLOOKUP(F135,'Fastmoss 500'!D:D,'Fastmoss 500'!N:N),0)</f>
        <v>0</v>
      </c>
      <c r="L135" s="21" t="s">
        <v>2528</v>
      </c>
      <c r="M135" s="21" t="str">
        <f>IF(L135="Shp 500","Sim",IF(ISNA(_xlfn.XLOOKUP(C135,'Shp 500'!D:D,'Shp 500'!D:D)),"Não","Sim"))</f>
        <v>Sim</v>
      </c>
      <c r="N135" s="21" t="str">
        <f>IF(L135="Fastmoss 500","Sim",IF(ISNA(_xlfn.XLOOKUP(_xlfn.XLOOKUP(C135,'Same Seller Hist'!E:E,'Same Seller Hist'!H:H),'Fastmoss 500'!D:D,'Fastmoss 500'!D:D)),"Não","Sim"))</f>
        <v>Não</v>
      </c>
      <c r="O135" s="21" t="str">
        <f>IF(AND(M135="Sim",N135="Sim"),"Sim","Não")</f>
        <v>Não</v>
      </c>
      <c r="P135" s="21" t="str">
        <f>IF(I135&gt;K135,"Sim","Não")</f>
        <v>Sim</v>
      </c>
      <c r="Q135" s="21">
        <f>COUNTIFS(C:C,C135)</f>
        <v>1</v>
      </c>
    </row>
    <row r="136" spans="3:17" x14ac:dyDescent="0.35">
      <c r="C136" s="5">
        <v>465623800</v>
      </c>
      <c r="D136" s="5" t="s">
        <v>588</v>
      </c>
      <c r="E136" s="5">
        <f>_xlfn.XLOOKUP(C136,'Same Seller Hist'!E:E,'Same Seller Hist'!I:I)</f>
        <v>7.4961616350850202E+18</v>
      </c>
      <c r="F136" s="5" t="str">
        <f>_xlfn.XLOOKUP(C136,'Same Seller Hist'!E:E,'Same Seller Hist'!H:H)</f>
        <v>M&amp;D Brasil Atacadista</v>
      </c>
      <c r="G136" s="5" t="s">
        <v>1734</v>
      </c>
      <c r="H136" s="19">
        <v>2708.6451612903224</v>
      </c>
      <c r="I136" s="19">
        <v>7044.0811110540972</v>
      </c>
      <c r="J136" s="19">
        <f>_xlfn.IFNA(_xlfn.XLOOKUP(F136,'Fastmoss 500'!D:D,'Fastmoss 500'!O:O),0)</f>
        <v>329.03225806451616</v>
      </c>
      <c r="K136" s="19">
        <f>_xlfn.IFNA(_xlfn.XLOOKUP(F136,'Fastmoss 500'!D:D,'Fastmoss 500'!N:N),0)</f>
        <v>8577.4193548387102</v>
      </c>
      <c r="L136" s="21" t="s">
        <v>2528</v>
      </c>
      <c r="M136" s="21" t="str">
        <f>IF(L136="Shp 500","Sim",IF(ISNA(_xlfn.XLOOKUP(C136,'Shp 500'!D:D,'Shp 500'!D:D)),"Não","Sim"))</f>
        <v>Sim</v>
      </c>
      <c r="N136" s="21" t="str">
        <f>IF(L136="Fastmoss 500","Sim",IF(ISNA(_xlfn.XLOOKUP(_xlfn.XLOOKUP(C136,'Same Seller Hist'!E:E,'Same Seller Hist'!H:H),'Fastmoss 500'!D:D,'Fastmoss 500'!D:D)),"Não","Sim"))</f>
        <v>Sim</v>
      </c>
      <c r="O136" s="21" t="str">
        <f>IF(AND(M136="Sim",N136="Sim"),"Sim","Não")</f>
        <v>Sim</v>
      </c>
      <c r="P136" s="21" t="str">
        <f>IF(I136&gt;K136,"Sim","Não")</f>
        <v>Não</v>
      </c>
      <c r="Q136" s="21">
        <f>COUNTIFS(C:C,C136)</f>
        <v>2</v>
      </c>
    </row>
    <row r="137" spans="3:17" hidden="1" x14ac:dyDescent="0.35">
      <c r="C137" s="5">
        <v>398944029</v>
      </c>
      <c r="D137" s="5" t="s">
        <v>529</v>
      </c>
      <c r="E137" s="5">
        <f>_xlfn.XLOOKUP(C137,'Same Seller Hist'!E:E,'Same Seller Hist'!I:I)</f>
        <v>7.4962388703206697E+18</v>
      </c>
      <c r="F137" s="5" t="str">
        <f>_xlfn.XLOOKUP(C137,'Same Seller Hist'!E:E,'Same Seller Hist'!H:H)</f>
        <v>Popular Pet</v>
      </c>
      <c r="G137" s="5" t="s">
        <v>906</v>
      </c>
      <c r="H137" s="19">
        <v>944.54838709677415</v>
      </c>
      <c r="I137" s="19">
        <v>12389.453972633743</v>
      </c>
      <c r="J137" s="19">
        <f>_xlfn.IFNA(_xlfn.XLOOKUP(F137,'Fastmoss 500'!D:D,'Fastmoss 500'!O:O),0)</f>
        <v>0</v>
      </c>
      <c r="K137" s="19">
        <f>_xlfn.IFNA(_xlfn.XLOOKUP(F137,'Fastmoss 500'!D:D,'Fastmoss 500'!N:N),0)</f>
        <v>0</v>
      </c>
      <c r="L137" s="21" t="s">
        <v>2528</v>
      </c>
      <c r="M137" s="21" t="str">
        <f>IF(L137="Shp 500","Sim",IF(ISNA(_xlfn.XLOOKUP(C137,'Shp 500'!D:D,'Shp 500'!D:D)),"Não","Sim"))</f>
        <v>Sim</v>
      </c>
      <c r="N137" s="21" t="str">
        <f>IF(L137="Fastmoss 500","Sim",IF(ISNA(_xlfn.XLOOKUP(_xlfn.XLOOKUP(C137,'Same Seller Hist'!E:E,'Same Seller Hist'!H:H),'Fastmoss 500'!D:D,'Fastmoss 500'!D:D)),"Não","Sim"))</f>
        <v>Não</v>
      </c>
      <c r="O137" s="21" t="str">
        <f>IF(AND(M137="Sim",N137="Sim"),"Sim","Não")</f>
        <v>Não</v>
      </c>
      <c r="P137" s="21" t="str">
        <f>IF(I137&gt;K137,"Sim","Não")</f>
        <v>Sim</v>
      </c>
      <c r="Q137" s="21">
        <f>COUNTIFS(C:C,C137)</f>
        <v>1</v>
      </c>
    </row>
    <row r="138" spans="3:17" hidden="1" x14ac:dyDescent="0.35">
      <c r="C138" s="5">
        <v>300863563</v>
      </c>
      <c r="D138" s="5" t="s">
        <v>1628</v>
      </c>
      <c r="E138" s="5">
        <f>_xlfn.XLOOKUP(C138,'Same Seller Hist'!E:E,'Same Seller Hist'!I:I)</f>
        <v>7.4961816175501302E+18</v>
      </c>
      <c r="F138" s="5" t="str">
        <f>_xlfn.XLOOKUP(C138,'Same Seller Hist'!E:E,'Same Seller Hist'!H:H)</f>
        <v>karseen</v>
      </c>
      <c r="G138" s="5" t="s">
        <v>906</v>
      </c>
      <c r="H138" s="19">
        <v>939.54838709677415</v>
      </c>
      <c r="I138" s="19">
        <v>7697.8130406582895</v>
      </c>
      <c r="J138" s="19">
        <f>_xlfn.IFNA(_xlfn.XLOOKUP(F138,'Fastmoss 500'!D:D,'Fastmoss 500'!O:O),0)</f>
        <v>0</v>
      </c>
      <c r="K138" s="19">
        <f>_xlfn.IFNA(_xlfn.XLOOKUP(F138,'Fastmoss 500'!D:D,'Fastmoss 500'!N:N),0)</f>
        <v>0</v>
      </c>
      <c r="L138" s="21" t="s">
        <v>2528</v>
      </c>
      <c r="M138" s="21" t="str">
        <f>IF(L138="Shp 500","Sim",IF(ISNA(_xlfn.XLOOKUP(C138,'Shp 500'!D:D,'Shp 500'!D:D)),"Não","Sim"))</f>
        <v>Sim</v>
      </c>
      <c r="N138" s="21" t="str">
        <f>IF(L138="Fastmoss 500","Sim",IF(ISNA(_xlfn.XLOOKUP(_xlfn.XLOOKUP(C138,'Same Seller Hist'!E:E,'Same Seller Hist'!H:H),'Fastmoss 500'!D:D,'Fastmoss 500'!D:D)),"Não","Sim"))</f>
        <v>Não</v>
      </c>
      <c r="O138" s="21" t="str">
        <f>IF(AND(M138="Sim",N138="Sim"),"Sim","Não")</f>
        <v>Não</v>
      </c>
      <c r="P138" s="21" t="str">
        <f>IF(I138&gt;K138,"Sim","Não")</f>
        <v>Sim</v>
      </c>
      <c r="Q138" s="21">
        <f>COUNTIFS(C:C,C138)</f>
        <v>1</v>
      </c>
    </row>
    <row r="139" spans="3:17" hidden="1" x14ac:dyDescent="0.35">
      <c r="C139" s="5">
        <v>710045240</v>
      </c>
      <c r="D139" s="5" t="s">
        <v>1632</v>
      </c>
      <c r="E139" s="5">
        <f>_xlfn.XLOOKUP(C139,'Same Seller Hist'!E:E,'Same Seller Hist'!I:I)</f>
        <v>7.49631209462114E+18</v>
      </c>
      <c r="F139" s="5" t="str">
        <f>_xlfn.XLOOKUP(C139,'Same Seller Hist'!E:E,'Same Seller Hist'!H:H)</f>
        <v>Infinity Brasil Shopping</v>
      </c>
      <c r="G139" s="5" t="s">
        <v>905</v>
      </c>
      <c r="H139" s="19">
        <v>932.35483870967425</v>
      </c>
      <c r="I139" s="19">
        <v>7005.6743754767422</v>
      </c>
      <c r="J139" s="19">
        <f>_xlfn.IFNA(_xlfn.XLOOKUP(F139,'Fastmoss 500'!D:D,'Fastmoss 500'!O:O),0)</f>
        <v>0</v>
      </c>
      <c r="K139" s="19">
        <f>_xlfn.IFNA(_xlfn.XLOOKUP(F139,'Fastmoss 500'!D:D,'Fastmoss 500'!N:N),0)</f>
        <v>0</v>
      </c>
      <c r="L139" s="21" t="s">
        <v>2528</v>
      </c>
      <c r="M139" s="21" t="str">
        <f>IF(L139="Shp 500","Sim",IF(ISNA(_xlfn.XLOOKUP(C139,'Shp 500'!D:D,'Shp 500'!D:D)),"Não","Sim"))</f>
        <v>Sim</v>
      </c>
      <c r="N139" s="21" t="str">
        <f>IF(L139="Fastmoss 500","Sim",IF(ISNA(_xlfn.XLOOKUP(_xlfn.XLOOKUP(C139,'Same Seller Hist'!E:E,'Same Seller Hist'!H:H),'Fastmoss 500'!D:D,'Fastmoss 500'!D:D)),"Não","Sim"))</f>
        <v>Não</v>
      </c>
      <c r="O139" s="21" t="str">
        <f>IF(AND(M139="Sim",N139="Sim"),"Sim","Não")</f>
        <v>Não</v>
      </c>
      <c r="P139" s="21" t="str">
        <f>IF(I139&gt;K139,"Sim","Não")</f>
        <v>Sim</v>
      </c>
      <c r="Q139" s="21">
        <f>COUNTIFS(C:C,C139)</f>
        <v>1</v>
      </c>
    </row>
    <row r="140" spans="3:17" x14ac:dyDescent="0.35">
      <c r="C140" s="5">
        <f>_xlfn.XLOOKUP(F140,'Same Seller Hist'!H:H,'Same Seller Hist'!E:E)</f>
        <v>465623800</v>
      </c>
      <c r="D140" s="5" t="str">
        <f>_xlfn.XLOOKUP(F140,'Same Seller Hist'!H:H,'Same Seller Hist'!D:D)</f>
        <v>M&amp;D Brasil Atacadista</v>
      </c>
      <c r="E140" s="5">
        <f>_xlfn.XLOOKUP(F140,'Same Seller Hist'!H:H,'Same Seller Hist'!I:I)</f>
        <v>7.4961616350850202E+18</v>
      </c>
      <c r="F140" s="5" t="s">
        <v>588</v>
      </c>
      <c r="G140" s="5" t="str">
        <f>_xlfn.XLOOKUP(C140,'Same Seller Hist'!E:E,'Same Seller Hist'!F:F)</f>
        <v>FMCG</v>
      </c>
      <c r="H140" s="19">
        <f>_xlfn.IFNA(_xlfn.XLOOKUP(C140,'Shp 500'!D:D,'Shp 500'!I:I),0)</f>
        <v>2708.6451612903224</v>
      </c>
      <c r="I140" s="19">
        <f>_xlfn.IFNA(_xlfn.XLOOKUP(C140,'Shp 500'!D:D,'Shp 500'!J:J),0)</f>
        <v>7044.0811110540972</v>
      </c>
      <c r="J140" s="19">
        <v>329.03225806451616</v>
      </c>
      <c r="K140" s="19">
        <v>8577.4193548387102</v>
      </c>
      <c r="L140" s="21" t="s">
        <v>2530</v>
      </c>
      <c r="M140" s="21" t="str">
        <f>IF(L140="Shp 500","Sim",IF(ISNA(_xlfn.XLOOKUP(C140,'Shp 500'!D:D,'Shp 500'!D:D)),"Não","Sim"))</f>
        <v>Sim</v>
      </c>
      <c r="N140" s="21" t="str">
        <f>IF(L140="Fastmoss 500","Sim",IF(ISNA(_xlfn.XLOOKUP(_xlfn.XLOOKUP(C140,'Same Seller Hist'!E:E,'Same Seller Hist'!H:H),'Fastmoss 500'!D:D,'Fastmoss 500'!D:D)),"Não","Sim"))</f>
        <v>Sim</v>
      </c>
      <c r="O140" s="21" t="str">
        <f>IF(AND(M140="Sim",N140="Sim"),"Sim","Não")</f>
        <v>Sim</v>
      </c>
      <c r="P140" s="21" t="str">
        <f>IF(I140&gt;K140,"Sim","Não")</f>
        <v>Não</v>
      </c>
      <c r="Q140" s="21">
        <f>COUNTIFS(C:C,C140)</f>
        <v>2</v>
      </c>
    </row>
    <row r="141" spans="3:17" hidden="1" x14ac:dyDescent="0.35">
      <c r="C141" s="5">
        <v>1553736756</v>
      </c>
      <c r="D141" s="5" t="s">
        <v>318</v>
      </c>
      <c r="E141" s="5">
        <f>_xlfn.XLOOKUP(C141,'Same Seller Hist'!E:E,'Same Seller Hist'!I:I)</f>
        <v>7.4962439492078397E+18</v>
      </c>
      <c r="F141" s="5" t="str">
        <f>_xlfn.XLOOKUP(C141,'Same Seller Hist'!E:E,'Same Seller Hist'!H:H)</f>
        <v>EletroTop Store</v>
      </c>
      <c r="G141" s="5" t="s">
        <v>1734</v>
      </c>
      <c r="H141" s="19">
        <v>928.16129032257743</v>
      </c>
      <c r="I141" s="19">
        <v>8733.3390571761938</v>
      </c>
      <c r="J141" s="19">
        <f>_xlfn.IFNA(_xlfn.XLOOKUP(F141,'Fastmoss 500'!D:D,'Fastmoss 500'!O:O),0)</f>
        <v>0</v>
      </c>
      <c r="K141" s="19">
        <f>_xlfn.IFNA(_xlfn.XLOOKUP(F141,'Fastmoss 500'!D:D,'Fastmoss 500'!N:N),0)</f>
        <v>0</v>
      </c>
      <c r="L141" s="21" t="s">
        <v>2528</v>
      </c>
      <c r="M141" s="21" t="str">
        <f>IF(L141="Shp 500","Sim",IF(ISNA(_xlfn.XLOOKUP(C141,'Shp 500'!D:D,'Shp 500'!D:D)),"Não","Sim"))</f>
        <v>Sim</v>
      </c>
      <c r="N141" s="21" t="str">
        <f>IF(L141="Fastmoss 500","Sim",IF(ISNA(_xlfn.XLOOKUP(_xlfn.XLOOKUP(C141,'Same Seller Hist'!E:E,'Same Seller Hist'!H:H),'Fastmoss 500'!D:D,'Fastmoss 500'!D:D)),"Não","Sim"))</f>
        <v>Não</v>
      </c>
      <c r="O141" s="21" t="str">
        <f>IF(AND(M141="Sim",N141="Sim"),"Sim","Não")</f>
        <v>Não</v>
      </c>
      <c r="P141" s="21" t="str">
        <f>IF(I141&gt;K141,"Sim","Não")</f>
        <v>Sim</v>
      </c>
      <c r="Q141" s="21">
        <f>COUNTIFS(C:C,C141)</f>
        <v>1</v>
      </c>
    </row>
    <row r="142" spans="3:17" hidden="1" x14ac:dyDescent="0.35">
      <c r="C142" s="5">
        <v>1155571749</v>
      </c>
      <c r="D142" s="5" t="s">
        <v>1640</v>
      </c>
      <c r="E142" s="5">
        <f>_xlfn.XLOOKUP(C142,'Same Seller Hist'!E:E,'Same Seller Hist'!I:I)</f>
        <v>7.4961549366529495E+18</v>
      </c>
      <c r="F142" s="5" t="str">
        <f>_xlfn.XLOOKUP(C142,'Same Seller Hist'!E:E,'Same Seller Hist'!H:H)</f>
        <v>H'maston</v>
      </c>
      <c r="G142" s="5" t="s">
        <v>1734</v>
      </c>
      <c r="H142" s="19">
        <v>922.06451612903231</v>
      </c>
      <c r="I142" s="19">
        <v>6409.7796351124516</v>
      </c>
      <c r="J142" s="19">
        <f>_xlfn.IFNA(_xlfn.XLOOKUP(F142,'Fastmoss 500'!D:D,'Fastmoss 500'!O:O),0)</f>
        <v>0</v>
      </c>
      <c r="K142" s="19">
        <f>_xlfn.IFNA(_xlfn.XLOOKUP(F142,'Fastmoss 500'!D:D,'Fastmoss 500'!N:N),0)</f>
        <v>0</v>
      </c>
      <c r="L142" s="21" t="s">
        <v>2528</v>
      </c>
      <c r="M142" s="21" t="str">
        <f>IF(L142="Shp 500","Sim",IF(ISNA(_xlfn.XLOOKUP(C142,'Shp 500'!D:D,'Shp 500'!D:D)),"Não","Sim"))</f>
        <v>Sim</v>
      </c>
      <c r="N142" s="21" t="str">
        <f>IF(L142="Fastmoss 500","Sim",IF(ISNA(_xlfn.XLOOKUP(_xlfn.XLOOKUP(C142,'Same Seller Hist'!E:E,'Same Seller Hist'!H:H),'Fastmoss 500'!D:D,'Fastmoss 500'!D:D)),"Não","Sim"))</f>
        <v>Não</v>
      </c>
      <c r="O142" s="21" t="str">
        <f>IF(AND(M142="Sim",N142="Sim"),"Sim","Não")</f>
        <v>Não</v>
      </c>
      <c r="P142" s="21" t="str">
        <f>IF(I142&gt;K142,"Sim","Não")</f>
        <v>Sim</v>
      </c>
      <c r="Q142" s="21">
        <f>COUNTIFS(C:C,C142)</f>
        <v>1</v>
      </c>
    </row>
    <row r="143" spans="3:17" hidden="1" x14ac:dyDescent="0.35">
      <c r="C143" s="5">
        <v>1117805526</v>
      </c>
      <c r="D143" s="5" t="s">
        <v>1641</v>
      </c>
      <c r="E143" s="5">
        <f>_xlfn.XLOOKUP(C143,'Same Seller Hist'!E:E,'Same Seller Hist'!I:I)</f>
        <v>7.4961622409073398E+18</v>
      </c>
      <c r="F143" s="5" t="str">
        <f>_xlfn.XLOOKUP(C143,'Same Seller Hist'!E:E,'Same Seller Hist'!H:H)</f>
        <v>LUCKY PLUS STORE</v>
      </c>
      <c r="G143" s="5" t="s">
        <v>1734</v>
      </c>
      <c r="H143" s="19">
        <v>921.58064516129036</v>
      </c>
      <c r="I143" s="19">
        <v>4470.0202352863553</v>
      </c>
      <c r="J143" s="19">
        <f>_xlfn.IFNA(_xlfn.XLOOKUP(F143,'Fastmoss 500'!D:D,'Fastmoss 500'!O:O),0)</f>
        <v>0</v>
      </c>
      <c r="K143" s="19">
        <f>_xlfn.IFNA(_xlfn.XLOOKUP(F143,'Fastmoss 500'!D:D,'Fastmoss 500'!N:N),0)</f>
        <v>0</v>
      </c>
      <c r="L143" s="21" t="s">
        <v>2528</v>
      </c>
      <c r="M143" s="21" t="str">
        <f>IF(L143="Shp 500","Sim",IF(ISNA(_xlfn.XLOOKUP(C143,'Shp 500'!D:D,'Shp 500'!D:D)),"Não","Sim"))</f>
        <v>Sim</v>
      </c>
      <c r="N143" s="21" t="str">
        <f>IF(L143="Fastmoss 500","Sim",IF(ISNA(_xlfn.XLOOKUP(_xlfn.XLOOKUP(C143,'Same Seller Hist'!E:E,'Same Seller Hist'!H:H),'Fastmoss 500'!D:D,'Fastmoss 500'!D:D)),"Não","Sim"))</f>
        <v>Não</v>
      </c>
      <c r="O143" s="21" t="str">
        <f>IF(AND(M143="Sim",N143="Sim"),"Sim","Não")</f>
        <v>Não</v>
      </c>
      <c r="P143" s="21" t="str">
        <f>IF(I143&gt;K143,"Sim","Não")</f>
        <v>Sim</v>
      </c>
      <c r="Q143" s="21">
        <f>COUNTIFS(C:C,C143)</f>
        <v>1</v>
      </c>
    </row>
    <row r="144" spans="3:17" x14ac:dyDescent="0.35">
      <c r="C144" s="5">
        <v>482840775</v>
      </c>
      <c r="D144" s="5" t="s">
        <v>1293</v>
      </c>
      <c r="E144" s="5">
        <f>_xlfn.XLOOKUP(C144,'Same Seller Hist'!E:E,'Same Seller Hist'!I:I)</f>
        <v>7.49625409808128E+18</v>
      </c>
      <c r="F144" s="5" t="str">
        <f>_xlfn.XLOOKUP(C144,'Same Seller Hist'!E:E,'Same Seller Hist'!H:H)</f>
        <v>Grupo On Line Editora</v>
      </c>
      <c r="G144" s="5" t="s">
        <v>906</v>
      </c>
      <c r="H144" s="19">
        <v>3633.5161290322258</v>
      </c>
      <c r="I144" s="19">
        <v>17517.281572933676</v>
      </c>
      <c r="J144" s="19">
        <f>_xlfn.IFNA(_xlfn.XLOOKUP(F144,'Fastmoss 500'!D:D,'Fastmoss 500'!O:O),0)</f>
        <v>3567.7419354838707</v>
      </c>
      <c r="K144" s="19">
        <f>_xlfn.IFNA(_xlfn.XLOOKUP(F144,'Fastmoss 500'!D:D,'Fastmoss 500'!N:N),0)</f>
        <v>106451.6129032258</v>
      </c>
      <c r="L144" s="21" t="s">
        <v>2528</v>
      </c>
      <c r="M144" s="21" t="str">
        <f>IF(L144="Shp 500","Sim",IF(ISNA(_xlfn.XLOOKUP(C144,'Shp 500'!D:D,'Shp 500'!D:D)),"Não","Sim"))</f>
        <v>Sim</v>
      </c>
      <c r="N144" s="21" t="str">
        <f>IF(L144="Fastmoss 500","Sim",IF(ISNA(_xlfn.XLOOKUP(_xlfn.XLOOKUP(C144,'Same Seller Hist'!E:E,'Same Seller Hist'!H:H),'Fastmoss 500'!D:D,'Fastmoss 500'!D:D)),"Não","Sim"))</f>
        <v>Sim</v>
      </c>
      <c r="O144" s="21" t="str">
        <f>IF(AND(M144="Sim",N144="Sim"),"Sim","Não")</f>
        <v>Sim</v>
      </c>
      <c r="P144" s="21" t="str">
        <f>IF(I144&gt;K144,"Sim","Não")</f>
        <v>Não</v>
      </c>
      <c r="Q144" s="21">
        <f>COUNTIFS(C:C,C144)</f>
        <v>2</v>
      </c>
    </row>
    <row r="145" spans="3:17" hidden="1" x14ac:dyDescent="0.35">
      <c r="C145" s="5">
        <v>805449066</v>
      </c>
      <c r="D145" s="5" t="s">
        <v>711</v>
      </c>
      <c r="E145" s="5">
        <f>_xlfn.XLOOKUP(C145,'Same Seller Hist'!E:E,'Same Seller Hist'!I:I)</f>
        <v>7.49415756973103E+18</v>
      </c>
      <c r="F145" s="5" t="str">
        <f>_xlfn.XLOOKUP(C145,'Same Seller Hist'!E:E,'Same Seller Hist'!H:H)</f>
        <v>Casa e Garagem</v>
      </c>
      <c r="G145" s="5" t="s">
        <v>905</v>
      </c>
      <c r="H145" s="19">
        <v>918.45161290322585</v>
      </c>
      <c r="I145" s="19">
        <v>21187.664579271161</v>
      </c>
      <c r="J145" s="19">
        <f>_xlfn.IFNA(_xlfn.XLOOKUP(F145,'Fastmoss 500'!D:D,'Fastmoss 500'!O:O),0)</f>
        <v>0</v>
      </c>
      <c r="K145" s="19">
        <f>_xlfn.IFNA(_xlfn.XLOOKUP(F145,'Fastmoss 500'!D:D,'Fastmoss 500'!N:N),0)</f>
        <v>0</v>
      </c>
      <c r="L145" s="21" t="s">
        <v>2528</v>
      </c>
      <c r="M145" s="21" t="str">
        <f>IF(L145="Shp 500","Sim",IF(ISNA(_xlfn.XLOOKUP(C145,'Shp 500'!D:D,'Shp 500'!D:D)),"Não","Sim"))</f>
        <v>Sim</v>
      </c>
      <c r="N145" s="21" t="str">
        <f>IF(L145="Fastmoss 500","Sim",IF(ISNA(_xlfn.XLOOKUP(_xlfn.XLOOKUP(C145,'Same Seller Hist'!E:E,'Same Seller Hist'!H:H),'Fastmoss 500'!D:D,'Fastmoss 500'!D:D)),"Não","Sim"))</f>
        <v>Não</v>
      </c>
      <c r="O145" s="21" t="str">
        <f>IF(AND(M145="Sim",N145="Sim"),"Sim","Não")</f>
        <v>Não</v>
      </c>
      <c r="P145" s="21" t="str">
        <f>IF(I145&gt;K145,"Sim","Não")</f>
        <v>Sim</v>
      </c>
      <c r="Q145" s="21">
        <f>COUNTIFS(C:C,C145)</f>
        <v>1</v>
      </c>
    </row>
    <row r="146" spans="3:17" hidden="1" x14ac:dyDescent="0.35">
      <c r="C146" s="5">
        <v>1049584869</v>
      </c>
      <c r="D146" s="5" t="s">
        <v>1651</v>
      </c>
      <c r="E146" s="5">
        <f>_xlfn.XLOOKUP(C146,'Same Seller Hist'!E:E,'Same Seller Hist'!I:I)</f>
        <v>7.4961549850134702E+18</v>
      </c>
      <c r="F146" s="5" t="str">
        <f>_xlfn.XLOOKUP(C146,'Same Seller Hist'!E:E,'Same Seller Hist'!H:H)</f>
        <v>GINKGO TRAVELER</v>
      </c>
      <c r="G146" s="5" t="s">
        <v>1734</v>
      </c>
      <c r="H146" s="19">
        <v>911.48387096774195</v>
      </c>
      <c r="I146" s="19">
        <v>7991.6441554059029</v>
      </c>
      <c r="J146" s="19">
        <f>_xlfn.IFNA(_xlfn.XLOOKUP(F146,'Fastmoss 500'!D:D,'Fastmoss 500'!O:O),0)</f>
        <v>0</v>
      </c>
      <c r="K146" s="19">
        <f>_xlfn.IFNA(_xlfn.XLOOKUP(F146,'Fastmoss 500'!D:D,'Fastmoss 500'!N:N),0)</f>
        <v>0</v>
      </c>
      <c r="L146" s="21" t="s">
        <v>2528</v>
      </c>
      <c r="M146" s="21" t="str">
        <f>IF(L146="Shp 500","Sim",IF(ISNA(_xlfn.XLOOKUP(C146,'Shp 500'!D:D,'Shp 500'!D:D)),"Não","Sim"))</f>
        <v>Sim</v>
      </c>
      <c r="N146" s="21" t="str">
        <f>IF(L146="Fastmoss 500","Sim",IF(ISNA(_xlfn.XLOOKUP(_xlfn.XLOOKUP(C146,'Same Seller Hist'!E:E,'Same Seller Hist'!H:H),'Fastmoss 500'!D:D,'Fastmoss 500'!D:D)),"Não","Sim"))</f>
        <v>Não</v>
      </c>
      <c r="O146" s="21" t="str">
        <f>IF(AND(M146="Sim",N146="Sim"),"Sim","Não")</f>
        <v>Não</v>
      </c>
      <c r="P146" s="21" t="str">
        <f>IF(I146&gt;K146,"Sim","Não")</f>
        <v>Sim</v>
      </c>
      <c r="Q146" s="21">
        <f>COUNTIFS(C:C,C146)</f>
        <v>1</v>
      </c>
    </row>
    <row r="147" spans="3:17" hidden="1" x14ac:dyDescent="0.35">
      <c r="C147" s="5">
        <v>1271897145</v>
      </c>
      <c r="D147" s="5" t="s">
        <v>1658</v>
      </c>
      <c r="E147" s="5">
        <f>_xlfn.XLOOKUP(C147,'Same Seller Hist'!E:E,'Same Seller Hist'!I:I)</f>
        <v>7.4941601108744899E+18</v>
      </c>
      <c r="F147" s="5" t="str">
        <f>_xlfn.XLOOKUP(C147,'Same Seller Hist'!E:E,'Same Seller Hist'!H:H)</f>
        <v>Friburgo Lingerie</v>
      </c>
      <c r="G147" s="5" t="s">
        <v>903</v>
      </c>
      <c r="H147" s="19">
        <v>900.48387096773877</v>
      </c>
      <c r="I147" s="19">
        <v>5726.3503069325488</v>
      </c>
      <c r="J147" s="19">
        <f>_xlfn.IFNA(_xlfn.XLOOKUP(F147,'Fastmoss 500'!D:D,'Fastmoss 500'!O:O),0)</f>
        <v>0</v>
      </c>
      <c r="K147" s="19">
        <f>_xlfn.IFNA(_xlfn.XLOOKUP(F147,'Fastmoss 500'!D:D,'Fastmoss 500'!N:N),0)</f>
        <v>0</v>
      </c>
      <c r="L147" s="21" t="s">
        <v>2528</v>
      </c>
      <c r="M147" s="21" t="str">
        <f>IF(L147="Shp 500","Sim",IF(ISNA(_xlfn.XLOOKUP(C147,'Shp 500'!D:D,'Shp 500'!D:D)),"Não","Sim"))</f>
        <v>Sim</v>
      </c>
      <c r="N147" s="21" t="str">
        <f>IF(L147="Fastmoss 500","Sim",IF(ISNA(_xlfn.XLOOKUP(_xlfn.XLOOKUP(C147,'Same Seller Hist'!E:E,'Same Seller Hist'!H:H),'Fastmoss 500'!D:D,'Fastmoss 500'!D:D)),"Não","Sim"))</f>
        <v>Não</v>
      </c>
      <c r="O147" s="21" t="str">
        <f>IF(AND(M147="Sim",N147="Sim"),"Sim","Não")</f>
        <v>Não</v>
      </c>
      <c r="P147" s="21" t="str">
        <f>IF(I147&gt;K147,"Sim","Não")</f>
        <v>Sim</v>
      </c>
      <c r="Q147" s="21">
        <f>COUNTIFS(C:C,C147)</f>
        <v>1</v>
      </c>
    </row>
    <row r="148" spans="3:17" x14ac:dyDescent="0.35">
      <c r="C148" s="5">
        <f>_xlfn.XLOOKUP(F148,'Same Seller Hist'!H:H,'Same Seller Hist'!E:E)</f>
        <v>482840775</v>
      </c>
      <c r="D148" s="5" t="str">
        <f>_xlfn.XLOOKUP(F148,'Same Seller Hist'!H:H,'Same Seller Hist'!D:D)</f>
        <v>Grupo On Line Editora</v>
      </c>
      <c r="E148" s="5">
        <f>_xlfn.XLOOKUP(F148,'Same Seller Hist'!H:H,'Same Seller Hist'!I:I)</f>
        <v>7.49625409808128E+18</v>
      </c>
      <c r="F148" s="5" t="s">
        <v>597</v>
      </c>
      <c r="G148" s="5" t="str">
        <f>_xlfn.XLOOKUP(C148,'Same Seller Hist'!E:E,'Same Seller Hist'!F:F)</f>
        <v>FMCG</v>
      </c>
      <c r="H148" s="19">
        <f>_xlfn.IFNA(_xlfn.XLOOKUP(C148,'Shp 500'!D:D,'Shp 500'!I:I),0)</f>
        <v>3633.5161290322258</v>
      </c>
      <c r="I148" s="19">
        <f>_xlfn.IFNA(_xlfn.XLOOKUP(C148,'Shp 500'!D:D,'Shp 500'!J:J),0)</f>
        <v>17517.281572933676</v>
      </c>
      <c r="J148" s="19">
        <v>3567.7419354838707</v>
      </c>
      <c r="K148" s="19">
        <v>106451.6129032258</v>
      </c>
      <c r="L148" s="21" t="s">
        <v>2530</v>
      </c>
      <c r="M148" s="21" t="str">
        <f>IF(L148="Shp 500","Sim",IF(ISNA(_xlfn.XLOOKUP(C148,'Shp 500'!D:D,'Shp 500'!D:D)),"Não","Sim"))</f>
        <v>Sim</v>
      </c>
      <c r="N148" s="21" t="str">
        <f>IF(L148="Fastmoss 500","Sim",IF(ISNA(_xlfn.XLOOKUP(_xlfn.XLOOKUP(C148,'Same Seller Hist'!E:E,'Same Seller Hist'!H:H),'Fastmoss 500'!D:D,'Fastmoss 500'!D:D)),"Não","Sim"))</f>
        <v>Sim</v>
      </c>
      <c r="O148" s="21" t="str">
        <f>IF(AND(M148="Sim",N148="Sim"),"Sim","Não")</f>
        <v>Sim</v>
      </c>
      <c r="P148" s="21" t="str">
        <f>IF(I148&gt;K148,"Sim","Não")</f>
        <v>Não</v>
      </c>
      <c r="Q148" s="21">
        <f>COUNTIFS(C:C,C148)</f>
        <v>2</v>
      </c>
    </row>
    <row r="149" spans="3:17" hidden="1" x14ac:dyDescent="0.35">
      <c r="C149" s="5">
        <v>660511511</v>
      </c>
      <c r="D149" s="5" t="s">
        <v>1666</v>
      </c>
      <c r="E149" s="5">
        <f>_xlfn.XLOOKUP(C149,'Same Seller Hist'!E:E,'Same Seller Hist'!I:I)</f>
        <v>7.49618387273472E+18</v>
      </c>
      <c r="F149" s="5" t="str">
        <f>_xlfn.XLOOKUP(C149,'Same Seller Hist'!E:E,'Same Seller Hist'!H:H)</f>
        <v>Atacado Vencedor</v>
      </c>
      <c r="G149" s="5" t="s">
        <v>905</v>
      </c>
      <c r="H149" s="19">
        <v>882.74193548386779</v>
      </c>
      <c r="I149" s="19">
        <v>7099.6946179955812</v>
      </c>
      <c r="J149" s="19">
        <f>_xlfn.IFNA(_xlfn.XLOOKUP(F149,'Fastmoss 500'!D:D,'Fastmoss 500'!O:O),0)</f>
        <v>0</v>
      </c>
      <c r="K149" s="19">
        <f>_xlfn.IFNA(_xlfn.XLOOKUP(F149,'Fastmoss 500'!D:D,'Fastmoss 500'!N:N),0)</f>
        <v>0</v>
      </c>
      <c r="L149" s="21" t="s">
        <v>2528</v>
      </c>
      <c r="M149" s="21" t="str">
        <f>IF(L149="Shp 500","Sim",IF(ISNA(_xlfn.XLOOKUP(C149,'Shp 500'!D:D,'Shp 500'!D:D)),"Não","Sim"))</f>
        <v>Sim</v>
      </c>
      <c r="N149" s="21" t="str">
        <f>IF(L149="Fastmoss 500","Sim",IF(ISNA(_xlfn.XLOOKUP(_xlfn.XLOOKUP(C149,'Same Seller Hist'!E:E,'Same Seller Hist'!H:H),'Fastmoss 500'!D:D,'Fastmoss 500'!D:D)),"Não","Sim"))</f>
        <v>Não</v>
      </c>
      <c r="O149" s="21" t="str">
        <f>IF(AND(M149="Sim",N149="Sim"),"Sim","Não")</f>
        <v>Não</v>
      </c>
      <c r="P149" s="21" t="str">
        <f>IF(I149&gt;K149,"Sim","Não")</f>
        <v>Sim</v>
      </c>
      <c r="Q149" s="21">
        <f>COUNTIFS(C:C,C149)</f>
        <v>1</v>
      </c>
    </row>
    <row r="150" spans="3:17" x14ac:dyDescent="0.35">
      <c r="C150" s="5">
        <v>512962451</v>
      </c>
      <c r="D150" s="5" t="s">
        <v>1320</v>
      </c>
      <c r="E150" s="5">
        <f>_xlfn.XLOOKUP(C150,'Same Seller Hist'!E:E,'Same Seller Hist'!I:I)</f>
        <v>7.4941319986122895E+18</v>
      </c>
      <c r="F150" s="5" t="str">
        <f>_xlfn.XLOOKUP(C150,'Same Seller Hist'!E:E,'Same Seller Hist'!H:H)</f>
        <v>ANS Grupo</v>
      </c>
      <c r="G150" s="5" t="s">
        <v>906</v>
      </c>
      <c r="H150" s="19">
        <v>2575.4193548387098</v>
      </c>
      <c r="I150" s="19">
        <v>9109.7456837035497</v>
      </c>
      <c r="J150" s="19">
        <f>_xlfn.IFNA(_xlfn.XLOOKUP(F150,'Fastmoss 500'!D:D,'Fastmoss 500'!O:O),0)</f>
        <v>751.61290322580646</v>
      </c>
      <c r="K150" s="19">
        <f>_xlfn.IFNA(_xlfn.XLOOKUP(F150,'Fastmoss 500'!D:D,'Fastmoss 500'!N:N),0)</f>
        <v>9748.3870967741932</v>
      </c>
      <c r="L150" s="21" t="s">
        <v>2528</v>
      </c>
      <c r="M150" s="21" t="str">
        <f>IF(L150="Shp 500","Sim",IF(ISNA(_xlfn.XLOOKUP(C150,'Shp 500'!D:D,'Shp 500'!D:D)),"Não","Sim"))</f>
        <v>Sim</v>
      </c>
      <c r="N150" s="21" t="str">
        <f>IF(L150="Fastmoss 500","Sim",IF(ISNA(_xlfn.XLOOKUP(_xlfn.XLOOKUP(C150,'Same Seller Hist'!E:E,'Same Seller Hist'!H:H),'Fastmoss 500'!D:D,'Fastmoss 500'!D:D)),"Não","Sim"))</f>
        <v>Sim</v>
      </c>
      <c r="O150" s="21" t="str">
        <f>IF(AND(M150="Sim",N150="Sim"),"Sim","Não")</f>
        <v>Sim</v>
      </c>
      <c r="P150" s="21" t="str">
        <f>IF(I150&gt;K150,"Sim","Não")</f>
        <v>Não</v>
      </c>
      <c r="Q150" s="21">
        <f>COUNTIFS(C:C,C150)</f>
        <v>2</v>
      </c>
    </row>
    <row r="151" spans="3:17" x14ac:dyDescent="0.35">
      <c r="C151" s="5">
        <f>_xlfn.XLOOKUP(F151,'Same Seller Hist'!H:H,'Same Seller Hist'!E:E)</f>
        <v>512962451</v>
      </c>
      <c r="D151" s="5" t="str">
        <f>_xlfn.XLOOKUP(F151,'Same Seller Hist'!H:H,'Same Seller Hist'!D:D)</f>
        <v>ANS Grupo</v>
      </c>
      <c r="E151" s="5">
        <f>_xlfn.XLOOKUP(F151,'Same Seller Hist'!H:H,'Same Seller Hist'!I:I)</f>
        <v>7.4941319986122895E+18</v>
      </c>
      <c r="F151" s="5" t="s">
        <v>615</v>
      </c>
      <c r="G151" s="5" t="str">
        <f>_xlfn.XLOOKUP(C151,'Same Seller Hist'!E:E,'Same Seller Hist'!F:F)</f>
        <v>FMCG</v>
      </c>
      <c r="H151" s="19">
        <f>_xlfn.IFNA(_xlfn.XLOOKUP(C151,'Shp 500'!D:D,'Shp 500'!I:I),0)</f>
        <v>2575.4193548387098</v>
      </c>
      <c r="I151" s="19">
        <f>_xlfn.IFNA(_xlfn.XLOOKUP(C151,'Shp 500'!D:D,'Shp 500'!J:J),0)</f>
        <v>9109.7456837035497</v>
      </c>
      <c r="J151" s="19">
        <v>751.61290322580646</v>
      </c>
      <c r="K151" s="19">
        <v>9748.3870967741932</v>
      </c>
      <c r="L151" s="21" t="s">
        <v>2530</v>
      </c>
      <c r="M151" s="21" t="str">
        <f>IF(L151="Shp 500","Sim",IF(ISNA(_xlfn.XLOOKUP(C151,'Shp 500'!D:D,'Shp 500'!D:D)),"Não","Sim"))</f>
        <v>Sim</v>
      </c>
      <c r="N151" s="21" t="str">
        <f>IF(L151="Fastmoss 500","Sim",IF(ISNA(_xlfn.XLOOKUP(_xlfn.XLOOKUP(C151,'Same Seller Hist'!E:E,'Same Seller Hist'!H:H),'Fastmoss 500'!D:D,'Fastmoss 500'!D:D)),"Não","Sim"))</f>
        <v>Sim</v>
      </c>
      <c r="O151" s="21" t="str">
        <f>IF(AND(M151="Sim",N151="Sim"),"Sim","Não")</f>
        <v>Sim</v>
      </c>
      <c r="P151" s="21" t="str">
        <f>IF(I151&gt;K151,"Sim","Não")</f>
        <v>Não</v>
      </c>
      <c r="Q151" s="21">
        <f>COUNTIFS(C:C,C151)</f>
        <v>2</v>
      </c>
    </row>
    <row r="152" spans="3:17" hidden="1" x14ac:dyDescent="0.35">
      <c r="C152" s="5">
        <v>508218945</v>
      </c>
      <c r="D152" s="5" t="s">
        <v>1673</v>
      </c>
      <c r="E152" s="5">
        <f>_xlfn.XLOOKUP(C152,'Same Seller Hist'!E:E,'Same Seller Hist'!I:I)</f>
        <v>7.4961828865769103E+18</v>
      </c>
      <c r="F152" s="5" t="str">
        <f>_xlfn.XLOOKUP(C152,'Same Seller Hist'!E:E,'Same Seller Hist'!H:H)</f>
        <v>ARCO IRIS MODA</v>
      </c>
      <c r="G152" s="5" t="s">
        <v>1734</v>
      </c>
      <c r="H152" s="19">
        <v>873.99999999999682</v>
      </c>
      <c r="I152" s="19">
        <v>6364.3530598000316</v>
      </c>
      <c r="J152" s="19">
        <f>_xlfn.IFNA(_xlfn.XLOOKUP(F152,'Fastmoss 500'!D:D,'Fastmoss 500'!O:O),0)</f>
        <v>0</v>
      </c>
      <c r="K152" s="19">
        <f>_xlfn.IFNA(_xlfn.XLOOKUP(F152,'Fastmoss 500'!D:D,'Fastmoss 500'!N:N),0)</f>
        <v>0</v>
      </c>
      <c r="L152" s="21" t="s">
        <v>2528</v>
      </c>
      <c r="M152" s="21" t="str">
        <f>IF(L152="Shp 500","Sim",IF(ISNA(_xlfn.XLOOKUP(C152,'Shp 500'!D:D,'Shp 500'!D:D)),"Não","Sim"))</f>
        <v>Sim</v>
      </c>
      <c r="N152" s="21" t="str">
        <f>IF(L152="Fastmoss 500","Sim",IF(ISNA(_xlfn.XLOOKUP(_xlfn.XLOOKUP(C152,'Same Seller Hist'!E:E,'Same Seller Hist'!H:H),'Fastmoss 500'!D:D,'Fastmoss 500'!D:D)),"Não","Sim"))</f>
        <v>Não</v>
      </c>
      <c r="O152" s="21" t="str">
        <f>IF(AND(M152="Sim",N152="Sim"),"Sim","Não")</f>
        <v>Não</v>
      </c>
      <c r="P152" s="21" t="str">
        <f>IF(I152&gt;K152,"Sim","Não")</f>
        <v>Sim</v>
      </c>
      <c r="Q152" s="21">
        <f>COUNTIFS(C:C,C152)</f>
        <v>1</v>
      </c>
    </row>
    <row r="153" spans="3:17" hidden="1" x14ac:dyDescent="0.35">
      <c r="C153" s="5">
        <v>1197145594</v>
      </c>
      <c r="D153" s="5" t="s">
        <v>1676</v>
      </c>
      <c r="E153" s="5">
        <f>_xlfn.XLOOKUP(C153,'Same Seller Hist'!E:E,'Same Seller Hist'!I:I)</f>
        <v>7.4942489534707405E+18</v>
      </c>
      <c r="F153" s="5" t="str">
        <f>_xlfn.XLOOKUP(C153,'Same Seller Hist'!E:E,'Same Seller Hist'!H:H)</f>
        <v>Hagra Agricola Comércio</v>
      </c>
      <c r="G153" s="5" t="s">
        <v>905</v>
      </c>
      <c r="H153" s="19">
        <v>870.67741935483559</v>
      </c>
      <c r="I153" s="19">
        <v>9973.5144597804192</v>
      </c>
      <c r="J153" s="19">
        <f>_xlfn.IFNA(_xlfn.XLOOKUP(F153,'Fastmoss 500'!D:D,'Fastmoss 500'!O:O),0)</f>
        <v>0</v>
      </c>
      <c r="K153" s="19">
        <f>_xlfn.IFNA(_xlfn.XLOOKUP(F153,'Fastmoss 500'!D:D,'Fastmoss 500'!N:N),0)</f>
        <v>0</v>
      </c>
      <c r="L153" s="21" t="s">
        <v>2528</v>
      </c>
      <c r="M153" s="21" t="str">
        <f>IF(L153="Shp 500","Sim",IF(ISNA(_xlfn.XLOOKUP(C153,'Shp 500'!D:D,'Shp 500'!D:D)),"Não","Sim"))</f>
        <v>Sim</v>
      </c>
      <c r="N153" s="21" t="str">
        <f>IF(L153="Fastmoss 500","Sim",IF(ISNA(_xlfn.XLOOKUP(_xlfn.XLOOKUP(C153,'Same Seller Hist'!E:E,'Same Seller Hist'!H:H),'Fastmoss 500'!D:D,'Fastmoss 500'!D:D)),"Não","Sim"))</f>
        <v>Não</v>
      </c>
      <c r="O153" s="21" t="str">
        <f>IF(AND(M153="Sim",N153="Sim"),"Sim","Não")</f>
        <v>Não</v>
      </c>
      <c r="P153" s="21" t="str">
        <f>IF(I153&gt;K153,"Sim","Não")</f>
        <v>Sim</v>
      </c>
      <c r="Q153" s="21">
        <f>COUNTIFS(C:C,C153)</f>
        <v>1</v>
      </c>
    </row>
    <row r="154" spans="3:17" hidden="1" x14ac:dyDescent="0.35">
      <c r="C154" s="5">
        <v>739972532</v>
      </c>
      <c r="D154" s="5" t="s">
        <v>691</v>
      </c>
      <c r="E154" s="5">
        <f>_xlfn.XLOOKUP(C154,'Same Seller Hist'!E:E,'Same Seller Hist'!I:I)</f>
        <v>7.49618013493713E+18</v>
      </c>
      <c r="F154" s="5" t="str">
        <f>_xlfn.XLOOKUP(C154,'Same Seller Hist'!E:E,'Same Seller Hist'!H:H)</f>
        <v>BBQalegre</v>
      </c>
      <c r="G154" s="5" t="s">
        <v>903</v>
      </c>
      <c r="H154" s="19">
        <v>869.12903225806451</v>
      </c>
      <c r="I154" s="19">
        <v>4704.2194050862909</v>
      </c>
      <c r="J154" s="19">
        <f>_xlfn.IFNA(_xlfn.XLOOKUP(F154,'Fastmoss 500'!D:D,'Fastmoss 500'!O:O),0)</f>
        <v>0</v>
      </c>
      <c r="K154" s="19">
        <f>_xlfn.IFNA(_xlfn.XLOOKUP(F154,'Fastmoss 500'!D:D,'Fastmoss 500'!N:N),0)</f>
        <v>0</v>
      </c>
      <c r="L154" s="21" t="s">
        <v>2528</v>
      </c>
      <c r="M154" s="21" t="str">
        <f>IF(L154="Shp 500","Sim",IF(ISNA(_xlfn.XLOOKUP(C154,'Shp 500'!D:D,'Shp 500'!D:D)),"Não","Sim"))</f>
        <v>Sim</v>
      </c>
      <c r="N154" s="21" t="str">
        <f>IF(L154="Fastmoss 500","Sim",IF(ISNA(_xlfn.XLOOKUP(_xlfn.XLOOKUP(C154,'Same Seller Hist'!E:E,'Same Seller Hist'!H:H),'Fastmoss 500'!D:D,'Fastmoss 500'!D:D)),"Não","Sim"))</f>
        <v>Não</v>
      </c>
      <c r="O154" s="21" t="str">
        <f>IF(AND(M154="Sim",N154="Sim"),"Sim","Não")</f>
        <v>Não</v>
      </c>
      <c r="P154" s="21" t="str">
        <f>IF(I154&gt;K154,"Sim","Não")</f>
        <v>Sim</v>
      </c>
      <c r="Q154" s="21">
        <f>COUNTIFS(C:C,C154)</f>
        <v>1</v>
      </c>
    </row>
    <row r="155" spans="3:17" hidden="1" x14ac:dyDescent="0.35">
      <c r="C155" s="5">
        <v>821115255</v>
      </c>
      <c r="D155" s="5" t="s">
        <v>1679</v>
      </c>
      <c r="E155" s="5">
        <f>_xlfn.XLOOKUP(C155,'Same Seller Hist'!E:E,'Same Seller Hist'!I:I)</f>
        <v>7.4962029460321403E+18</v>
      </c>
      <c r="F155" s="5" t="str">
        <f>_xlfn.XLOOKUP(C155,'Same Seller Hist'!E:E,'Same Seller Hist'!H:H)</f>
        <v>MEUCHECKOUT</v>
      </c>
      <c r="G155" s="5" t="s">
        <v>906</v>
      </c>
      <c r="H155" s="19">
        <v>867.12903225806451</v>
      </c>
      <c r="I155" s="19">
        <v>4182.7564152970326</v>
      </c>
      <c r="J155" s="19">
        <f>_xlfn.IFNA(_xlfn.XLOOKUP(F155,'Fastmoss 500'!D:D,'Fastmoss 500'!O:O),0)</f>
        <v>0</v>
      </c>
      <c r="K155" s="19">
        <f>_xlfn.IFNA(_xlfn.XLOOKUP(F155,'Fastmoss 500'!D:D,'Fastmoss 500'!N:N),0)</f>
        <v>0</v>
      </c>
      <c r="L155" s="21" t="s">
        <v>2528</v>
      </c>
      <c r="M155" s="21" t="str">
        <f>IF(L155="Shp 500","Sim",IF(ISNA(_xlfn.XLOOKUP(C155,'Shp 500'!D:D,'Shp 500'!D:D)),"Não","Sim"))</f>
        <v>Sim</v>
      </c>
      <c r="N155" s="21" t="str">
        <f>IF(L155="Fastmoss 500","Sim",IF(ISNA(_xlfn.XLOOKUP(_xlfn.XLOOKUP(C155,'Same Seller Hist'!E:E,'Same Seller Hist'!H:H),'Fastmoss 500'!D:D,'Fastmoss 500'!D:D)),"Não","Sim"))</f>
        <v>Não</v>
      </c>
      <c r="O155" s="21" t="str">
        <f>IF(AND(M155="Sim",N155="Sim"),"Sim","Não")</f>
        <v>Não</v>
      </c>
      <c r="P155" s="21" t="str">
        <f>IF(I155&gt;K155,"Sim","Não")</f>
        <v>Sim</v>
      </c>
      <c r="Q155" s="21">
        <f>COUNTIFS(C:C,C155)</f>
        <v>1</v>
      </c>
    </row>
    <row r="156" spans="3:17" x14ac:dyDescent="0.35">
      <c r="C156" s="5">
        <v>542974007</v>
      </c>
      <c r="D156" s="5" t="s">
        <v>1298</v>
      </c>
      <c r="E156" s="5">
        <f>_xlfn.XLOOKUP(C156,'Same Seller Hist'!E:E,'Same Seller Hist'!I:I)</f>
        <v>7.4961608419157903E+18</v>
      </c>
      <c r="F156" s="5" t="str">
        <f>_xlfn.XLOOKUP(C156,'Same Seller Hist'!E:E,'Same Seller Hist'!H:H)</f>
        <v>Globilia Casa DIY</v>
      </c>
      <c r="G156" s="5" t="s">
        <v>1734</v>
      </c>
      <c r="H156" s="19">
        <v>3238.8064516129034</v>
      </c>
      <c r="I156" s="19">
        <v>45253.596244435488</v>
      </c>
      <c r="J156" s="19">
        <f>_xlfn.IFNA(_xlfn.XLOOKUP(F156,'Fastmoss 500'!D:D,'Fastmoss 500'!O:O),0)</f>
        <v>238.70967741935485</v>
      </c>
      <c r="K156" s="19">
        <f>_xlfn.IFNA(_xlfn.XLOOKUP(F156,'Fastmoss 500'!D:D,'Fastmoss 500'!N:N),0)</f>
        <v>11838.709677419354</v>
      </c>
      <c r="L156" s="21" t="s">
        <v>2528</v>
      </c>
      <c r="M156" s="21" t="str">
        <f>IF(L156="Shp 500","Sim",IF(ISNA(_xlfn.XLOOKUP(C156,'Shp 500'!D:D,'Shp 500'!D:D)),"Não","Sim"))</f>
        <v>Sim</v>
      </c>
      <c r="N156" s="21" t="str">
        <f>IF(L156="Fastmoss 500","Sim",IF(ISNA(_xlfn.XLOOKUP(_xlfn.XLOOKUP(C156,'Same Seller Hist'!E:E,'Same Seller Hist'!H:H),'Fastmoss 500'!D:D,'Fastmoss 500'!D:D)),"Não","Sim"))</f>
        <v>Sim</v>
      </c>
      <c r="O156" s="21" t="str">
        <f>IF(AND(M156="Sim",N156="Sim"),"Sim","Não")</f>
        <v>Sim</v>
      </c>
      <c r="P156" s="21" t="str">
        <f>IF(I156&gt;K156,"Sim","Não")</f>
        <v>Sim</v>
      </c>
      <c r="Q156" s="21">
        <f>COUNTIFS(C:C,C156)</f>
        <v>2</v>
      </c>
    </row>
    <row r="157" spans="3:17" hidden="1" x14ac:dyDescent="0.35">
      <c r="C157" s="5">
        <v>293435711</v>
      </c>
      <c r="D157" s="5" t="s">
        <v>1684</v>
      </c>
      <c r="E157" s="5">
        <f>_xlfn.XLOOKUP(C157,'Same Seller Hist'!E:E,'Same Seller Hist'!I:I)</f>
        <v>7.4961820802946499E+18</v>
      </c>
      <c r="F157" s="5" t="str">
        <f>_xlfn.XLOOKUP(C157,'Same Seller Hist'!E:E,'Same Seller Hist'!H:H)</f>
        <v>ONTIMEBR</v>
      </c>
      <c r="G157" s="5" t="s">
        <v>1734</v>
      </c>
      <c r="H157" s="19">
        <v>860.41935483870964</v>
      </c>
      <c r="I157" s="19">
        <v>3502.6126926498387</v>
      </c>
      <c r="J157" s="19">
        <f>_xlfn.IFNA(_xlfn.XLOOKUP(F157,'Fastmoss 500'!D:D,'Fastmoss 500'!O:O),0)</f>
        <v>0</v>
      </c>
      <c r="K157" s="19">
        <f>_xlfn.IFNA(_xlfn.XLOOKUP(F157,'Fastmoss 500'!D:D,'Fastmoss 500'!N:N),0)</f>
        <v>0</v>
      </c>
      <c r="L157" s="21" t="s">
        <v>2528</v>
      </c>
      <c r="M157" s="21" t="str">
        <f>IF(L157="Shp 500","Sim",IF(ISNA(_xlfn.XLOOKUP(C157,'Shp 500'!D:D,'Shp 500'!D:D)),"Não","Sim"))</f>
        <v>Sim</v>
      </c>
      <c r="N157" s="21" t="str">
        <f>IF(L157="Fastmoss 500","Sim",IF(ISNA(_xlfn.XLOOKUP(_xlfn.XLOOKUP(C157,'Same Seller Hist'!E:E,'Same Seller Hist'!H:H),'Fastmoss 500'!D:D,'Fastmoss 500'!D:D)),"Não","Sim"))</f>
        <v>Não</v>
      </c>
      <c r="O157" s="21" t="str">
        <f>IF(AND(M157="Sim",N157="Sim"),"Sim","Não")</f>
        <v>Não</v>
      </c>
      <c r="P157" s="21" t="str">
        <f>IF(I157&gt;K157,"Sim","Não")</f>
        <v>Sim</v>
      </c>
      <c r="Q157" s="21">
        <f>COUNTIFS(C:C,C157)</f>
        <v>1</v>
      </c>
    </row>
    <row r="158" spans="3:17" hidden="1" x14ac:dyDescent="0.35">
      <c r="C158" s="5">
        <v>419809235</v>
      </c>
      <c r="D158" s="5" t="s">
        <v>557</v>
      </c>
      <c r="E158" s="5">
        <f>_xlfn.XLOOKUP(C158,'Same Seller Hist'!E:E,'Same Seller Hist'!I:I)</f>
        <v>7.4962090497122304E+18</v>
      </c>
      <c r="F158" s="5" t="str">
        <f>_xlfn.XLOOKUP(C158,'Same Seller Hist'!E:E,'Same Seller Hist'!H:H)</f>
        <v>Monamor Cosméticos</v>
      </c>
      <c r="G158" s="5" t="s">
        <v>906</v>
      </c>
      <c r="H158" s="19">
        <v>855.51612903225805</v>
      </c>
      <c r="I158" s="19">
        <v>3433.4911004828709</v>
      </c>
      <c r="J158" s="19">
        <f>_xlfn.IFNA(_xlfn.XLOOKUP(F158,'Fastmoss 500'!D:D,'Fastmoss 500'!O:O),0)</f>
        <v>0</v>
      </c>
      <c r="K158" s="19">
        <f>_xlfn.IFNA(_xlfn.XLOOKUP(F158,'Fastmoss 500'!D:D,'Fastmoss 500'!N:N),0)</f>
        <v>0</v>
      </c>
      <c r="L158" s="21" t="s">
        <v>2528</v>
      </c>
      <c r="M158" s="21" t="str">
        <f>IF(L158="Shp 500","Sim",IF(ISNA(_xlfn.XLOOKUP(C158,'Shp 500'!D:D,'Shp 500'!D:D)),"Não","Sim"))</f>
        <v>Sim</v>
      </c>
      <c r="N158" s="21" t="str">
        <f>IF(L158="Fastmoss 500","Sim",IF(ISNA(_xlfn.XLOOKUP(_xlfn.XLOOKUP(C158,'Same Seller Hist'!E:E,'Same Seller Hist'!H:H),'Fastmoss 500'!D:D,'Fastmoss 500'!D:D)),"Não","Sim"))</f>
        <v>Não</v>
      </c>
      <c r="O158" s="21" t="str">
        <f>IF(AND(M158="Sim",N158="Sim"),"Sim","Não")</f>
        <v>Não</v>
      </c>
      <c r="P158" s="21" t="str">
        <f>IF(I158&gt;K158,"Sim","Não")</f>
        <v>Sim</v>
      </c>
      <c r="Q158" s="21">
        <f>COUNTIFS(C:C,C158)</f>
        <v>1</v>
      </c>
    </row>
    <row r="159" spans="3:17" hidden="1" x14ac:dyDescent="0.35">
      <c r="C159" s="5">
        <v>1082769865</v>
      </c>
      <c r="D159" s="5" t="s">
        <v>105</v>
      </c>
      <c r="E159" s="5">
        <f>_xlfn.XLOOKUP(C159,'Same Seller Hist'!E:E,'Same Seller Hist'!I:I)</f>
        <v>7.4961797415698104E+18</v>
      </c>
      <c r="F159" s="5" t="str">
        <f>_xlfn.XLOOKUP(C159,'Same Seller Hist'!E:E,'Same Seller Hist'!H:H)</f>
        <v>Casa do Condi</v>
      </c>
      <c r="G159" s="5" t="s">
        <v>906</v>
      </c>
      <c r="H159" s="19">
        <v>848.80645161290317</v>
      </c>
      <c r="I159" s="19">
        <v>1867.9941158927743</v>
      </c>
      <c r="J159" s="19">
        <f>_xlfn.IFNA(_xlfn.XLOOKUP(F159,'Fastmoss 500'!D:D,'Fastmoss 500'!O:O),0)</f>
        <v>0</v>
      </c>
      <c r="K159" s="19">
        <f>_xlfn.IFNA(_xlfn.XLOOKUP(F159,'Fastmoss 500'!D:D,'Fastmoss 500'!N:N),0)</f>
        <v>0</v>
      </c>
      <c r="L159" s="21" t="s">
        <v>2528</v>
      </c>
      <c r="M159" s="21" t="str">
        <f>IF(L159="Shp 500","Sim",IF(ISNA(_xlfn.XLOOKUP(C159,'Shp 500'!D:D,'Shp 500'!D:D)),"Não","Sim"))</f>
        <v>Sim</v>
      </c>
      <c r="N159" s="21" t="str">
        <f>IF(L159="Fastmoss 500","Sim",IF(ISNA(_xlfn.XLOOKUP(_xlfn.XLOOKUP(C159,'Same Seller Hist'!E:E,'Same Seller Hist'!H:H),'Fastmoss 500'!D:D,'Fastmoss 500'!D:D)),"Não","Sim"))</f>
        <v>Não</v>
      </c>
      <c r="O159" s="21" t="str">
        <f>IF(AND(M159="Sim",N159="Sim"),"Sim","Não")</f>
        <v>Não</v>
      </c>
      <c r="P159" s="21" t="str">
        <f>IF(I159&gt;K159,"Sim","Não")</f>
        <v>Sim</v>
      </c>
      <c r="Q159" s="21">
        <f>COUNTIFS(C:C,C159)</f>
        <v>1</v>
      </c>
    </row>
    <row r="160" spans="3:17" hidden="1" x14ac:dyDescent="0.35">
      <c r="C160" s="5">
        <v>379659209</v>
      </c>
      <c r="D160" s="5" t="s">
        <v>496</v>
      </c>
      <c r="E160" s="5">
        <f>_xlfn.XLOOKUP(C160,'Same Seller Hist'!E:E,'Same Seller Hist'!I:I)</f>
        <v>7.4961853594266798E+18</v>
      </c>
      <c r="F160" s="5" t="str">
        <f>_xlfn.XLOOKUP(C160,'Same Seller Hist'!E:E,'Same Seller Hist'!H:H)</f>
        <v>magiaworld</v>
      </c>
      <c r="G160" s="5" t="s">
        <v>1734</v>
      </c>
      <c r="H160" s="19">
        <v>847.45161290322585</v>
      </c>
      <c r="I160" s="19">
        <v>8976.2438886699019</v>
      </c>
      <c r="J160" s="19">
        <f>_xlfn.IFNA(_xlfn.XLOOKUP(F160,'Fastmoss 500'!D:D,'Fastmoss 500'!O:O),0)</f>
        <v>0</v>
      </c>
      <c r="K160" s="19">
        <f>_xlfn.IFNA(_xlfn.XLOOKUP(F160,'Fastmoss 500'!D:D,'Fastmoss 500'!N:N),0)</f>
        <v>0</v>
      </c>
      <c r="L160" s="21" t="s">
        <v>2528</v>
      </c>
      <c r="M160" s="21" t="str">
        <f>IF(L160="Shp 500","Sim",IF(ISNA(_xlfn.XLOOKUP(C160,'Shp 500'!D:D,'Shp 500'!D:D)),"Não","Sim"))</f>
        <v>Sim</v>
      </c>
      <c r="N160" s="21" t="str">
        <f>IF(L160="Fastmoss 500","Sim",IF(ISNA(_xlfn.XLOOKUP(_xlfn.XLOOKUP(C160,'Same Seller Hist'!E:E,'Same Seller Hist'!H:H),'Fastmoss 500'!D:D,'Fastmoss 500'!D:D)),"Não","Sim"))</f>
        <v>Não</v>
      </c>
      <c r="O160" s="21" t="str">
        <f>IF(AND(M160="Sim",N160="Sim"),"Sim","Não")</f>
        <v>Não</v>
      </c>
      <c r="P160" s="21" t="str">
        <f>IF(I160&gt;K160,"Sim","Não")</f>
        <v>Sim</v>
      </c>
      <c r="Q160" s="21">
        <f>COUNTIFS(C:C,C160)</f>
        <v>1</v>
      </c>
    </row>
    <row r="161" spans="3:17" hidden="1" x14ac:dyDescent="0.35">
      <c r="C161" s="5">
        <v>357239640</v>
      </c>
      <c r="D161" s="5" t="s">
        <v>1692</v>
      </c>
      <c r="E161" s="5">
        <f>_xlfn.XLOOKUP(C161,'Same Seller Hist'!E:E,'Same Seller Hist'!I:I)</f>
        <v>7.4961633473773199E+18</v>
      </c>
      <c r="F161" s="5" t="str">
        <f>_xlfn.XLOOKUP(C161,'Same Seller Hist'!E:E,'Same Seller Hist'!H:H)</f>
        <v>Palacio das Ferramentas</v>
      </c>
      <c r="G161" s="5" t="s">
        <v>905</v>
      </c>
      <c r="H161" s="19">
        <v>847.32258064515815</v>
      </c>
      <c r="I161" s="19">
        <v>44762.956080963551</v>
      </c>
      <c r="J161" s="19">
        <f>_xlfn.IFNA(_xlfn.XLOOKUP(F161,'Fastmoss 500'!D:D,'Fastmoss 500'!O:O),0)</f>
        <v>0</v>
      </c>
      <c r="K161" s="19">
        <f>_xlfn.IFNA(_xlfn.XLOOKUP(F161,'Fastmoss 500'!D:D,'Fastmoss 500'!N:N),0)</f>
        <v>0</v>
      </c>
      <c r="L161" s="21" t="s">
        <v>2528</v>
      </c>
      <c r="M161" s="21" t="str">
        <f>IF(L161="Shp 500","Sim",IF(ISNA(_xlfn.XLOOKUP(C161,'Shp 500'!D:D,'Shp 500'!D:D)),"Não","Sim"))</f>
        <v>Sim</v>
      </c>
      <c r="N161" s="21" t="str">
        <f>IF(L161="Fastmoss 500","Sim",IF(ISNA(_xlfn.XLOOKUP(_xlfn.XLOOKUP(C161,'Same Seller Hist'!E:E,'Same Seller Hist'!H:H),'Fastmoss 500'!D:D,'Fastmoss 500'!D:D)),"Não","Sim"))</f>
        <v>Não</v>
      </c>
      <c r="O161" s="21" t="str">
        <f>IF(AND(M161="Sim",N161="Sim"),"Sim","Não")</f>
        <v>Não</v>
      </c>
      <c r="P161" s="21" t="str">
        <f>IF(I161&gt;K161,"Sim","Não")</f>
        <v>Sim</v>
      </c>
      <c r="Q161" s="21">
        <f>COUNTIFS(C:C,C161)</f>
        <v>1</v>
      </c>
    </row>
    <row r="162" spans="3:17" hidden="1" x14ac:dyDescent="0.35">
      <c r="C162" s="5">
        <v>1051446617</v>
      </c>
      <c r="D162" s="5" t="s">
        <v>1702</v>
      </c>
      <c r="E162" s="5">
        <f>_xlfn.XLOOKUP(C162,'Same Seller Hist'!E:E,'Same Seller Hist'!I:I)</f>
        <v>7.4962494715944305E+18</v>
      </c>
      <c r="F162" s="5" t="str">
        <f>_xlfn.XLOOKUP(C162,'Same Seller Hist'!E:E,'Same Seller Hist'!H:H)</f>
        <v>TUDAO TECH</v>
      </c>
      <c r="G162" s="5" t="s">
        <v>904</v>
      </c>
      <c r="H162" s="19">
        <v>838.74193548386779</v>
      </c>
      <c r="I162" s="19">
        <v>23305.009355469032</v>
      </c>
      <c r="J162" s="19">
        <f>_xlfn.IFNA(_xlfn.XLOOKUP(F162,'Fastmoss 500'!D:D,'Fastmoss 500'!O:O),0)</f>
        <v>0</v>
      </c>
      <c r="K162" s="19">
        <f>_xlfn.IFNA(_xlfn.XLOOKUP(F162,'Fastmoss 500'!D:D,'Fastmoss 500'!N:N),0)</f>
        <v>0</v>
      </c>
      <c r="L162" s="21" t="s">
        <v>2528</v>
      </c>
      <c r="M162" s="21" t="str">
        <f>IF(L162="Shp 500","Sim",IF(ISNA(_xlfn.XLOOKUP(C162,'Shp 500'!D:D,'Shp 500'!D:D)),"Não","Sim"))</f>
        <v>Sim</v>
      </c>
      <c r="N162" s="21" t="str">
        <f>IF(L162="Fastmoss 500","Sim",IF(ISNA(_xlfn.XLOOKUP(_xlfn.XLOOKUP(C162,'Same Seller Hist'!E:E,'Same Seller Hist'!H:H),'Fastmoss 500'!D:D,'Fastmoss 500'!D:D)),"Não","Sim"))</f>
        <v>Não</v>
      </c>
      <c r="O162" s="21" t="str">
        <f>IF(AND(M162="Sim",N162="Sim"),"Sim","Não")</f>
        <v>Não</v>
      </c>
      <c r="P162" s="21" t="str">
        <f>IF(I162&gt;K162,"Sim","Não")</f>
        <v>Sim</v>
      </c>
      <c r="Q162" s="21">
        <f>COUNTIFS(C:C,C162)</f>
        <v>1</v>
      </c>
    </row>
    <row r="163" spans="3:17" hidden="1" x14ac:dyDescent="0.35">
      <c r="C163" s="5">
        <v>1384073074</v>
      </c>
      <c r="D163" s="5" t="s">
        <v>1703</v>
      </c>
      <c r="E163" s="5">
        <f>_xlfn.XLOOKUP(C163,'Same Seller Hist'!E:E,'Same Seller Hist'!I:I)</f>
        <v>7.4961853615757404E+18</v>
      </c>
      <c r="F163" s="5" t="str">
        <f>_xlfn.XLOOKUP(C163,'Same Seller Hist'!E:E,'Same Seller Hist'!H:H)</f>
        <v>Moda Monkey Shop</v>
      </c>
      <c r="G163" s="5" t="s">
        <v>905</v>
      </c>
      <c r="H163" s="19">
        <v>838.19354838709364</v>
      </c>
      <c r="I163" s="19">
        <v>4431.4608237685807</v>
      </c>
      <c r="J163" s="19">
        <f>_xlfn.IFNA(_xlfn.XLOOKUP(F163,'Fastmoss 500'!D:D,'Fastmoss 500'!O:O),0)</f>
        <v>0</v>
      </c>
      <c r="K163" s="19">
        <f>_xlfn.IFNA(_xlfn.XLOOKUP(F163,'Fastmoss 500'!D:D,'Fastmoss 500'!N:N),0)</f>
        <v>0</v>
      </c>
      <c r="L163" s="21" t="s">
        <v>2528</v>
      </c>
      <c r="M163" s="21" t="str">
        <f>IF(L163="Shp 500","Sim",IF(ISNA(_xlfn.XLOOKUP(C163,'Shp 500'!D:D,'Shp 500'!D:D)),"Não","Sim"))</f>
        <v>Sim</v>
      </c>
      <c r="N163" s="21" t="str">
        <f>IF(L163="Fastmoss 500","Sim",IF(ISNA(_xlfn.XLOOKUP(_xlfn.XLOOKUP(C163,'Same Seller Hist'!E:E,'Same Seller Hist'!H:H),'Fastmoss 500'!D:D,'Fastmoss 500'!D:D)),"Não","Sim"))</f>
        <v>Não</v>
      </c>
      <c r="O163" s="21" t="str">
        <f>IF(AND(M163="Sim",N163="Sim"),"Sim","Não")</f>
        <v>Não</v>
      </c>
      <c r="P163" s="21" t="str">
        <f>IF(I163&gt;K163,"Sim","Não")</f>
        <v>Sim</v>
      </c>
      <c r="Q163" s="21">
        <f>COUNTIFS(C:C,C163)</f>
        <v>1</v>
      </c>
    </row>
    <row r="164" spans="3:17" hidden="1" x14ac:dyDescent="0.35">
      <c r="C164" s="5">
        <v>1179613076</v>
      </c>
      <c r="D164" s="5" t="s">
        <v>1704</v>
      </c>
      <c r="E164" s="5">
        <f>_xlfn.XLOOKUP(C164,'Same Seller Hist'!E:E,'Same Seller Hist'!I:I)</f>
        <v>7.4956779437686395E+18</v>
      </c>
      <c r="F164" s="5" t="str">
        <f>_xlfn.XLOOKUP(C164,'Same Seller Hist'!E:E,'Same Seller Hist'!H:H)</f>
        <v>Karseell Original</v>
      </c>
      <c r="G164" s="5" t="s">
        <v>906</v>
      </c>
      <c r="H164" s="19">
        <v>837.09677419354841</v>
      </c>
      <c r="I164" s="19">
        <v>5052.5614943945484</v>
      </c>
      <c r="J164" s="19">
        <f>_xlfn.IFNA(_xlfn.XLOOKUP(F164,'Fastmoss 500'!D:D,'Fastmoss 500'!O:O),0)</f>
        <v>0</v>
      </c>
      <c r="K164" s="19">
        <f>_xlfn.IFNA(_xlfn.XLOOKUP(F164,'Fastmoss 500'!D:D,'Fastmoss 500'!N:N),0)</f>
        <v>0</v>
      </c>
      <c r="L164" s="21" t="s">
        <v>2528</v>
      </c>
      <c r="M164" s="21" t="str">
        <f>IF(L164="Shp 500","Sim",IF(ISNA(_xlfn.XLOOKUP(C164,'Shp 500'!D:D,'Shp 500'!D:D)),"Não","Sim"))</f>
        <v>Sim</v>
      </c>
      <c r="N164" s="21" t="str">
        <f>IF(L164="Fastmoss 500","Sim",IF(ISNA(_xlfn.XLOOKUP(_xlfn.XLOOKUP(C164,'Same Seller Hist'!E:E,'Same Seller Hist'!H:H),'Fastmoss 500'!D:D,'Fastmoss 500'!D:D)),"Não","Sim"))</f>
        <v>Não</v>
      </c>
      <c r="O164" s="21" t="str">
        <f>IF(AND(M164="Sim",N164="Sim"),"Sim","Não")</f>
        <v>Não</v>
      </c>
      <c r="P164" s="21" t="str">
        <f>IF(I164&gt;K164,"Sim","Não")</f>
        <v>Sim</v>
      </c>
      <c r="Q164" s="21">
        <f>COUNTIFS(C:C,C164)</f>
        <v>1</v>
      </c>
    </row>
    <row r="165" spans="3:17" x14ac:dyDescent="0.35">
      <c r="C165" s="5">
        <f>_xlfn.XLOOKUP(F165,'Same Seller Hist'!H:H,'Same Seller Hist'!E:E)</f>
        <v>542974007</v>
      </c>
      <c r="D165" s="5" t="str">
        <f>_xlfn.XLOOKUP(F165,'Same Seller Hist'!H:H,'Same Seller Hist'!D:D)</f>
        <v>Globilia Casa DIY</v>
      </c>
      <c r="E165" s="5">
        <f>_xlfn.XLOOKUP(F165,'Same Seller Hist'!H:H,'Same Seller Hist'!I:I)</f>
        <v>7.4961608419157903E+18</v>
      </c>
      <c r="F165" s="5" t="s">
        <v>629</v>
      </c>
      <c r="G165" s="5" t="str">
        <f>_xlfn.XLOOKUP(C165,'Same Seller Hist'!E:E,'Same Seller Hist'!F:F)</f>
        <v>Fashion</v>
      </c>
      <c r="H165" s="19">
        <f>_xlfn.IFNA(_xlfn.XLOOKUP(C165,'Shp 500'!D:D,'Shp 500'!I:I),0)</f>
        <v>3238.8064516129034</v>
      </c>
      <c r="I165" s="19">
        <f>_xlfn.IFNA(_xlfn.XLOOKUP(C165,'Shp 500'!D:D,'Shp 500'!J:J),0)</f>
        <v>45253.596244435488</v>
      </c>
      <c r="J165" s="19">
        <v>238.70967741935485</v>
      </c>
      <c r="K165" s="19">
        <v>11838.709677419354</v>
      </c>
      <c r="L165" s="21" t="s">
        <v>2530</v>
      </c>
      <c r="M165" s="21" t="str">
        <f>IF(L165="Shp 500","Sim",IF(ISNA(_xlfn.XLOOKUP(C165,'Shp 500'!D:D,'Shp 500'!D:D)),"Não","Sim"))</f>
        <v>Sim</v>
      </c>
      <c r="N165" s="21" t="str">
        <f>IF(L165="Fastmoss 500","Sim",IF(ISNA(_xlfn.XLOOKUP(_xlfn.XLOOKUP(C165,'Same Seller Hist'!E:E,'Same Seller Hist'!H:H),'Fastmoss 500'!D:D,'Fastmoss 500'!D:D)),"Não","Sim"))</f>
        <v>Sim</v>
      </c>
      <c r="O165" s="21" t="str">
        <f>IF(AND(M165="Sim",N165="Sim"),"Sim","Não")</f>
        <v>Sim</v>
      </c>
      <c r="P165" s="21" t="str">
        <f>IF(I165&gt;K165,"Sim","Não")</f>
        <v>Sim</v>
      </c>
      <c r="Q165" s="21">
        <f>COUNTIFS(C:C,C165)</f>
        <v>2</v>
      </c>
    </row>
    <row r="166" spans="3:17" hidden="1" x14ac:dyDescent="0.35">
      <c r="C166" s="5">
        <v>1175741090</v>
      </c>
      <c r="D166" s="5" t="s">
        <v>1710</v>
      </c>
      <c r="E166" s="5">
        <f>_xlfn.XLOOKUP(C166,'Same Seller Hist'!E:E,'Same Seller Hist'!I:I)</f>
        <v>7.4961784007143199E+18</v>
      </c>
      <c r="F166" s="5" t="str">
        <f>_xlfn.XLOOKUP(C166,'Same Seller Hist'!E:E,'Same Seller Hist'!H:H)</f>
        <v>CenterSport Br</v>
      </c>
      <c r="G166" s="5" t="s">
        <v>903</v>
      </c>
      <c r="H166" s="19">
        <v>830.67741935483559</v>
      </c>
      <c r="I166" s="19">
        <v>11695.328712684322</v>
      </c>
      <c r="J166" s="19">
        <f>_xlfn.IFNA(_xlfn.XLOOKUP(F166,'Fastmoss 500'!D:D,'Fastmoss 500'!O:O),0)</f>
        <v>0</v>
      </c>
      <c r="K166" s="19">
        <f>_xlfn.IFNA(_xlfn.XLOOKUP(F166,'Fastmoss 500'!D:D,'Fastmoss 500'!N:N),0)</f>
        <v>0</v>
      </c>
      <c r="L166" s="21" t="s">
        <v>2528</v>
      </c>
      <c r="M166" s="21" t="str">
        <f>IF(L166="Shp 500","Sim",IF(ISNA(_xlfn.XLOOKUP(C166,'Shp 500'!D:D,'Shp 500'!D:D)),"Não","Sim"))</f>
        <v>Sim</v>
      </c>
      <c r="N166" s="21" t="str">
        <f>IF(L166="Fastmoss 500","Sim",IF(ISNA(_xlfn.XLOOKUP(_xlfn.XLOOKUP(C166,'Same Seller Hist'!E:E,'Same Seller Hist'!H:H),'Fastmoss 500'!D:D,'Fastmoss 500'!D:D)),"Não","Sim"))</f>
        <v>Não</v>
      </c>
      <c r="O166" s="21" t="str">
        <f>IF(AND(M166="Sim",N166="Sim"),"Sim","Não")</f>
        <v>Não</v>
      </c>
      <c r="P166" s="21" t="str">
        <f>IF(I166&gt;K166,"Sim","Não")</f>
        <v>Sim</v>
      </c>
      <c r="Q166" s="21">
        <f>COUNTIFS(C:C,C166)</f>
        <v>1</v>
      </c>
    </row>
    <row r="167" spans="3:17" hidden="1" x14ac:dyDescent="0.35">
      <c r="C167" s="5">
        <v>408128510</v>
      </c>
      <c r="D167" s="5" t="s">
        <v>1719</v>
      </c>
      <c r="E167" s="5">
        <f>_xlfn.XLOOKUP(C167,'Same Seller Hist'!E:E,'Same Seller Hist'!I:I)</f>
        <v>7.49619801657485E+18</v>
      </c>
      <c r="F167" s="5" t="str">
        <f>_xlfn.XLOOKUP(C167,'Same Seller Hist'!E:E,'Same Seller Hist'!H:H)</f>
        <v>Comercial Vipasa Distribuidora</v>
      </c>
      <c r="G167" s="5" t="s">
        <v>905</v>
      </c>
      <c r="H167" s="19">
        <v>824.99999999999682</v>
      </c>
      <c r="I167" s="19">
        <v>5630.9086839394522</v>
      </c>
      <c r="J167" s="19">
        <f>_xlfn.IFNA(_xlfn.XLOOKUP(F167,'Fastmoss 500'!D:D,'Fastmoss 500'!O:O),0)</f>
        <v>0</v>
      </c>
      <c r="K167" s="19">
        <f>_xlfn.IFNA(_xlfn.XLOOKUP(F167,'Fastmoss 500'!D:D,'Fastmoss 500'!N:N),0)</f>
        <v>0</v>
      </c>
      <c r="L167" s="21" t="s">
        <v>2528</v>
      </c>
      <c r="M167" s="21" t="str">
        <f>IF(L167="Shp 500","Sim",IF(ISNA(_xlfn.XLOOKUP(C167,'Shp 500'!D:D,'Shp 500'!D:D)),"Não","Sim"))</f>
        <v>Sim</v>
      </c>
      <c r="N167" s="21" t="str">
        <f>IF(L167="Fastmoss 500","Sim",IF(ISNA(_xlfn.XLOOKUP(_xlfn.XLOOKUP(C167,'Same Seller Hist'!E:E,'Same Seller Hist'!H:H),'Fastmoss 500'!D:D,'Fastmoss 500'!D:D)),"Não","Sim"))</f>
        <v>Não</v>
      </c>
      <c r="O167" s="21" t="str">
        <f>IF(AND(M167="Sim",N167="Sim"),"Sim","Não")</f>
        <v>Não</v>
      </c>
      <c r="P167" s="21" t="str">
        <f>IF(I167&gt;K167,"Sim","Não")</f>
        <v>Sim</v>
      </c>
      <c r="Q167" s="21">
        <f>COUNTIFS(C:C,C167)</f>
        <v>1</v>
      </c>
    </row>
    <row r="168" spans="3:17" hidden="1" x14ac:dyDescent="0.35">
      <c r="C168" s="5">
        <v>1265443235</v>
      </c>
      <c r="D168" s="5" t="s">
        <v>1721</v>
      </c>
      <c r="E168" s="5">
        <f>_xlfn.XLOOKUP(C168,'Same Seller Hist'!E:E,'Same Seller Hist'!I:I)</f>
        <v>7.4961867000717896E+18</v>
      </c>
      <c r="F168" s="5" t="str">
        <f>_xlfn.XLOOKUP(C168,'Same Seller Hist'!E:E,'Same Seller Hist'!H:H)</f>
        <v>fullpower imports</v>
      </c>
      <c r="G168" s="5" t="s">
        <v>1734</v>
      </c>
      <c r="H168" s="19">
        <v>824.03225806451292</v>
      </c>
      <c r="I168" s="19">
        <v>5291.1490431131615</v>
      </c>
      <c r="J168" s="19">
        <f>_xlfn.IFNA(_xlfn.XLOOKUP(F168,'Fastmoss 500'!D:D,'Fastmoss 500'!O:O),0)</f>
        <v>0</v>
      </c>
      <c r="K168" s="19">
        <f>_xlfn.IFNA(_xlfn.XLOOKUP(F168,'Fastmoss 500'!D:D,'Fastmoss 500'!N:N),0)</f>
        <v>0</v>
      </c>
      <c r="L168" s="21" t="s">
        <v>2528</v>
      </c>
      <c r="M168" s="21" t="str">
        <f>IF(L168="Shp 500","Sim",IF(ISNA(_xlfn.XLOOKUP(C168,'Shp 500'!D:D,'Shp 500'!D:D)),"Não","Sim"))</f>
        <v>Sim</v>
      </c>
      <c r="N168" s="21" t="str">
        <f>IF(L168="Fastmoss 500","Sim",IF(ISNA(_xlfn.XLOOKUP(_xlfn.XLOOKUP(C168,'Same Seller Hist'!E:E,'Same Seller Hist'!H:H),'Fastmoss 500'!D:D,'Fastmoss 500'!D:D)),"Não","Sim"))</f>
        <v>Não</v>
      </c>
      <c r="O168" s="21" t="str">
        <f>IF(AND(M168="Sim",N168="Sim"),"Sim","Não")</f>
        <v>Não</v>
      </c>
      <c r="P168" s="21" t="str">
        <f>IF(I168&gt;K168,"Sim","Não")</f>
        <v>Sim</v>
      </c>
      <c r="Q168" s="21">
        <f>COUNTIFS(C:C,C168)</f>
        <v>1</v>
      </c>
    </row>
    <row r="169" spans="3:17" hidden="1" x14ac:dyDescent="0.35">
      <c r="C169" s="5">
        <v>324536294</v>
      </c>
      <c r="D169" s="5" t="s">
        <v>1728</v>
      </c>
      <c r="E169" s="5">
        <f>_xlfn.XLOOKUP(C169,'Same Seller Hist'!E:E,'Same Seller Hist'!I:I)</f>
        <v>7.4961604248691999E+18</v>
      </c>
      <c r="F169" s="5" t="str">
        <f>_xlfn.XLOOKUP(C169,'Same Seller Hist'!E:E,'Same Seller Hist'!H:H)</f>
        <v>Krokodilus</v>
      </c>
      <c r="G169" s="5" t="s">
        <v>903</v>
      </c>
      <c r="H169" s="19">
        <v>819.80645161290317</v>
      </c>
      <c r="I169" s="19">
        <v>15741.057627335065</v>
      </c>
      <c r="J169" s="19">
        <f>_xlfn.IFNA(_xlfn.XLOOKUP(F169,'Fastmoss 500'!D:D,'Fastmoss 500'!O:O),0)</f>
        <v>0</v>
      </c>
      <c r="K169" s="19">
        <f>_xlfn.IFNA(_xlfn.XLOOKUP(F169,'Fastmoss 500'!D:D,'Fastmoss 500'!N:N),0)</f>
        <v>0</v>
      </c>
      <c r="L169" s="21" t="s">
        <v>2528</v>
      </c>
      <c r="M169" s="21" t="str">
        <f>IF(L169="Shp 500","Sim",IF(ISNA(_xlfn.XLOOKUP(C169,'Shp 500'!D:D,'Shp 500'!D:D)),"Não","Sim"))</f>
        <v>Sim</v>
      </c>
      <c r="N169" s="21" t="str">
        <f>IF(L169="Fastmoss 500","Sim",IF(ISNA(_xlfn.XLOOKUP(_xlfn.XLOOKUP(C169,'Same Seller Hist'!E:E,'Same Seller Hist'!H:H),'Fastmoss 500'!D:D,'Fastmoss 500'!D:D)),"Não","Sim"))</f>
        <v>Não</v>
      </c>
      <c r="O169" s="21" t="str">
        <f>IF(AND(M169="Sim",N169="Sim"),"Sim","Não")</f>
        <v>Não</v>
      </c>
      <c r="P169" s="21" t="str">
        <f>IF(I169&gt;K169,"Sim","Não")</f>
        <v>Sim</v>
      </c>
      <c r="Q169" s="21">
        <f>COUNTIFS(C:C,C169)</f>
        <v>1</v>
      </c>
    </row>
    <row r="170" spans="3:17" hidden="1" x14ac:dyDescent="0.35">
      <c r="C170" s="5">
        <f>_xlfn.XLOOKUP(F170,'Same Seller Hist'!H:H,'Same Seller Hist'!E:E)</f>
        <v>1543591764</v>
      </c>
      <c r="D170" s="5" t="str">
        <f>_xlfn.XLOOKUP(F170,'Same Seller Hist'!H:H,'Same Seller Hist'!D:D)</f>
        <v>Always Fit Suplementos</v>
      </c>
      <c r="E170" s="5">
        <f>_xlfn.XLOOKUP(F170,'Same Seller Hist'!H:H,'Same Seller Hist'!I:I)</f>
        <v>7.4962163949034803E+18</v>
      </c>
      <c r="F170" s="5" t="s">
        <v>310</v>
      </c>
      <c r="G170" s="5" t="str">
        <f>_xlfn.XLOOKUP(C170,'Same Seller Hist'!E:E,'Same Seller Hist'!F:F)</f>
        <v>FMCG</v>
      </c>
      <c r="H170" s="19">
        <f>_xlfn.IFNA(_xlfn.XLOOKUP(C170,'Shp 500'!D:D,'Shp 500'!I:I),0)</f>
        <v>0</v>
      </c>
      <c r="I170" s="19">
        <f>_xlfn.IFNA(_xlfn.XLOOKUP(C170,'Shp 500'!D:D,'Shp 500'!J:J),0)</f>
        <v>0</v>
      </c>
      <c r="J170" s="19">
        <v>5883.8709677419356</v>
      </c>
      <c r="K170" s="19">
        <v>303225.80645161291</v>
      </c>
      <c r="L170" s="21" t="s">
        <v>2530</v>
      </c>
      <c r="M170" s="21" t="str">
        <f>IF(L170="Shp 500","Sim",IF(ISNA(_xlfn.XLOOKUP(C170,'Shp 500'!D:D,'Shp 500'!D:D)),"Não","Sim"))</f>
        <v>Não</v>
      </c>
      <c r="N170" s="21" t="str">
        <f>IF(L170="Fastmoss 500","Sim",IF(ISNA(_xlfn.XLOOKUP(_xlfn.XLOOKUP(C170,'Same Seller Hist'!E:E,'Same Seller Hist'!H:H),'Fastmoss 500'!D:D,'Fastmoss 500'!D:D)),"Não","Sim"))</f>
        <v>Sim</v>
      </c>
      <c r="O170" s="21" t="str">
        <f>IF(AND(M170="Sim",N170="Sim"),"Sim","Não")</f>
        <v>Não</v>
      </c>
      <c r="P170" s="21" t="str">
        <f>IF(I170&gt;K170,"Sim","Não")</f>
        <v>Não</v>
      </c>
      <c r="Q170" s="21">
        <f>COUNTIFS(C:C,C170)</f>
        <v>1</v>
      </c>
    </row>
    <row r="171" spans="3:17" x14ac:dyDescent="0.35">
      <c r="C171" s="5">
        <v>616222685</v>
      </c>
      <c r="D171" s="5" t="s">
        <v>651</v>
      </c>
      <c r="E171" s="5">
        <f>_xlfn.XLOOKUP(C171,'Same Seller Hist'!E:E,'Same Seller Hist'!I:I)</f>
        <v>7.4961530302271601E+18</v>
      </c>
      <c r="F171" s="5" t="str">
        <f>_xlfn.XLOOKUP(C171,'Same Seller Hist'!E:E,'Same Seller Hist'!H:H)</f>
        <v>Salon Line</v>
      </c>
      <c r="G171" s="5" t="s">
        <v>906</v>
      </c>
      <c r="H171" s="19">
        <v>5865.1935483870648</v>
      </c>
      <c r="I171" s="19">
        <v>37595.713625974196</v>
      </c>
      <c r="J171" s="19">
        <f>_xlfn.IFNA(_xlfn.XLOOKUP(F171,'Fastmoss 500'!D:D,'Fastmoss 500'!O:O),0)</f>
        <v>541.93548387096769</v>
      </c>
      <c r="K171" s="19">
        <f>_xlfn.IFNA(_xlfn.XLOOKUP(F171,'Fastmoss 500'!D:D,'Fastmoss 500'!N:N),0)</f>
        <v>21870.967741935485</v>
      </c>
      <c r="L171" s="21" t="s">
        <v>2528</v>
      </c>
      <c r="M171" s="21" t="str">
        <f>IF(L171="Shp 500","Sim",IF(ISNA(_xlfn.XLOOKUP(C171,'Shp 500'!D:D,'Shp 500'!D:D)),"Não","Sim"))</f>
        <v>Sim</v>
      </c>
      <c r="N171" s="21" t="str">
        <f>IF(L171="Fastmoss 500","Sim",IF(ISNA(_xlfn.XLOOKUP(_xlfn.XLOOKUP(C171,'Same Seller Hist'!E:E,'Same Seller Hist'!H:H),'Fastmoss 500'!D:D,'Fastmoss 500'!D:D)),"Não","Sim"))</f>
        <v>Sim</v>
      </c>
      <c r="O171" s="21" t="str">
        <f>IF(AND(M171="Sim",N171="Sim"),"Sim","Não")</f>
        <v>Sim</v>
      </c>
      <c r="P171" s="21" t="str">
        <f>IF(I171&gt;K171,"Sim","Não")</f>
        <v>Sim</v>
      </c>
      <c r="Q171" s="21">
        <f>COUNTIFS(C:C,C171)</f>
        <v>2</v>
      </c>
    </row>
    <row r="172" spans="3:17" hidden="1" x14ac:dyDescent="0.35">
      <c r="C172" s="5">
        <f>_xlfn.XLOOKUP(F172,'Same Seller Hist'!H:H,'Same Seller Hist'!E:E)</f>
        <v>906473022</v>
      </c>
      <c r="D172" s="5" t="str">
        <f>_xlfn.XLOOKUP(F172,'Same Seller Hist'!H:H,'Same Seller Hist'!D:D)</f>
        <v>LUNA SHOP_BRASIL</v>
      </c>
      <c r="E172" s="5">
        <f>_xlfn.XLOOKUP(F172,'Same Seller Hist'!H:H,'Same Seller Hist'!I:I)</f>
        <v>7.4941341788754002E+18</v>
      </c>
      <c r="F172" s="5" t="s">
        <v>793</v>
      </c>
      <c r="G172" s="5" t="str">
        <f>_xlfn.XLOOKUP(C172,'Same Seller Hist'!E:E,'Same Seller Hist'!F:F)</f>
        <v>FMCG</v>
      </c>
      <c r="H172" s="19">
        <f>_xlfn.IFNA(_xlfn.XLOOKUP(C172,'Shp 500'!D:D,'Shp 500'!I:I),0)</f>
        <v>0</v>
      </c>
      <c r="I172" s="19">
        <f>_xlfn.IFNA(_xlfn.XLOOKUP(C172,'Shp 500'!D:D,'Shp 500'!J:J),0)</f>
        <v>0</v>
      </c>
      <c r="J172" s="19">
        <v>3293.5483870967741</v>
      </c>
      <c r="K172" s="19">
        <v>93548.387096774197</v>
      </c>
      <c r="L172" s="21" t="s">
        <v>2530</v>
      </c>
      <c r="M172" s="21" t="str">
        <f>IF(L172="Shp 500","Sim",IF(ISNA(_xlfn.XLOOKUP(C172,'Shp 500'!D:D,'Shp 500'!D:D)),"Não","Sim"))</f>
        <v>Não</v>
      </c>
      <c r="N172" s="21" t="str">
        <f>IF(L172="Fastmoss 500","Sim",IF(ISNA(_xlfn.XLOOKUP(_xlfn.XLOOKUP(C172,'Same Seller Hist'!E:E,'Same Seller Hist'!H:H),'Fastmoss 500'!D:D,'Fastmoss 500'!D:D)),"Não","Sim"))</f>
        <v>Sim</v>
      </c>
      <c r="O172" s="21" t="str">
        <f>IF(AND(M172="Sim",N172="Sim"),"Sim","Não")</f>
        <v>Não</v>
      </c>
      <c r="P172" s="21" t="str">
        <f>IF(I172&gt;K172,"Sim","Não")</f>
        <v>Não</v>
      </c>
      <c r="Q172" s="21">
        <f>COUNTIFS(C:C,C172)</f>
        <v>1</v>
      </c>
    </row>
    <row r="173" spans="3:17" hidden="1" x14ac:dyDescent="0.35">
      <c r="C173" s="5">
        <f>_xlfn.XLOOKUP(F173,'Same Seller Hist'!H:H,'Same Seller Hist'!E:E)</f>
        <v>1103632656</v>
      </c>
      <c r="D173" s="5" t="str">
        <f>_xlfn.XLOOKUP(F173,'Same Seller Hist'!H:H,'Same Seller Hist'!D:D)</f>
        <v>Express.Loja</v>
      </c>
      <c r="E173" s="5">
        <f>_xlfn.XLOOKUP(F173,'Same Seller Hist'!H:H,'Same Seller Hist'!I:I)</f>
        <v>7.4961635847704105E+18</v>
      </c>
      <c r="F173" s="5" t="s">
        <v>115</v>
      </c>
      <c r="G173" s="5" t="str">
        <f>_xlfn.XLOOKUP(C173,'Same Seller Hist'!E:E,'Same Seller Hist'!F:F)</f>
        <v>Lifestyle</v>
      </c>
      <c r="H173" s="19">
        <f>_xlfn.IFNA(_xlfn.XLOOKUP(C173,'Shp 500'!D:D,'Shp 500'!I:I),0)</f>
        <v>0</v>
      </c>
      <c r="I173" s="19">
        <f>_xlfn.IFNA(_xlfn.XLOOKUP(C173,'Shp 500'!D:D,'Shp 500'!J:J),0)</f>
        <v>0</v>
      </c>
      <c r="J173" s="19">
        <v>2551.6129032258063</v>
      </c>
      <c r="K173" s="19">
        <v>41935.483870967742</v>
      </c>
      <c r="L173" s="21" t="s">
        <v>2530</v>
      </c>
      <c r="M173" s="21" t="str">
        <f>IF(L173="Shp 500","Sim",IF(ISNA(_xlfn.XLOOKUP(C173,'Shp 500'!D:D,'Shp 500'!D:D)),"Não","Sim"))</f>
        <v>Não</v>
      </c>
      <c r="N173" s="21" t="str">
        <f>IF(L173="Fastmoss 500","Sim",IF(ISNA(_xlfn.XLOOKUP(_xlfn.XLOOKUP(C173,'Same Seller Hist'!E:E,'Same Seller Hist'!H:H),'Fastmoss 500'!D:D,'Fastmoss 500'!D:D)),"Não","Sim"))</f>
        <v>Sim</v>
      </c>
      <c r="O173" s="21" t="str">
        <f>IF(AND(M173="Sim",N173="Sim"),"Sim","Não")</f>
        <v>Não</v>
      </c>
      <c r="P173" s="21" t="str">
        <f>IF(I173&gt;K173,"Sim","Não")</f>
        <v>Não</v>
      </c>
      <c r="Q173" s="21">
        <f>COUNTIFS(C:C,C173)</f>
        <v>1</v>
      </c>
    </row>
    <row r="174" spans="3:17" x14ac:dyDescent="0.35">
      <c r="C174" s="5">
        <f>_xlfn.XLOOKUP(F174,'Same Seller Hist'!H:H,'Same Seller Hist'!E:E)</f>
        <v>616222685</v>
      </c>
      <c r="D174" s="5" t="str">
        <f>_xlfn.XLOOKUP(F174,'Same Seller Hist'!H:H,'Same Seller Hist'!D:D)</f>
        <v>Salon Line</v>
      </c>
      <c r="E174" s="5">
        <f>_xlfn.XLOOKUP(F174,'Same Seller Hist'!H:H,'Same Seller Hist'!I:I)</f>
        <v>7.4961530302271601E+18</v>
      </c>
      <c r="F174" s="5" t="s">
        <v>651</v>
      </c>
      <c r="G174" s="5" t="str">
        <f>_xlfn.XLOOKUP(C174,'Same Seller Hist'!E:E,'Same Seller Hist'!F:F)</f>
        <v>FMCG</v>
      </c>
      <c r="H174" s="19">
        <f>_xlfn.IFNA(_xlfn.XLOOKUP(C174,'Shp 500'!D:D,'Shp 500'!I:I),0)</f>
        <v>5865.1935483870648</v>
      </c>
      <c r="I174" s="19">
        <f>_xlfn.IFNA(_xlfn.XLOOKUP(C174,'Shp 500'!D:D,'Shp 500'!J:J),0)</f>
        <v>37595.713625974196</v>
      </c>
      <c r="J174" s="19">
        <v>541.93548387096769</v>
      </c>
      <c r="K174" s="19">
        <v>21870.967741935485</v>
      </c>
      <c r="L174" s="21" t="s">
        <v>2530</v>
      </c>
      <c r="M174" s="21" t="str">
        <f>IF(L174="Shp 500","Sim",IF(ISNA(_xlfn.XLOOKUP(C174,'Shp 500'!D:D,'Shp 500'!D:D)),"Não","Sim"))</f>
        <v>Sim</v>
      </c>
      <c r="N174" s="21" t="str">
        <f>IF(L174="Fastmoss 500","Sim",IF(ISNA(_xlfn.XLOOKUP(_xlfn.XLOOKUP(C174,'Same Seller Hist'!E:E,'Same Seller Hist'!H:H),'Fastmoss 500'!D:D,'Fastmoss 500'!D:D)),"Não","Sim"))</f>
        <v>Sim</v>
      </c>
      <c r="O174" s="21" t="str">
        <f>IF(AND(M174="Sim",N174="Sim"),"Sim","Não")</f>
        <v>Sim</v>
      </c>
      <c r="P174" s="21" t="str">
        <f>IF(I174&gt;K174,"Sim","Não")</f>
        <v>Sim</v>
      </c>
      <c r="Q174" s="21">
        <f>COUNTIFS(C:C,C174)</f>
        <v>2</v>
      </c>
    </row>
    <row r="175" spans="3:17" hidden="1" x14ac:dyDescent="0.35">
      <c r="C175" s="5">
        <f>_xlfn.XLOOKUP(F175,'Same Seller Hist'!H:H,'Same Seller Hist'!E:E)</f>
        <v>1579330222</v>
      </c>
      <c r="D175" s="5" t="str">
        <f>_xlfn.XLOOKUP(F175,'Same Seller Hist'!H:H,'Same Seller Hist'!D:D)</f>
        <v>Barbour's Beauty</v>
      </c>
      <c r="E175" s="5">
        <f>_xlfn.XLOOKUP(F175,'Same Seller Hist'!H:H,'Same Seller Hist'!I:I)</f>
        <v>7.4962632432273603E+18</v>
      </c>
      <c r="F175" s="5" t="s">
        <v>331</v>
      </c>
      <c r="G175" s="5" t="str">
        <f>_xlfn.XLOOKUP(C175,'Same Seller Hist'!E:E,'Same Seller Hist'!F:F)</f>
        <v>FMCG</v>
      </c>
      <c r="H175" s="19">
        <f>_xlfn.IFNA(_xlfn.XLOOKUP(C175,'Shp 500'!D:D,'Shp 500'!I:I),0)</f>
        <v>0</v>
      </c>
      <c r="I175" s="19">
        <f>_xlfn.IFNA(_xlfn.XLOOKUP(C175,'Shp 500'!D:D,'Shp 500'!J:J),0)</f>
        <v>0</v>
      </c>
      <c r="J175" s="19">
        <v>2038.7096774193549</v>
      </c>
      <c r="K175" s="19">
        <v>112903.22580645161</v>
      </c>
      <c r="L175" s="21" t="s">
        <v>2530</v>
      </c>
      <c r="M175" s="21" t="str">
        <f>IF(L175="Shp 500","Sim",IF(ISNA(_xlfn.XLOOKUP(C175,'Shp 500'!D:D,'Shp 500'!D:D)),"Não","Sim"))</f>
        <v>Não</v>
      </c>
      <c r="N175" s="21" t="str">
        <f>IF(L175="Fastmoss 500","Sim",IF(ISNA(_xlfn.XLOOKUP(_xlfn.XLOOKUP(C175,'Same Seller Hist'!E:E,'Same Seller Hist'!H:H),'Fastmoss 500'!D:D,'Fastmoss 500'!D:D)),"Não","Sim"))</f>
        <v>Sim</v>
      </c>
      <c r="O175" s="21" t="str">
        <f>IF(AND(M175="Sim",N175="Sim"),"Sim","Não")</f>
        <v>Não</v>
      </c>
      <c r="P175" s="21" t="str">
        <f>IF(I175&gt;K175,"Sim","Não")</f>
        <v>Não</v>
      </c>
      <c r="Q175" s="21">
        <f>COUNTIFS(C:C,C175)</f>
        <v>1</v>
      </c>
    </row>
    <row r="176" spans="3:17" hidden="1" x14ac:dyDescent="0.35">
      <c r="C176" s="5">
        <f>_xlfn.XLOOKUP(F176,'Same Seller Hist'!H:H,'Same Seller Hist'!E:E)</f>
        <v>443076516</v>
      </c>
      <c r="D176" s="5" t="str">
        <f>_xlfn.XLOOKUP(F176,'Same Seller Hist'!H:H,'Same Seller Hist'!D:D)</f>
        <v>Bodyaction</v>
      </c>
      <c r="E176" s="5">
        <f>_xlfn.XLOOKUP(F176,'Same Seller Hist'!H:H,'Same Seller Hist'!I:I)</f>
        <v>7.4961818080165499E+18</v>
      </c>
      <c r="F176" s="5" t="s">
        <v>577</v>
      </c>
      <c r="G176" s="5" t="str">
        <f>_xlfn.XLOOKUP(C176,'Same Seller Hist'!E:E,'Same Seller Hist'!F:F)</f>
        <v>FMCG</v>
      </c>
      <c r="H176" s="19">
        <f>_xlfn.IFNA(_xlfn.XLOOKUP(C176,'Shp 500'!D:D,'Shp 500'!I:I),0)</f>
        <v>0</v>
      </c>
      <c r="I176" s="19">
        <f>_xlfn.IFNA(_xlfn.XLOOKUP(C176,'Shp 500'!D:D,'Shp 500'!J:J),0)</f>
        <v>0</v>
      </c>
      <c r="J176" s="19">
        <v>1958.0645161290322</v>
      </c>
      <c r="K176" s="19">
        <v>174193.54838709679</v>
      </c>
      <c r="L176" s="21" t="s">
        <v>2530</v>
      </c>
      <c r="M176" s="21" t="str">
        <f>IF(L176="Shp 500","Sim",IF(ISNA(_xlfn.XLOOKUP(C176,'Shp 500'!D:D,'Shp 500'!D:D)),"Não","Sim"))</f>
        <v>Não</v>
      </c>
      <c r="N176" s="21" t="str">
        <f>IF(L176="Fastmoss 500","Sim",IF(ISNA(_xlfn.XLOOKUP(_xlfn.XLOOKUP(C176,'Same Seller Hist'!E:E,'Same Seller Hist'!H:H),'Fastmoss 500'!D:D,'Fastmoss 500'!D:D)),"Não","Sim"))</f>
        <v>Sim</v>
      </c>
      <c r="O176" s="21" t="str">
        <f>IF(AND(M176="Sim",N176="Sim"),"Sim","Não")</f>
        <v>Não</v>
      </c>
      <c r="P176" s="21" t="str">
        <f>IF(I176&gt;K176,"Sim","Não")</f>
        <v>Não</v>
      </c>
      <c r="Q176" s="21">
        <f>COUNTIFS(C:C,C176)</f>
        <v>1</v>
      </c>
    </row>
    <row r="177" spans="3:17" x14ac:dyDescent="0.35">
      <c r="C177" s="5">
        <v>627750190</v>
      </c>
      <c r="D177" s="5" t="s">
        <v>653</v>
      </c>
      <c r="E177" s="5">
        <f>_xlfn.XLOOKUP(C177,'Same Seller Hist'!E:E,'Same Seller Hist'!I:I)</f>
        <v>7.4961686446628198E+18</v>
      </c>
      <c r="F177" s="5" t="str">
        <f>_xlfn.XLOOKUP(C177,'Same Seller Hist'!E:E,'Same Seller Hist'!H:H)</f>
        <v>Pichau</v>
      </c>
      <c r="G177" s="5" t="s">
        <v>904</v>
      </c>
      <c r="H177" s="19">
        <v>2017.2903225806419</v>
      </c>
      <c r="I177" s="19">
        <v>75626.787096293221</v>
      </c>
      <c r="J177" s="19">
        <f>_xlfn.IFNA(_xlfn.XLOOKUP(F177,'Fastmoss 500'!D:D,'Fastmoss 500'!O:O),0)</f>
        <v>203.2258064516129</v>
      </c>
      <c r="K177" s="19">
        <f>_xlfn.IFNA(_xlfn.XLOOKUP(F177,'Fastmoss 500'!D:D,'Fastmoss 500'!N:N),0)</f>
        <v>22596.774193548386</v>
      </c>
      <c r="L177" s="21" t="s">
        <v>2528</v>
      </c>
      <c r="M177" s="21" t="str">
        <f>IF(L177="Shp 500","Sim",IF(ISNA(_xlfn.XLOOKUP(C177,'Shp 500'!D:D,'Shp 500'!D:D)),"Não","Sim"))</f>
        <v>Sim</v>
      </c>
      <c r="N177" s="21" t="str">
        <f>IF(L177="Fastmoss 500","Sim",IF(ISNA(_xlfn.XLOOKUP(_xlfn.XLOOKUP(C177,'Same Seller Hist'!E:E,'Same Seller Hist'!H:H),'Fastmoss 500'!D:D,'Fastmoss 500'!D:D)),"Não","Sim"))</f>
        <v>Sim</v>
      </c>
      <c r="O177" s="21" t="str">
        <f>IF(AND(M177="Sim",N177="Sim"),"Sim","Não")</f>
        <v>Sim</v>
      </c>
      <c r="P177" s="21" t="str">
        <f>IF(I177&gt;K177,"Sim","Não")</f>
        <v>Sim</v>
      </c>
      <c r="Q177" s="21">
        <f>COUNTIFS(C:C,C177)</f>
        <v>2</v>
      </c>
    </row>
    <row r="178" spans="3:17" x14ac:dyDescent="0.35">
      <c r="C178" s="5">
        <f>_xlfn.XLOOKUP(F178,'Same Seller Hist'!H:H,'Same Seller Hist'!E:E)</f>
        <v>627750190</v>
      </c>
      <c r="D178" s="5" t="str">
        <f>_xlfn.XLOOKUP(F178,'Same Seller Hist'!H:H,'Same Seller Hist'!D:D)</f>
        <v>Pichau</v>
      </c>
      <c r="E178" s="5">
        <f>_xlfn.XLOOKUP(F178,'Same Seller Hist'!H:H,'Same Seller Hist'!I:I)</f>
        <v>7.4961686446628198E+18</v>
      </c>
      <c r="F178" s="5" t="s">
        <v>653</v>
      </c>
      <c r="G178" s="5" t="str">
        <f>_xlfn.XLOOKUP(C178,'Same Seller Hist'!E:E,'Same Seller Hist'!F:F)</f>
        <v>ELHA</v>
      </c>
      <c r="H178" s="19">
        <f>_xlfn.IFNA(_xlfn.XLOOKUP(C178,'Shp 500'!D:D,'Shp 500'!I:I),0)</f>
        <v>2017.2903225806419</v>
      </c>
      <c r="I178" s="19">
        <f>_xlfn.IFNA(_xlfn.XLOOKUP(C178,'Shp 500'!D:D,'Shp 500'!J:J),0)</f>
        <v>75626.787096293221</v>
      </c>
      <c r="J178" s="19">
        <v>203.2258064516129</v>
      </c>
      <c r="K178" s="19">
        <v>22596.774193548386</v>
      </c>
      <c r="L178" s="21" t="s">
        <v>2530</v>
      </c>
      <c r="M178" s="21" t="str">
        <f>IF(L178="Shp 500","Sim",IF(ISNA(_xlfn.XLOOKUP(C178,'Shp 500'!D:D,'Shp 500'!D:D)),"Não","Sim"))</f>
        <v>Sim</v>
      </c>
      <c r="N178" s="21" t="str">
        <f>IF(L178="Fastmoss 500","Sim",IF(ISNA(_xlfn.XLOOKUP(_xlfn.XLOOKUP(C178,'Same Seller Hist'!E:E,'Same Seller Hist'!H:H),'Fastmoss 500'!D:D,'Fastmoss 500'!D:D)),"Não","Sim"))</f>
        <v>Sim</v>
      </c>
      <c r="O178" s="21" t="str">
        <f>IF(AND(M178="Sim",N178="Sim"),"Sim","Não")</f>
        <v>Sim</v>
      </c>
      <c r="P178" s="21" t="str">
        <f>IF(I178&gt;K178,"Sim","Não")</f>
        <v>Sim</v>
      </c>
      <c r="Q178" s="21">
        <f>COUNTIFS(C:C,C178)</f>
        <v>2</v>
      </c>
    </row>
    <row r="179" spans="3:17" x14ac:dyDescent="0.35">
      <c r="C179" s="5">
        <v>676651970</v>
      </c>
      <c r="D179" s="5" t="s">
        <v>671</v>
      </c>
      <c r="E179" s="5">
        <f>_xlfn.XLOOKUP(C179,'Same Seller Hist'!E:E,'Same Seller Hist'!I:I)</f>
        <v>0</v>
      </c>
      <c r="F179" s="5">
        <f>_xlfn.XLOOKUP(C179,'Same Seller Hist'!E:E,'Same Seller Hist'!H:H)</f>
        <v>0</v>
      </c>
      <c r="G179" s="5" t="s">
        <v>1734</v>
      </c>
      <c r="H179" s="19">
        <v>1106.9354838709644</v>
      </c>
      <c r="I179" s="19">
        <v>9876.2253615082918</v>
      </c>
      <c r="J179" s="19">
        <f>_xlfn.IFNA(_xlfn.XLOOKUP(F179,'Fastmoss 500'!D:D,'Fastmoss 500'!O:O),0)</f>
        <v>0</v>
      </c>
      <c r="K179" s="19">
        <f>_xlfn.IFNA(_xlfn.XLOOKUP(F179,'Fastmoss 500'!D:D,'Fastmoss 500'!N:N),0)</f>
        <v>0</v>
      </c>
      <c r="L179" s="21" t="s">
        <v>2528</v>
      </c>
      <c r="M179" s="21" t="str">
        <f>IF(L179="Shp 500","Sim",IF(ISNA(_xlfn.XLOOKUP(C179,'Shp 500'!D:D,'Shp 500'!D:D)),"Não","Sim"))</f>
        <v>Sim</v>
      </c>
      <c r="N179" s="21" t="str">
        <f>IF(L179="Fastmoss 500","Sim",IF(ISNA(_xlfn.XLOOKUP(_xlfn.XLOOKUP(C179,'Same Seller Hist'!E:E,'Same Seller Hist'!H:H),'Fastmoss 500'!D:D,'Fastmoss 500'!D:D)),"Não","Sim"))</f>
        <v>Não</v>
      </c>
      <c r="O179" s="21" t="str">
        <f>IF(AND(M179="Sim",N179="Sim"),"Sim","Não")</f>
        <v>Não</v>
      </c>
      <c r="P179" s="21" t="str">
        <f>IF(I179&gt;K179,"Sim","Não")</f>
        <v>Sim</v>
      </c>
      <c r="Q179" s="21">
        <f>COUNTIFS(C:C,C179)</f>
        <v>2</v>
      </c>
    </row>
    <row r="180" spans="3:17" hidden="1" x14ac:dyDescent="0.35">
      <c r="C180" s="5">
        <f>_xlfn.XLOOKUP(F180,'Same Seller Hist'!H:H,'Same Seller Hist'!E:E)</f>
        <v>805674361</v>
      </c>
      <c r="D180" s="5" t="str">
        <f>_xlfn.XLOOKUP(F180,'Same Seller Hist'!H:H,'Same Seller Hist'!D:D)</f>
        <v>Danny Enxovais</v>
      </c>
      <c r="E180" s="5">
        <f>_xlfn.XLOOKUP(F180,'Same Seller Hist'!H:H,'Same Seller Hist'!I:I)</f>
        <v>7.4961820153285499E+18</v>
      </c>
      <c r="F180" s="5" t="s">
        <v>712</v>
      </c>
      <c r="G180" s="5" t="str">
        <f>_xlfn.XLOOKUP(C180,'Same Seller Hist'!E:E,'Same Seller Hist'!F:F)</f>
        <v>Lifestyle</v>
      </c>
      <c r="H180" s="19">
        <f>_xlfn.IFNA(_xlfn.XLOOKUP(C180,'Shp 500'!D:D,'Shp 500'!I:I),0)</f>
        <v>0</v>
      </c>
      <c r="I180" s="19">
        <f>_xlfn.IFNA(_xlfn.XLOOKUP(C180,'Shp 500'!D:D,'Shp 500'!J:J),0)</f>
        <v>0</v>
      </c>
      <c r="J180" s="19">
        <v>1625.8064516129032</v>
      </c>
      <c r="K180" s="19">
        <v>41935.483870967742</v>
      </c>
      <c r="L180" s="21" t="s">
        <v>2530</v>
      </c>
      <c r="M180" s="21" t="str">
        <f>IF(L180="Shp 500","Sim",IF(ISNA(_xlfn.XLOOKUP(C180,'Shp 500'!D:D,'Shp 500'!D:D)),"Não","Sim"))</f>
        <v>Não</v>
      </c>
      <c r="N180" s="21" t="str">
        <f>IF(L180="Fastmoss 500","Sim",IF(ISNA(_xlfn.XLOOKUP(_xlfn.XLOOKUP(C180,'Same Seller Hist'!E:E,'Same Seller Hist'!H:H),'Fastmoss 500'!D:D,'Fastmoss 500'!D:D)),"Não","Sim"))</f>
        <v>Sim</v>
      </c>
      <c r="O180" s="21" t="str">
        <f>IF(AND(M180="Sim",N180="Sim"),"Sim","Não")</f>
        <v>Não</v>
      </c>
      <c r="P180" s="21" t="str">
        <f>IF(I180&gt;K180,"Sim","Não")</f>
        <v>Não</v>
      </c>
      <c r="Q180" s="21">
        <f>COUNTIFS(C:C,C180)</f>
        <v>1</v>
      </c>
    </row>
    <row r="181" spans="3:17" x14ac:dyDescent="0.35">
      <c r="C181" s="5">
        <f>_xlfn.XLOOKUP(F181,'Same Seller Hist'!H:H,'Same Seller Hist'!E:E)</f>
        <v>676651970</v>
      </c>
      <c r="D181" s="5" t="str">
        <f>_xlfn.XLOOKUP(F181,'Same Seller Hist'!H:H,'Same Seller Hist'!D:D)</f>
        <v>Chenjyacessorios</v>
      </c>
      <c r="E181" s="5">
        <f>_xlfn.XLOOKUP(F181,'Same Seller Hist'!H:H,'Same Seller Hist'!I:I)</f>
        <v>7.49618320062831E+18</v>
      </c>
      <c r="F181" s="5" t="s">
        <v>671</v>
      </c>
      <c r="G181" s="5" t="str">
        <f>_xlfn.XLOOKUP(C181,'Same Seller Hist'!E:E,'Same Seller Hist'!F:F)</f>
        <v>ELHA</v>
      </c>
      <c r="H181" s="19">
        <f>_xlfn.IFNA(_xlfn.XLOOKUP(C181,'Shp 500'!D:D,'Shp 500'!I:I),0)</f>
        <v>1106.9354838709644</v>
      </c>
      <c r="I181" s="19">
        <f>_xlfn.IFNA(_xlfn.XLOOKUP(C181,'Shp 500'!D:D,'Shp 500'!J:J),0)</f>
        <v>9876.2253615082918</v>
      </c>
      <c r="J181" s="19">
        <v>325.80645161290323</v>
      </c>
      <c r="K181" s="19">
        <v>21009.677419354837</v>
      </c>
      <c r="L181" s="21" t="s">
        <v>2530</v>
      </c>
      <c r="M181" s="21" t="str">
        <f>IF(L181="Shp 500","Sim",IF(ISNA(_xlfn.XLOOKUP(C181,'Shp 500'!D:D,'Shp 500'!D:D)),"Não","Sim"))</f>
        <v>Sim</v>
      </c>
      <c r="N181" s="21" t="str">
        <f>IF(L181="Fastmoss 500","Sim",IF(ISNA(_xlfn.XLOOKUP(_xlfn.XLOOKUP(C181,'Same Seller Hist'!E:E,'Same Seller Hist'!H:H),'Fastmoss 500'!D:D,'Fastmoss 500'!D:D)),"Não","Sim"))</f>
        <v>Sim</v>
      </c>
      <c r="O181" s="21" t="str">
        <f>IF(AND(M181="Sim",N181="Sim"),"Sim","Não")</f>
        <v>Sim</v>
      </c>
      <c r="P181" s="21" t="str">
        <f>IF(I181&gt;K181,"Sim","Não")</f>
        <v>Não</v>
      </c>
      <c r="Q181" s="21">
        <f>COUNTIFS(C:C,C181)</f>
        <v>2</v>
      </c>
    </row>
    <row r="182" spans="3:17" x14ac:dyDescent="0.35">
      <c r="C182" s="5">
        <v>681570887</v>
      </c>
      <c r="D182" s="5" t="s">
        <v>673</v>
      </c>
      <c r="E182" s="5">
        <f>_xlfn.XLOOKUP(C182,'Same Seller Hist'!E:E,'Same Seller Hist'!I:I)</f>
        <v>7.4961604653545902E+18</v>
      </c>
      <c r="F182" s="5" t="str">
        <f>_xlfn.XLOOKUP(C182,'Same Seller Hist'!E:E,'Same Seller Hist'!H:H)</f>
        <v>AMOBELEZA</v>
      </c>
      <c r="G182" s="5" t="s">
        <v>906</v>
      </c>
      <c r="H182" s="19">
        <v>1301</v>
      </c>
      <c r="I182" s="19">
        <v>15469.540878621323</v>
      </c>
      <c r="J182" s="19">
        <f>_xlfn.IFNA(_xlfn.XLOOKUP(F182,'Fastmoss 500'!D:D,'Fastmoss 500'!O:O),0)</f>
        <v>332.25806451612902</v>
      </c>
      <c r="K182" s="19">
        <f>_xlfn.IFNA(_xlfn.XLOOKUP(F182,'Fastmoss 500'!D:D,'Fastmoss 500'!N:N),0)</f>
        <v>35483.870967741932</v>
      </c>
      <c r="L182" s="21" t="s">
        <v>2528</v>
      </c>
      <c r="M182" s="21" t="str">
        <f>IF(L182="Shp 500","Sim",IF(ISNA(_xlfn.XLOOKUP(C182,'Shp 500'!D:D,'Shp 500'!D:D)),"Não","Sim"))</f>
        <v>Sim</v>
      </c>
      <c r="N182" s="21" t="str">
        <f>IF(L182="Fastmoss 500","Sim",IF(ISNA(_xlfn.XLOOKUP(_xlfn.XLOOKUP(C182,'Same Seller Hist'!E:E,'Same Seller Hist'!H:H),'Fastmoss 500'!D:D,'Fastmoss 500'!D:D)),"Não","Sim"))</f>
        <v>Sim</v>
      </c>
      <c r="O182" s="21" t="str">
        <f>IF(AND(M182="Sim",N182="Sim"),"Sim","Não")</f>
        <v>Sim</v>
      </c>
      <c r="P182" s="21" t="str">
        <f>IF(I182&gt;K182,"Sim","Não")</f>
        <v>Não</v>
      </c>
      <c r="Q182" s="21">
        <f>COUNTIFS(C:C,C182)</f>
        <v>2</v>
      </c>
    </row>
    <row r="183" spans="3:17" hidden="1" x14ac:dyDescent="0.35">
      <c r="C183" s="5">
        <f>_xlfn.XLOOKUP(F183,'Same Seller Hist'!H:H,'Same Seller Hist'!E:E)</f>
        <v>1340867165</v>
      </c>
      <c r="D183" s="5" t="str">
        <f>_xlfn.XLOOKUP(F183,'Same Seller Hist'!H:H,'Same Seller Hist'!D:D)</f>
        <v>LINISO SHOP</v>
      </c>
      <c r="E183" s="5">
        <f>_xlfn.XLOOKUP(F183,'Same Seller Hist'!H:H,'Same Seller Hist'!I:I)</f>
        <v>7.4962125162776801E+18</v>
      </c>
      <c r="F183" s="5" t="s">
        <v>211</v>
      </c>
      <c r="G183" s="5" t="str">
        <f>_xlfn.XLOOKUP(C183,'Same Seller Hist'!E:E,'Same Seller Hist'!F:F)</f>
        <v>Fashion</v>
      </c>
      <c r="H183" s="19">
        <f>_xlfn.IFNA(_xlfn.XLOOKUP(C183,'Shp 500'!D:D,'Shp 500'!I:I),0)</f>
        <v>0</v>
      </c>
      <c r="I183" s="19">
        <f>_xlfn.IFNA(_xlfn.XLOOKUP(C183,'Shp 500'!D:D,'Shp 500'!J:J),0)</f>
        <v>0</v>
      </c>
      <c r="J183" s="19">
        <v>1248.3870967741937</v>
      </c>
      <c r="K183" s="19">
        <v>41935.483870967742</v>
      </c>
      <c r="L183" s="21" t="s">
        <v>2530</v>
      </c>
      <c r="M183" s="21" t="str">
        <f>IF(L183="Shp 500","Sim",IF(ISNA(_xlfn.XLOOKUP(C183,'Shp 500'!D:D,'Shp 500'!D:D)),"Não","Sim"))</f>
        <v>Não</v>
      </c>
      <c r="N183" s="21" t="str">
        <f>IF(L183="Fastmoss 500","Sim",IF(ISNA(_xlfn.XLOOKUP(_xlfn.XLOOKUP(C183,'Same Seller Hist'!E:E,'Same Seller Hist'!H:H),'Fastmoss 500'!D:D,'Fastmoss 500'!D:D)),"Não","Sim"))</f>
        <v>Sim</v>
      </c>
      <c r="O183" s="21" t="str">
        <f>IF(AND(M183="Sim",N183="Sim"),"Sim","Não")</f>
        <v>Não</v>
      </c>
      <c r="P183" s="21" t="str">
        <f>IF(I183&gt;K183,"Sim","Não")</f>
        <v>Não</v>
      </c>
      <c r="Q183" s="21">
        <f>COUNTIFS(C:C,C183)</f>
        <v>1</v>
      </c>
    </row>
    <row r="184" spans="3:17" hidden="1" x14ac:dyDescent="0.35">
      <c r="C184" s="5">
        <f>_xlfn.XLOOKUP(F184,'Same Seller Hist'!H:H,'Same Seller Hist'!E:E)</f>
        <v>1504994084</v>
      </c>
      <c r="D184" s="5" t="str">
        <f>_xlfn.XLOOKUP(F184,'Same Seller Hist'!H:H,'Same Seller Hist'!D:D)</f>
        <v>QVida MIX</v>
      </c>
      <c r="E184" s="5">
        <f>_xlfn.XLOOKUP(F184,'Same Seller Hist'!H:H,'Same Seller Hist'!I:I)</f>
        <v>7.4962708127678095E+18</v>
      </c>
      <c r="F184" s="5" t="s">
        <v>291</v>
      </c>
      <c r="G184" s="5" t="str">
        <f>_xlfn.XLOOKUP(C184,'Same Seller Hist'!E:E,'Same Seller Hist'!F:F)</f>
        <v>Fashion</v>
      </c>
      <c r="H184" s="19">
        <f>_xlfn.IFNA(_xlfn.XLOOKUP(C184,'Shp 500'!D:D,'Shp 500'!I:I),0)</f>
        <v>0</v>
      </c>
      <c r="I184" s="19">
        <f>_xlfn.IFNA(_xlfn.XLOOKUP(C184,'Shp 500'!D:D,'Shp 500'!J:J),0)</f>
        <v>0</v>
      </c>
      <c r="J184" s="19">
        <v>1154.8387096774193</v>
      </c>
      <c r="K184" s="19">
        <v>32258.064516129034</v>
      </c>
      <c r="L184" s="21" t="s">
        <v>2530</v>
      </c>
      <c r="M184" s="21" t="str">
        <f>IF(L184="Shp 500","Sim",IF(ISNA(_xlfn.XLOOKUP(C184,'Shp 500'!D:D,'Shp 500'!D:D)),"Não","Sim"))</f>
        <v>Não</v>
      </c>
      <c r="N184" s="21" t="str">
        <f>IF(L184="Fastmoss 500","Sim",IF(ISNA(_xlfn.XLOOKUP(_xlfn.XLOOKUP(C184,'Same Seller Hist'!E:E,'Same Seller Hist'!H:H),'Fastmoss 500'!D:D,'Fastmoss 500'!D:D)),"Não","Sim"))</f>
        <v>Sim</v>
      </c>
      <c r="O184" s="21" t="str">
        <f>IF(AND(M184="Sim",N184="Sim"),"Sim","Não")</f>
        <v>Não</v>
      </c>
      <c r="P184" s="21" t="str">
        <f>IF(I184&gt;K184,"Sim","Não")</f>
        <v>Não</v>
      </c>
      <c r="Q184" s="21">
        <f>COUNTIFS(C:C,C184)</f>
        <v>1</v>
      </c>
    </row>
    <row r="185" spans="3:17" hidden="1" x14ac:dyDescent="0.35">
      <c r="C185" s="5">
        <f>_xlfn.XLOOKUP(F185,'Same Seller Hist'!H:H,'Same Seller Hist'!E:E)</f>
        <v>283972864</v>
      </c>
      <c r="D185" s="5" t="str">
        <f>_xlfn.XLOOKUP(F185,'Same Seller Hist'!H:H,'Same Seller Hist'!D:D)</f>
        <v>Moderna e Slim</v>
      </c>
      <c r="E185" s="5">
        <f>_xlfn.XLOOKUP(F185,'Same Seller Hist'!H:H,'Same Seller Hist'!I:I)</f>
        <v>7.4961517910296105E+18</v>
      </c>
      <c r="F185" s="5" t="s">
        <v>367</v>
      </c>
      <c r="G185" s="5" t="str">
        <f>_xlfn.XLOOKUP(C185,'Same Seller Hist'!E:E,'Same Seller Hist'!F:F)</f>
        <v>Fashion</v>
      </c>
      <c r="H185" s="19">
        <f>_xlfn.IFNA(_xlfn.XLOOKUP(C185,'Shp 500'!D:D,'Shp 500'!I:I),0)</f>
        <v>0</v>
      </c>
      <c r="I185" s="19">
        <f>_xlfn.IFNA(_xlfn.XLOOKUP(C185,'Shp 500'!D:D,'Shp 500'!J:J),0)</f>
        <v>0</v>
      </c>
      <c r="J185" s="19">
        <v>1145.1612903225807</v>
      </c>
      <c r="K185" s="19">
        <v>51612.903225806454</v>
      </c>
      <c r="L185" s="21" t="s">
        <v>2530</v>
      </c>
      <c r="M185" s="21" t="str">
        <f>IF(L185="Shp 500","Sim",IF(ISNA(_xlfn.XLOOKUP(C185,'Shp 500'!D:D,'Shp 500'!D:D)),"Não","Sim"))</f>
        <v>Não</v>
      </c>
      <c r="N185" s="21" t="str">
        <f>IF(L185="Fastmoss 500","Sim",IF(ISNA(_xlfn.XLOOKUP(_xlfn.XLOOKUP(C185,'Same Seller Hist'!E:E,'Same Seller Hist'!H:H),'Fastmoss 500'!D:D,'Fastmoss 500'!D:D)),"Não","Sim"))</f>
        <v>Sim</v>
      </c>
      <c r="O185" s="21" t="str">
        <f>IF(AND(M185="Sim",N185="Sim"),"Sim","Não")</f>
        <v>Não</v>
      </c>
      <c r="P185" s="21" t="str">
        <f>IF(I185&gt;K185,"Sim","Não")</f>
        <v>Não</v>
      </c>
      <c r="Q185" s="21">
        <f>COUNTIFS(C:C,C185)</f>
        <v>1</v>
      </c>
    </row>
    <row r="186" spans="3:17" x14ac:dyDescent="0.35">
      <c r="C186" s="5">
        <f>_xlfn.XLOOKUP(F186,'Same Seller Hist'!H:H,'Same Seller Hist'!E:E)</f>
        <v>681570887</v>
      </c>
      <c r="D186" s="5" t="str">
        <f>_xlfn.XLOOKUP(F186,'Same Seller Hist'!H:H,'Same Seller Hist'!D:D)</f>
        <v>AMOBELEZA</v>
      </c>
      <c r="E186" s="5">
        <f>_xlfn.XLOOKUP(F186,'Same Seller Hist'!H:H,'Same Seller Hist'!I:I)</f>
        <v>7.4961604653545902E+18</v>
      </c>
      <c r="F186" s="5" t="s">
        <v>673</v>
      </c>
      <c r="G186" s="5" t="str">
        <f>_xlfn.XLOOKUP(C186,'Same Seller Hist'!E:E,'Same Seller Hist'!F:F)</f>
        <v>FMCG</v>
      </c>
      <c r="H186" s="19">
        <f>_xlfn.IFNA(_xlfn.XLOOKUP(C186,'Shp 500'!D:D,'Shp 500'!I:I),0)</f>
        <v>1301</v>
      </c>
      <c r="I186" s="19">
        <f>_xlfn.IFNA(_xlfn.XLOOKUP(C186,'Shp 500'!D:D,'Shp 500'!J:J),0)</f>
        <v>15469.540878621323</v>
      </c>
      <c r="J186" s="19">
        <v>332.25806451612902</v>
      </c>
      <c r="K186" s="19">
        <v>35483.870967741932</v>
      </c>
      <c r="L186" s="21" t="s">
        <v>2530</v>
      </c>
      <c r="M186" s="21" t="str">
        <f>IF(L186="Shp 500","Sim",IF(ISNA(_xlfn.XLOOKUP(C186,'Shp 500'!D:D,'Shp 500'!D:D)),"Não","Sim"))</f>
        <v>Sim</v>
      </c>
      <c r="N186" s="21" t="str">
        <f>IF(L186="Fastmoss 500","Sim",IF(ISNA(_xlfn.XLOOKUP(_xlfn.XLOOKUP(C186,'Same Seller Hist'!E:E,'Same Seller Hist'!H:H),'Fastmoss 500'!D:D,'Fastmoss 500'!D:D)),"Não","Sim"))</f>
        <v>Sim</v>
      </c>
      <c r="O186" s="21" t="str">
        <f>IF(AND(M186="Sim",N186="Sim"),"Sim","Não")</f>
        <v>Sim</v>
      </c>
      <c r="P186" s="21" t="str">
        <f>IF(I186&gt;K186,"Sim","Não")</f>
        <v>Não</v>
      </c>
      <c r="Q186" s="21">
        <f>COUNTIFS(C:C,C186)</f>
        <v>2</v>
      </c>
    </row>
    <row r="187" spans="3:17" x14ac:dyDescent="0.35">
      <c r="C187" s="5">
        <v>717396632</v>
      </c>
      <c r="D187" s="5" t="s">
        <v>1379</v>
      </c>
      <c r="E187" s="5">
        <f>_xlfn.XLOOKUP(C187,'Same Seller Hist'!E:E,'Same Seller Hist'!I:I)</f>
        <v>7.4961531613890796E+18</v>
      </c>
      <c r="F187" s="5" t="str">
        <f>_xlfn.XLOOKUP(C187,'Same Seller Hist'!E:E,'Same Seller Hist'!H:H)</f>
        <v>AnkcoShopTK</v>
      </c>
      <c r="G187" s="5" t="s">
        <v>1734</v>
      </c>
      <c r="H187" s="19">
        <v>1742.4193548387098</v>
      </c>
      <c r="I187" s="19">
        <v>17676.971268432353</v>
      </c>
      <c r="J187" s="19">
        <f>_xlfn.IFNA(_xlfn.XLOOKUP(F187,'Fastmoss 500'!D:D,'Fastmoss 500'!O:O),0)</f>
        <v>258.06451612903226</v>
      </c>
      <c r="K187" s="19">
        <f>_xlfn.IFNA(_xlfn.XLOOKUP(F187,'Fastmoss 500'!D:D,'Fastmoss 500'!N:N),0)</f>
        <v>14974.193548387097</v>
      </c>
      <c r="L187" s="21" t="s">
        <v>2528</v>
      </c>
      <c r="M187" s="21" t="str">
        <f>IF(L187="Shp 500","Sim",IF(ISNA(_xlfn.XLOOKUP(C187,'Shp 500'!D:D,'Shp 500'!D:D)),"Não","Sim"))</f>
        <v>Sim</v>
      </c>
      <c r="N187" s="21" t="str">
        <f>IF(L187="Fastmoss 500","Sim",IF(ISNA(_xlfn.XLOOKUP(_xlfn.XLOOKUP(C187,'Same Seller Hist'!E:E,'Same Seller Hist'!H:H),'Fastmoss 500'!D:D,'Fastmoss 500'!D:D)),"Não","Sim"))</f>
        <v>Sim</v>
      </c>
      <c r="O187" s="21" t="str">
        <f>IF(AND(M187="Sim",N187="Sim"),"Sim","Não")</f>
        <v>Sim</v>
      </c>
      <c r="P187" s="21" t="str">
        <f>IF(I187&gt;K187,"Sim","Não")</f>
        <v>Sim</v>
      </c>
      <c r="Q187" s="21">
        <f>COUNTIFS(C:C,C187)</f>
        <v>2</v>
      </c>
    </row>
    <row r="188" spans="3:17" hidden="1" x14ac:dyDescent="0.35">
      <c r="C188" s="5">
        <f>_xlfn.XLOOKUP(F188,'Same Seller Hist'!H:H,'Same Seller Hist'!E:E)</f>
        <v>452872883</v>
      </c>
      <c r="D188" s="5" t="str">
        <f>_xlfn.XLOOKUP(F188,'Same Seller Hist'!H:H,'Same Seller Hist'!D:D)</f>
        <v>TomiMitoo</v>
      </c>
      <c r="E188" s="5">
        <f>_xlfn.XLOOKUP(F188,'Same Seller Hist'!H:H,'Same Seller Hist'!I:I)</f>
        <v>7.4961644820255498E+18</v>
      </c>
      <c r="F188" s="5" t="s">
        <v>583</v>
      </c>
      <c r="G188" s="5" t="str">
        <f>_xlfn.XLOOKUP(C188,'Same Seller Hist'!E:E,'Same Seller Hist'!F:F)</f>
        <v>Fashion</v>
      </c>
      <c r="H188" s="19">
        <f>_xlfn.IFNA(_xlfn.XLOOKUP(C188,'Shp 500'!D:D,'Shp 500'!I:I),0)</f>
        <v>0</v>
      </c>
      <c r="I188" s="19">
        <f>_xlfn.IFNA(_xlfn.XLOOKUP(C188,'Shp 500'!D:D,'Shp 500'!J:J),0)</f>
        <v>0</v>
      </c>
      <c r="J188" s="19">
        <v>1103.2258064516129</v>
      </c>
      <c r="K188" s="19">
        <v>161290.32258064515</v>
      </c>
      <c r="L188" s="21" t="s">
        <v>2530</v>
      </c>
      <c r="M188" s="21" t="str">
        <f>IF(L188="Shp 500","Sim",IF(ISNA(_xlfn.XLOOKUP(C188,'Shp 500'!D:D,'Shp 500'!D:D)),"Não","Sim"))</f>
        <v>Não</v>
      </c>
      <c r="N188" s="21" t="str">
        <f>IF(L188="Fastmoss 500","Sim",IF(ISNA(_xlfn.XLOOKUP(_xlfn.XLOOKUP(C188,'Same Seller Hist'!E:E,'Same Seller Hist'!H:H),'Fastmoss 500'!D:D,'Fastmoss 500'!D:D)),"Não","Sim"))</f>
        <v>Sim</v>
      </c>
      <c r="O188" s="21" t="str">
        <f>IF(AND(M188="Sim",N188="Sim"),"Sim","Não")</f>
        <v>Não</v>
      </c>
      <c r="P188" s="21" t="str">
        <f>IF(I188&gt;K188,"Sim","Não")</f>
        <v>Não</v>
      </c>
      <c r="Q188" s="21">
        <f>COUNTIFS(C:C,C188)</f>
        <v>1</v>
      </c>
    </row>
    <row r="189" spans="3:17" x14ac:dyDescent="0.35">
      <c r="C189" s="5">
        <f>_xlfn.XLOOKUP(F189,'Same Seller Hist'!H:H,'Same Seller Hist'!E:E)</f>
        <v>717396632</v>
      </c>
      <c r="D189" s="5" t="str">
        <f>_xlfn.XLOOKUP(F189,'Same Seller Hist'!H:H,'Same Seller Hist'!D:D)</f>
        <v>AnkcoShopTK</v>
      </c>
      <c r="E189" s="5">
        <f>_xlfn.XLOOKUP(F189,'Same Seller Hist'!H:H,'Same Seller Hist'!I:I)</f>
        <v>7.4961531613890796E+18</v>
      </c>
      <c r="F189" s="5" t="s">
        <v>684</v>
      </c>
      <c r="G189" s="5" t="str">
        <f>_xlfn.XLOOKUP(C189,'Same Seller Hist'!E:E,'Same Seller Hist'!F:F)</f>
        <v>ELHA</v>
      </c>
      <c r="H189" s="19">
        <f>_xlfn.IFNA(_xlfn.XLOOKUP(C189,'Shp 500'!D:D,'Shp 500'!I:I),0)</f>
        <v>1742.4193548387098</v>
      </c>
      <c r="I189" s="19">
        <f>_xlfn.IFNA(_xlfn.XLOOKUP(C189,'Shp 500'!D:D,'Shp 500'!J:J),0)</f>
        <v>17676.971268432353</v>
      </c>
      <c r="J189" s="19">
        <v>258.06451612903226</v>
      </c>
      <c r="K189" s="19">
        <v>14974.193548387097</v>
      </c>
      <c r="L189" s="21" t="s">
        <v>2530</v>
      </c>
      <c r="M189" s="21" t="str">
        <f>IF(L189="Shp 500","Sim",IF(ISNA(_xlfn.XLOOKUP(C189,'Shp 500'!D:D,'Shp 500'!D:D)),"Não","Sim"))</f>
        <v>Sim</v>
      </c>
      <c r="N189" s="21" t="str">
        <f>IF(L189="Fastmoss 500","Sim",IF(ISNA(_xlfn.XLOOKUP(_xlfn.XLOOKUP(C189,'Same Seller Hist'!E:E,'Same Seller Hist'!H:H),'Fastmoss 500'!D:D,'Fastmoss 500'!D:D)),"Não","Sim"))</f>
        <v>Sim</v>
      </c>
      <c r="O189" s="21" t="str">
        <f>IF(AND(M189="Sim",N189="Sim"),"Sim","Não")</f>
        <v>Sim</v>
      </c>
      <c r="P189" s="21" t="str">
        <f>IF(I189&gt;K189,"Sim","Não")</f>
        <v>Sim</v>
      </c>
      <c r="Q189" s="21">
        <f>COUNTIFS(C:C,C189)</f>
        <v>2</v>
      </c>
    </row>
    <row r="190" spans="3:17" hidden="1" x14ac:dyDescent="0.35">
      <c r="C190" s="5">
        <f>_xlfn.XLOOKUP(F190,'Same Seller Hist'!H:H,'Same Seller Hist'!E:E)</f>
        <v>1613760239</v>
      </c>
      <c r="D190" s="5" t="str">
        <f>_xlfn.XLOOKUP(F190,'Same Seller Hist'!H:H,'Same Seller Hist'!D:D)</f>
        <v>SACE LADY BR</v>
      </c>
      <c r="E190" s="5">
        <f>_xlfn.XLOOKUP(F190,'Same Seller Hist'!H:H,'Same Seller Hist'!I:I)</f>
        <v>7.4962591226912102E+18</v>
      </c>
      <c r="F190" s="5" t="s">
        <v>342</v>
      </c>
      <c r="G190" s="5" t="str">
        <f>_xlfn.XLOOKUP(C190,'Same Seller Hist'!E:E,'Same Seller Hist'!F:F)</f>
        <v>FMCG</v>
      </c>
      <c r="H190" s="19">
        <f>_xlfn.IFNA(_xlfn.XLOOKUP(C190,'Shp 500'!D:D,'Shp 500'!I:I),0)</f>
        <v>0</v>
      </c>
      <c r="I190" s="19">
        <f>_xlfn.IFNA(_xlfn.XLOOKUP(C190,'Shp 500'!D:D,'Shp 500'!J:J),0)</f>
        <v>0</v>
      </c>
      <c r="J190" s="19">
        <v>1035.483870967742</v>
      </c>
      <c r="K190" s="19">
        <v>61290.322580645159</v>
      </c>
      <c r="L190" s="21" t="s">
        <v>2530</v>
      </c>
      <c r="M190" s="21" t="str">
        <f>IF(L190="Shp 500","Sim",IF(ISNA(_xlfn.XLOOKUP(C190,'Shp 500'!D:D,'Shp 500'!D:D)),"Não","Sim"))</f>
        <v>Não</v>
      </c>
      <c r="N190" s="21" t="str">
        <f>IF(L190="Fastmoss 500","Sim",IF(ISNA(_xlfn.XLOOKUP(_xlfn.XLOOKUP(C190,'Same Seller Hist'!E:E,'Same Seller Hist'!H:H),'Fastmoss 500'!D:D,'Fastmoss 500'!D:D)),"Não","Sim"))</f>
        <v>Sim</v>
      </c>
      <c r="O190" s="21" t="str">
        <f>IF(AND(M190="Sim",N190="Sim"),"Sim","Não")</f>
        <v>Não</v>
      </c>
      <c r="P190" s="21" t="str">
        <f>IF(I190&gt;K190,"Sim","Não")</f>
        <v>Não</v>
      </c>
      <c r="Q190" s="21">
        <f>COUNTIFS(C:C,C190)</f>
        <v>1</v>
      </c>
    </row>
    <row r="191" spans="3:17" x14ac:dyDescent="0.35">
      <c r="C191" s="5">
        <v>728534865</v>
      </c>
      <c r="D191" s="5" t="s">
        <v>1376</v>
      </c>
      <c r="E191" s="5">
        <f>_xlfn.XLOOKUP(C191,'Same Seller Hist'!E:E,'Same Seller Hist'!I:I)</f>
        <v>7.4961616634959903E+18</v>
      </c>
      <c r="F191" s="5" t="str">
        <f>_xlfn.XLOOKUP(C191,'Same Seller Hist'!E:E,'Same Seller Hist'!H:H)</f>
        <v>Feng.s</v>
      </c>
      <c r="G191" s="5" t="s">
        <v>1734</v>
      </c>
      <c r="H191" s="19">
        <v>1769.7419354838678</v>
      </c>
      <c r="I191" s="19">
        <v>8488.8464320345483</v>
      </c>
      <c r="J191" s="19">
        <f>_xlfn.IFNA(_xlfn.XLOOKUP(F191,'Fastmoss 500'!D:D,'Fastmoss 500'!O:O),0)</f>
        <v>745.16129032258061</v>
      </c>
      <c r="K191" s="19">
        <f>_xlfn.IFNA(_xlfn.XLOOKUP(F191,'Fastmoss 500'!D:D,'Fastmoss 500'!N:N),0)</f>
        <v>26819.354838709678</v>
      </c>
      <c r="L191" s="21" t="s">
        <v>2528</v>
      </c>
      <c r="M191" s="21" t="str">
        <f>IF(L191="Shp 500","Sim",IF(ISNA(_xlfn.XLOOKUP(C191,'Shp 500'!D:D,'Shp 500'!D:D)),"Não","Sim"))</f>
        <v>Sim</v>
      </c>
      <c r="N191" s="21" t="str">
        <f>IF(L191="Fastmoss 500","Sim",IF(ISNA(_xlfn.XLOOKUP(_xlfn.XLOOKUP(C191,'Same Seller Hist'!E:E,'Same Seller Hist'!H:H),'Fastmoss 500'!D:D,'Fastmoss 500'!D:D)),"Não","Sim"))</f>
        <v>Sim</v>
      </c>
      <c r="O191" s="21" t="str">
        <f>IF(AND(M191="Sim",N191="Sim"),"Sim","Não")</f>
        <v>Sim</v>
      </c>
      <c r="P191" s="21" t="str">
        <f>IF(I191&gt;K191,"Sim","Não")</f>
        <v>Não</v>
      </c>
      <c r="Q191" s="21">
        <f>COUNTIFS(C:C,C191)</f>
        <v>2</v>
      </c>
    </row>
    <row r="192" spans="3:17" hidden="1" x14ac:dyDescent="0.35">
      <c r="C192" s="5">
        <f>_xlfn.XLOOKUP(F192,'Same Seller Hist'!H:H,'Same Seller Hist'!E:E)</f>
        <v>969401129</v>
      </c>
      <c r="D192" s="5" t="str">
        <f>_xlfn.XLOOKUP(F192,'Same Seller Hist'!H:H,'Same Seller Hist'!D:D)</f>
        <v>Pink Urban</v>
      </c>
      <c r="E192" s="5">
        <f>_xlfn.XLOOKUP(F192,'Same Seller Hist'!H:H,'Same Seller Hist'!I:I)</f>
        <v>7.4956253143559997E+18</v>
      </c>
      <c r="F192" s="5" t="s">
        <v>763</v>
      </c>
      <c r="G192" s="5" t="str">
        <f>_xlfn.XLOOKUP(C192,'Same Seller Hist'!E:E,'Same Seller Hist'!F:F)</f>
        <v>Fashion</v>
      </c>
      <c r="H192" s="19">
        <f>_xlfn.IFNA(_xlfn.XLOOKUP(C192,'Shp 500'!D:D,'Shp 500'!I:I),0)</f>
        <v>0</v>
      </c>
      <c r="I192" s="19">
        <f>_xlfn.IFNA(_xlfn.XLOOKUP(C192,'Shp 500'!D:D,'Shp 500'!J:J),0)</f>
        <v>0</v>
      </c>
      <c r="J192" s="19">
        <v>1035.483870967742</v>
      </c>
      <c r="K192" s="19">
        <v>58064.516129032258</v>
      </c>
      <c r="L192" s="21" t="s">
        <v>2530</v>
      </c>
      <c r="M192" s="21" t="str">
        <f>IF(L192="Shp 500","Sim",IF(ISNA(_xlfn.XLOOKUP(C192,'Shp 500'!D:D,'Shp 500'!D:D)),"Não","Sim"))</f>
        <v>Não</v>
      </c>
      <c r="N192" s="21" t="str">
        <f>IF(L192="Fastmoss 500","Sim",IF(ISNA(_xlfn.XLOOKUP(_xlfn.XLOOKUP(C192,'Same Seller Hist'!E:E,'Same Seller Hist'!H:H),'Fastmoss 500'!D:D,'Fastmoss 500'!D:D)),"Não","Sim"))</f>
        <v>Sim</v>
      </c>
      <c r="O192" s="21" t="str">
        <f>IF(AND(M192="Sim",N192="Sim"),"Sim","Não")</f>
        <v>Não</v>
      </c>
      <c r="P192" s="21" t="str">
        <f>IF(I192&gt;K192,"Sim","Não")</f>
        <v>Não</v>
      </c>
      <c r="Q192" s="21">
        <f>COUNTIFS(C:C,C192)</f>
        <v>1</v>
      </c>
    </row>
    <row r="193" spans="3:17" hidden="1" x14ac:dyDescent="0.35">
      <c r="C193" s="5">
        <f>_xlfn.XLOOKUP(F193,'Same Seller Hist'!H:H,'Same Seller Hist'!E:E)</f>
        <v>999698643</v>
      </c>
      <c r="D193" s="5" t="str">
        <f>_xlfn.XLOOKUP(F193,'Same Seller Hist'!H:H,'Same Seller Hist'!D:D)</f>
        <v>Trevisan Calcados</v>
      </c>
      <c r="E193" s="5">
        <f>_xlfn.XLOOKUP(F193,'Same Seller Hist'!H:H,'Same Seller Hist'!I:I)</f>
        <v>7.49618198086349E+18</v>
      </c>
      <c r="F193" s="5" t="s">
        <v>774</v>
      </c>
      <c r="G193" s="5" t="str">
        <f>_xlfn.XLOOKUP(C193,'Same Seller Hist'!E:E,'Same Seller Hist'!F:F)</f>
        <v>Fashion</v>
      </c>
      <c r="H193" s="19">
        <f>_xlfn.IFNA(_xlfn.XLOOKUP(C193,'Shp 500'!D:D,'Shp 500'!I:I),0)</f>
        <v>0</v>
      </c>
      <c r="I193" s="19">
        <f>_xlfn.IFNA(_xlfn.XLOOKUP(C193,'Shp 500'!D:D,'Shp 500'!J:J),0)</f>
        <v>0</v>
      </c>
      <c r="J193" s="19">
        <v>1003.2258064516129</v>
      </c>
      <c r="K193" s="19">
        <v>32258.064516129034</v>
      </c>
      <c r="L193" s="21" t="s">
        <v>2530</v>
      </c>
      <c r="M193" s="21" t="str">
        <f>IF(L193="Shp 500","Sim",IF(ISNA(_xlfn.XLOOKUP(C193,'Shp 500'!D:D,'Shp 500'!D:D)),"Não","Sim"))</f>
        <v>Não</v>
      </c>
      <c r="N193" s="21" t="str">
        <f>IF(L193="Fastmoss 500","Sim",IF(ISNA(_xlfn.XLOOKUP(_xlfn.XLOOKUP(C193,'Same Seller Hist'!E:E,'Same Seller Hist'!H:H),'Fastmoss 500'!D:D,'Fastmoss 500'!D:D)),"Não","Sim"))</f>
        <v>Sim</v>
      </c>
      <c r="O193" s="21" t="str">
        <f>IF(AND(M193="Sim",N193="Sim"),"Sim","Não")</f>
        <v>Não</v>
      </c>
      <c r="P193" s="21" t="str">
        <f>IF(I193&gt;K193,"Sim","Não")</f>
        <v>Não</v>
      </c>
      <c r="Q193" s="21">
        <f>COUNTIFS(C:C,C193)</f>
        <v>1</v>
      </c>
    </row>
    <row r="194" spans="3:17" x14ac:dyDescent="0.35">
      <c r="C194" s="5">
        <f>_xlfn.XLOOKUP(F194,'Same Seller Hist'!H:H,'Same Seller Hist'!E:E)</f>
        <v>728534865</v>
      </c>
      <c r="D194" s="5" t="str">
        <f>_xlfn.XLOOKUP(F194,'Same Seller Hist'!H:H,'Same Seller Hist'!D:D)</f>
        <v>Feng.s</v>
      </c>
      <c r="E194" s="5">
        <f>_xlfn.XLOOKUP(F194,'Same Seller Hist'!H:H,'Same Seller Hist'!I:I)</f>
        <v>7.4961616634959903E+18</v>
      </c>
      <c r="F194" s="5" t="s">
        <v>689</v>
      </c>
      <c r="G194" s="5" t="str">
        <f>_xlfn.XLOOKUP(C194,'Same Seller Hist'!E:E,'Same Seller Hist'!F:F)</f>
        <v>ELHA</v>
      </c>
      <c r="H194" s="19">
        <f>_xlfn.IFNA(_xlfn.XLOOKUP(C194,'Shp 500'!D:D,'Shp 500'!I:I),0)</f>
        <v>1769.7419354838678</v>
      </c>
      <c r="I194" s="19">
        <f>_xlfn.IFNA(_xlfn.XLOOKUP(C194,'Shp 500'!D:D,'Shp 500'!J:J),0)</f>
        <v>8488.8464320345483</v>
      </c>
      <c r="J194" s="19">
        <v>745.16129032258061</v>
      </c>
      <c r="K194" s="19">
        <v>26819.354838709678</v>
      </c>
      <c r="L194" s="21" t="s">
        <v>2530</v>
      </c>
      <c r="M194" s="21" t="str">
        <f>IF(L194="Shp 500","Sim",IF(ISNA(_xlfn.XLOOKUP(C194,'Shp 500'!D:D,'Shp 500'!D:D)),"Não","Sim"))</f>
        <v>Sim</v>
      </c>
      <c r="N194" s="21" t="str">
        <f>IF(L194="Fastmoss 500","Sim",IF(ISNA(_xlfn.XLOOKUP(_xlfn.XLOOKUP(C194,'Same Seller Hist'!E:E,'Same Seller Hist'!H:H),'Fastmoss 500'!D:D,'Fastmoss 500'!D:D)),"Não","Sim"))</f>
        <v>Sim</v>
      </c>
      <c r="O194" s="21" t="str">
        <f>IF(AND(M194="Sim",N194="Sim"),"Sim","Não")</f>
        <v>Sim</v>
      </c>
      <c r="P194" s="21" t="str">
        <f>IF(I194&gt;K194,"Sim","Não")</f>
        <v>Não</v>
      </c>
      <c r="Q194" s="21">
        <f>COUNTIFS(C:C,C194)</f>
        <v>2</v>
      </c>
    </row>
    <row r="195" spans="3:17" hidden="1" x14ac:dyDescent="0.35">
      <c r="C195" s="5">
        <f>_xlfn.XLOOKUP(F195,'Same Seller Hist'!H:H,'Same Seller Hist'!E:E)</f>
        <v>1077804858</v>
      </c>
      <c r="D195" s="5" t="str">
        <f>_xlfn.XLOOKUP(F195,'Same Seller Hist'!H:H,'Same Seller Hist'!D:D)</f>
        <v>Amend Cosméticos</v>
      </c>
      <c r="E195" s="5">
        <f>_xlfn.XLOOKUP(F195,'Same Seller Hist'!H:H,'Same Seller Hist'!I:I)</f>
        <v>7.4961615386916598E+18</v>
      </c>
      <c r="F195" s="5" t="s">
        <v>96</v>
      </c>
      <c r="G195" s="5" t="str">
        <f>_xlfn.XLOOKUP(C195,'Same Seller Hist'!E:E,'Same Seller Hist'!F:F)</f>
        <v>FMCG</v>
      </c>
      <c r="H195" s="19">
        <f>_xlfn.IFNA(_xlfn.XLOOKUP(C195,'Shp 500'!D:D,'Shp 500'!I:I),0)</f>
        <v>0</v>
      </c>
      <c r="I195" s="19">
        <f>_xlfn.IFNA(_xlfn.XLOOKUP(C195,'Shp 500'!D:D,'Shp 500'!J:J),0)</f>
        <v>0</v>
      </c>
      <c r="J195" s="19">
        <v>990.32258064516134</v>
      </c>
      <c r="K195" s="19">
        <v>48387.096774193546</v>
      </c>
      <c r="L195" s="21" t="s">
        <v>2530</v>
      </c>
      <c r="M195" s="21" t="str">
        <f>IF(L195="Shp 500","Sim",IF(ISNA(_xlfn.XLOOKUP(C195,'Shp 500'!D:D,'Shp 500'!D:D)),"Não","Sim"))</f>
        <v>Não</v>
      </c>
      <c r="N195" s="21" t="str">
        <f>IF(L195="Fastmoss 500","Sim",IF(ISNA(_xlfn.XLOOKUP(_xlfn.XLOOKUP(C195,'Same Seller Hist'!E:E,'Same Seller Hist'!H:H),'Fastmoss 500'!D:D,'Fastmoss 500'!D:D)),"Não","Sim"))</f>
        <v>Sim</v>
      </c>
      <c r="O195" s="21" t="str">
        <f>IF(AND(M195="Sim",N195="Sim"),"Sim","Não")</f>
        <v>Não</v>
      </c>
      <c r="P195" s="21" t="str">
        <f>IF(I195&gt;K195,"Sim","Não")</f>
        <v>Não</v>
      </c>
      <c r="Q195" s="21">
        <f>COUNTIFS(C:C,C195)</f>
        <v>1</v>
      </c>
    </row>
    <row r="196" spans="3:17" x14ac:dyDescent="0.35">
      <c r="C196" s="5">
        <v>831272734</v>
      </c>
      <c r="D196" s="5" t="s">
        <v>1533</v>
      </c>
      <c r="E196" s="5">
        <f>_xlfn.XLOOKUP(C196,'Same Seller Hist'!E:E,'Same Seller Hist'!I:I)</f>
        <v>7.4941460166512097E+18</v>
      </c>
      <c r="F196" s="5" t="str">
        <f>_xlfn.XLOOKUP(C196,'Same Seller Hist'!E:E,'Same Seller Hist'!H:H)</f>
        <v>AD LINGERIE</v>
      </c>
      <c r="G196" s="5" t="s">
        <v>903</v>
      </c>
      <c r="H196" s="19">
        <v>1124.3225806451612</v>
      </c>
      <c r="I196" s="19">
        <v>7519.4760335192905</v>
      </c>
      <c r="J196" s="19">
        <f>_xlfn.IFNA(_xlfn.XLOOKUP(F196,'Fastmoss 500'!D:D,'Fastmoss 500'!O:O),0)</f>
        <v>374.19354838709677</v>
      </c>
      <c r="K196" s="19">
        <f>_xlfn.IFNA(_xlfn.XLOOKUP(F196,'Fastmoss 500'!D:D,'Fastmoss 500'!N:N),0)</f>
        <v>14780.645161290322</v>
      </c>
      <c r="L196" s="21" t="s">
        <v>2528</v>
      </c>
      <c r="M196" s="21" t="str">
        <f>IF(L196="Shp 500","Sim",IF(ISNA(_xlfn.XLOOKUP(C196,'Shp 500'!D:D,'Shp 500'!D:D)),"Não","Sim"))</f>
        <v>Sim</v>
      </c>
      <c r="N196" s="21" t="str">
        <f>IF(L196="Fastmoss 500","Sim",IF(ISNA(_xlfn.XLOOKUP(_xlfn.XLOOKUP(C196,'Same Seller Hist'!E:E,'Same Seller Hist'!H:H),'Fastmoss 500'!D:D,'Fastmoss 500'!D:D)),"Não","Sim"))</f>
        <v>Sim</v>
      </c>
      <c r="O196" s="21" t="str">
        <f>IF(AND(M196="Sim",N196="Sim"),"Sim","Não")</f>
        <v>Sim</v>
      </c>
      <c r="P196" s="21" t="str">
        <f>IF(I196&gt;K196,"Sim","Não")</f>
        <v>Não</v>
      </c>
      <c r="Q196" s="21">
        <f>COUNTIFS(C:C,C196)</f>
        <v>2</v>
      </c>
    </row>
    <row r="197" spans="3:17" hidden="1" x14ac:dyDescent="0.35">
      <c r="C197" s="5">
        <f>_xlfn.XLOOKUP(F197,'Same Seller Hist'!H:H,'Same Seller Hist'!E:E)</f>
        <v>1609741857</v>
      </c>
      <c r="D197" s="5" t="str">
        <f>_xlfn.XLOOKUP(F197,'Same Seller Hist'!H:H,'Same Seller Hist'!D:D)</f>
        <v>Bloom Body Br</v>
      </c>
      <c r="E197" s="5">
        <f>_xlfn.XLOOKUP(F197,'Same Seller Hist'!H:H,'Same Seller Hist'!I:I)</f>
        <v>7.4961817674115604E+18</v>
      </c>
      <c r="F197" s="5" t="s">
        <v>340</v>
      </c>
      <c r="G197" s="5" t="str">
        <f>_xlfn.XLOOKUP(C197,'Same Seller Hist'!E:E,'Same Seller Hist'!F:F)</f>
        <v>FMCG</v>
      </c>
      <c r="H197" s="19">
        <f>_xlfn.IFNA(_xlfn.XLOOKUP(C197,'Shp 500'!D:D,'Shp 500'!I:I),0)</f>
        <v>0</v>
      </c>
      <c r="I197" s="19">
        <f>_xlfn.IFNA(_xlfn.XLOOKUP(C197,'Shp 500'!D:D,'Shp 500'!J:J),0)</f>
        <v>0</v>
      </c>
      <c r="J197" s="19">
        <v>958.06451612903231</v>
      </c>
      <c r="K197" s="19">
        <v>80645.161290322576</v>
      </c>
      <c r="L197" s="21" t="s">
        <v>2530</v>
      </c>
      <c r="M197" s="21" t="str">
        <f>IF(L197="Shp 500","Sim",IF(ISNA(_xlfn.XLOOKUP(C197,'Shp 500'!D:D,'Shp 500'!D:D)),"Não","Sim"))</f>
        <v>Não</v>
      </c>
      <c r="N197" s="21" t="str">
        <f>IF(L197="Fastmoss 500","Sim",IF(ISNA(_xlfn.XLOOKUP(_xlfn.XLOOKUP(C197,'Same Seller Hist'!E:E,'Same Seller Hist'!H:H),'Fastmoss 500'!D:D,'Fastmoss 500'!D:D)),"Não","Sim"))</f>
        <v>Sim</v>
      </c>
      <c r="O197" s="21" t="str">
        <f>IF(AND(M197="Sim",N197="Sim"),"Sim","Não")</f>
        <v>Não</v>
      </c>
      <c r="P197" s="21" t="str">
        <f>IF(I197&gt;K197,"Sim","Não")</f>
        <v>Não</v>
      </c>
      <c r="Q197" s="21">
        <f>COUNTIFS(C:C,C197)</f>
        <v>1</v>
      </c>
    </row>
    <row r="198" spans="3:17" hidden="1" x14ac:dyDescent="0.35">
      <c r="C198" s="5">
        <f>_xlfn.XLOOKUP(F198,'Same Seller Hist'!H:H,'Same Seller Hist'!E:E)</f>
        <v>1524383764</v>
      </c>
      <c r="D198" s="5" t="str">
        <f>_xlfn.XLOOKUP(F198,'Same Seller Hist'!H:H,'Same Seller Hist'!D:D)</f>
        <v>KOBAC SHOP</v>
      </c>
      <c r="E198" s="5">
        <f>_xlfn.XLOOKUP(F198,'Same Seller Hist'!H:H,'Same Seller Hist'!I:I)</f>
        <v>7.4961831930072596E+18</v>
      </c>
      <c r="F198" s="5" t="s">
        <v>840</v>
      </c>
      <c r="G198" s="5">
        <f>_xlfn.XLOOKUP(C198,'Same Seller Hist'!E:E,'Same Seller Hist'!F:F)</f>
        <v>0</v>
      </c>
      <c r="H198" s="19">
        <f>_xlfn.IFNA(_xlfn.XLOOKUP(C198,'Shp 500'!D:D,'Shp 500'!I:I),0)</f>
        <v>0</v>
      </c>
      <c r="I198" s="19">
        <f>_xlfn.IFNA(_xlfn.XLOOKUP(C198,'Shp 500'!D:D,'Shp 500'!J:J),0)</f>
        <v>0</v>
      </c>
      <c r="J198" s="19">
        <v>954.83870967741939</v>
      </c>
      <c r="K198" s="19">
        <v>13158.064516129032</v>
      </c>
      <c r="L198" s="21" t="s">
        <v>2530</v>
      </c>
      <c r="M198" s="21" t="str">
        <f>IF(L198="Shp 500","Sim",IF(ISNA(_xlfn.XLOOKUP(C198,'Shp 500'!D:D,'Shp 500'!D:D)),"Não","Sim"))</f>
        <v>Não</v>
      </c>
      <c r="N198" s="21" t="str">
        <f>IF(L198="Fastmoss 500","Sim",IF(ISNA(_xlfn.XLOOKUP(_xlfn.XLOOKUP(C198,'Same Seller Hist'!E:E,'Same Seller Hist'!H:H),'Fastmoss 500'!D:D,'Fastmoss 500'!D:D)),"Não","Sim"))</f>
        <v>Sim</v>
      </c>
      <c r="O198" s="21" t="str">
        <f>IF(AND(M198="Sim",N198="Sim"),"Sim","Não")</f>
        <v>Não</v>
      </c>
      <c r="P198" s="21" t="str">
        <f>IF(I198&gt;K198,"Sim","Não")</f>
        <v>Não</v>
      </c>
      <c r="Q198" s="21">
        <f>COUNTIFS(C:C,C198)</f>
        <v>1</v>
      </c>
    </row>
    <row r="199" spans="3:17" x14ac:dyDescent="0.35">
      <c r="C199" s="5">
        <f>_xlfn.XLOOKUP(F199,'Same Seller Hist'!H:H,'Same Seller Hist'!E:E)</f>
        <v>831272734</v>
      </c>
      <c r="D199" s="5" t="str">
        <f>_xlfn.XLOOKUP(F199,'Same Seller Hist'!H:H,'Same Seller Hist'!D:D)</f>
        <v>AD LINGERIE</v>
      </c>
      <c r="E199" s="5">
        <f>_xlfn.XLOOKUP(F199,'Same Seller Hist'!H:H,'Same Seller Hist'!I:I)</f>
        <v>7.4941460166512097E+18</v>
      </c>
      <c r="F199" s="5" t="s">
        <v>727</v>
      </c>
      <c r="G199" s="5" t="str">
        <f>_xlfn.XLOOKUP(C199,'Same Seller Hist'!E:E,'Same Seller Hist'!F:F)</f>
        <v>Fashion</v>
      </c>
      <c r="H199" s="19">
        <f>_xlfn.IFNA(_xlfn.XLOOKUP(C199,'Shp 500'!D:D,'Shp 500'!I:I),0)</f>
        <v>1124.3225806451612</v>
      </c>
      <c r="I199" s="19">
        <f>_xlfn.IFNA(_xlfn.XLOOKUP(C199,'Shp 500'!D:D,'Shp 500'!J:J),0)</f>
        <v>7519.4760335192905</v>
      </c>
      <c r="J199" s="19">
        <v>374.19354838709677</v>
      </c>
      <c r="K199" s="19">
        <v>14780.645161290322</v>
      </c>
      <c r="L199" s="21" t="s">
        <v>2530</v>
      </c>
      <c r="M199" s="21" t="str">
        <f>IF(L199="Shp 500","Sim",IF(ISNA(_xlfn.XLOOKUP(C199,'Shp 500'!D:D,'Shp 500'!D:D)),"Não","Sim"))</f>
        <v>Sim</v>
      </c>
      <c r="N199" s="21" t="str">
        <f>IF(L199="Fastmoss 500","Sim",IF(ISNA(_xlfn.XLOOKUP(_xlfn.XLOOKUP(C199,'Same Seller Hist'!E:E,'Same Seller Hist'!H:H),'Fastmoss 500'!D:D,'Fastmoss 500'!D:D)),"Não","Sim"))</f>
        <v>Sim</v>
      </c>
      <c r="O199" s="21" t="str">
        <f>IF(AND(M199="Sim",N199="Sim"),"Sim","Não")</f>
        <v>Sim</v>
      </c>
      <c r="P199" s="21" t="str">
        <f>IF(I199&gt;K199,"Sim","Não")</f>
        <v>Não</v>
      </c>
      <c r="Q199" s="21">
        <f>COUNTIFS(C:C,C199)</f>
        <v>2</v>
      </c>
    </row>
    <row r="200" spans="3:17" x14ac:dyDescent="0.35">
      <c r="C200" s="5">
        <v>874603044</v>
      </c>
      <c r="D200" s="5" t="s">
        <v>739</v>
      </c>
      <c r="E200" s="5">
        <f>_xlfn.XLOOKUP(C200,'Same Seller Hist'!E:E,'Same Seller Hist'!I:I)</f>
        <v>7.4962295230647204E+18</v>
      </c>
      <c r="F200" s="5" t="str">
        <f>_xlfn.XLOOKUP(C200,'Same Seller Hist'!E:E,'Same Seller Hist'!H:H)</f>
        <v>SUPER CHETO</v>
      </c>
      <c r="G200" s="5" t="s">
        <v>1734</v>
      </c>
      <c r="H200" s="19">
        <v>4215.5483870967746</v>
      </c>
      <c r="I200" s="19">
        <v>37209.630393483545</v>
      </c>
      <c r="J200" s="19">
        <f>_xlfn.IFNA(_xlfn.XLOOKUP(F200,'Fastmoss 500'!D:D,'Fastmoss 500'!O:O),0)</f>
        <v>487.09677419354841</v>
      </c>
      <c r="K200" s="19">
        <f>_xlfn.IFNA(_xlfn.XLOOKUP(F200,'Fastmoss 500'!D:D,'Fastmoss 500'!N:N),0)</f>
        <v>35483.870967741932</v>
      </c>
      <c r="L200" s="21" t="s">
        <v>2528</v>
      </c>
      <c r="M200" s="21" t="str">
        <f>IF(L200="Shp 500","Sim",IF(ISNA(_xlfn.XLOOKUP(C200,'Shp 500'!D:D,'Shp 500'!D:D)),"Não","Sim"))</f>
        <v>Sim</v>
      </c>
      <c r="N200" s="21" t="str">
        <f>IF(L200="Fastmoss 500","Sim",IF(ISNA(_xlfn.XLOOKUP(_xlfn.XLOOKUP(C200,'Same Seller Hist'!E:E,'Same Seller Hist'!H:H),'Fastmoss 500'!D:D,'Fastmoss 500'!D:D)),"Não","Sim"))</f>
        <v>Sim</v>
      </c>
      <c r="O200" s="21" t="str">
        <f>IF(AND(M200="Sim",N200="Sim"),"Sim","Não")</f>
        <v>Sim</v>
      </c>
      <c r="P200" s="21" t="str">
        <f>IF(I200&gt;K200,"Sim","Não")</f>
        <v>Sim</v>
      </c>
      <c r="Q200" s="21">
        <f>COUNTIFS(C:C,C200)</f>
        <v>2</v>
      </c>
    </row>
    <row r="201" spans="3:17" x14ac:dyDescent="0.35">
      <c r="C201" s="5">
        <f>_xlfn.XLOOKUP(F201,'Same Seller Hist'!H:H,'Same Seller Hist'!E:E)</f>
        <v>874603044</v>
      </c>
      <c r="D201" s="5" t="str">
        <f>_xlfn.XLOOKUP(F201,'Same Seller Hist'!H:H,'Same Seller Hist'!D:D)</f>
        <v>SUPER CHETO</v>
      </c>
      <c r="E201" s="5">
        <f>_xlfn.XLOOKUP(F201,'Same Seller Hist'!H:H,'Same Seller Hist'!I:I)</f>
        <v>7.4962295230647204E+18</v>
      </c>
      <c r="F201" s="5" t="s">
        <v>739</v>
      </c>
      <c r="G201" s="5" t="str">
        <f>_xlfn.XLOOKUP(C201,'Same Seller Hist'!E:E,'Same Seller Hist'!F:F)</f>
        <v>FMCG</v>
      </c>
      <c r="H201" s="19">
        <f>_xlfn.IFNA(_xlfn.XLOOKUP(C201,'Shp 500'!D:D,'Shp 500'!I:I),0)</f>
        <v>4215.5483870967746</v>
      </c>
      <c r="I201" s="19">
        <f>_xlfn.IFNA(_xlfn.XLOOKUP(C201,'Shp 500'!D:D,'Shp 500'!J:J),0)</f>
        <v>37209.630393483545</v>
      </c>
      <c r="J201" s="19">
        <v>487.09677419354841</v>
      </c>
      <c r="K201" s="19">
        <v>35483.870967741932</v>
      </c>
      <c r="L201" s="21" t="s">
        <v>2530</v>
      </c>
      <c r="M201" s="21" t="str">
        <f>IF(L201="Shp 500","Sim",IF(ISNA(_xlfn.XLOOKUP(C201,'Shp 500'!D:D,'Shp 500'!D:D)),"Não","Sim"))</f>
        <v>Sim</v>
      </c>
      <c r="N201" s="21" t="str">
        <f>IF(L201="Fastmoss 500","Sim",IF(ISNA(_xlfn.XLOOKUP(_xlfn.XLOOKUP(C201,'Same Seller Hist'!E:E,'Same Seller Hist'!H:H),'Fastmoss 500'!D:D,'Fastmoss 500'!D:D)),"Não","Sim"))</f>
        <v>Sim</v>
      </c>
      <c r="O201" s="21" t="str">
        <f>IF(AND(M201="Sim",N201="Sim"),"Sim","Não")</f>
        <v>Sim</v>
      </c>
      <c r="P201" s="21" t="str">
        <f>IF(I201&gt;K201,"Sim","Não")</f>
        <v>Sim</v>
      </c>
      <c r="Q201" s="21">
        <f>COUNTIFS(C:C,C201)</f>
        <v>2</v>
      </c>
    </row>
    <row r="202" spans="3:17" hidden="1" x14ac:dyDescent="0.35">
      <c r="C202" s="5">
        <f>_xlfn.XLOOKUP(F202,'Same Seller Hist'!H:H,'Same Seller Hist'!E:E)</f>
        <v>1562142458</v>
      </c>
      <c r="D202" s="5" t="str">
        <f>_xlfn.XLOOKUP(F202,'Same Seller Hist'!H:H,'Same Seller Hist'!D:D)</f>
        <v>One Shop Ltda</v>
      </c>
      <c r="E202" s="5">
        <f>_xlfn.XLOOKUP(F202,'Same Seller Hist'!H:H,'Same Seller Hist'!I:I)</f>
        <v>7.4941800489348905E+18</v>
      </c>
      <c r="F202" s="5" t="s">
        <v>890</v>
      </c>
      <c r="G202" s="5">
        <f>_xlfn.XLOOKUP(C202,'Same Seller Hist'!E:E,'Same Seller Hist'!F:F)</f>
        <v>0</v>
      </c>
      <c r="H202" s="19">
        <f>_xlfn.IFNA(_xlfn.XLOOKUP(C202,'Shp 500'!D:D,'Shp 500'!I:I),0)</f>
        <v>0</v>
      </c>
      <c r="I202" s="19">
        <f>_xlfn.IFNA(_xlfn.XLOOKUP(C202,'Shp 500'!D:D,'Shp 500'!J:J),0)</f>
        <v>0</v>
      </c>
      <c r="J202" s="19">
        <v>903.22580645161293</v>
      </c>
      <c r="K202" s="19">
        <v>35483.870967741932</v>
      </c>
      <c r="L202" s="21" t="s">
        <v>2530</v>
      </c>
      <c r="M202" s="21" t="str">
        <f>IF(L202="Shp 500","Sim",IF(ISNA(_xlfn.XLOOKUP(C202,'Shp 500'!D:D,'Shp 500'!D:D)),"Não","Sim"))</f>
        <v>Não</v>
      </c>
      <c r="N202" s="21" t="str">
        <f>IF(L202="Fastmoss 500","Sim",IF(ISNA(_xlfn.XLOOKUP(_xlfn.XLOOKUP(C202,'Same Seller Hist'!E:E,'Same Seller Hist'!H:H),'Fastmoss 500'!D:D,'Fastmoss 500'!D:D)),"Não","Sim"))</f>
        <v>Sim</v>
      </c>
      <c r="O202" s="21" t="str">
        <f>IF(AND(M202="Sim",N202="Sim"),"Sim","Não")</f>
        <v>Não</v>
      </c>
      <c r="P202" s="21" t="str">
        <f>IF(I202&gt;K202,"Sim","Não")</f>
        <v>Não</v>
      </c>
      <c r="Q202" s="21">
        <f>COUNTIFS(C:C,C202)</f>
        <v>1</v>
      </c>
    </row>
    <row r="203" spans="3:17" hidden="1" x14ac:dyDescent="0.35">
      <c r="C203" s="5">
        <f>_xlfn.XLOOKUP(F203,'Same Seller Hist'!H:H,'Same Seller Hist'!E:E)</f>
        <v>1220492895</v>
      </c>
      <c r="D203" s="5" t="str">
        <f>_xlfn.XLOOKUP(F203,'Same Seller Hist'!H:H,'Same Seller Hist'!D:D)</f>
        <v>Han Maquiagem</v>
      </c>
      <c r="E203" s="5">
        <f>_xlfn.XLOOKUP(F203,'Same Seller Hist'!H:H,'Same Seller Hist'!I:I)</f>
        <v>7.4942101061368801E+18</v>
      </c>
      <c r="F203" s="5" t="s">
        <v>863</v>
      </c>
      <c r="G203" s="5">
        <f>_xlfn.XLOOKUP(C203,'Same Seller Hist'!E:E,'Same Seller Hist'!F:F)</f>
        <v>0</v>
      </c>
      <c r="H203" s="19">
        <f>_xlfn.IFNA(_xlfn.XLOOKUP(C203,'Shp 500'!D:D,'Shp 500'!I:I),0)</f>
        <v>0</v>
      </c>
      <c r="I203" s="19">
        <f>_xlfn.IFNA(_xlfn.XLOOKUP(C203,'Shp 500'!D:D,'Shp 500'!J:J),0)</f>
        <v>0</v>
      </c>
      <c r="J203" s="19">
        <v>874.19354838709683</v>
      </c>
      <c r="K203" s="19">
        <v>11312.903225806451</v>
      </c>
      <c r="L203" s="21" t="s">
        <v>2530</v>
      </c>
      <c r="M203" s="21" t="str">
        <f>IF(L203="Shp 500","Sim",IF(ISNA(_xlfn.XLOOKUP(C203,'Shp 500'!D:D,'Shp 500'!D:D)),"Não","Sim"))</f>
        <v>Não</v>
      </c>
      <c r="N203" s="21" t="str">
        <f>IF(L203="Fastmoss 500","Sim",IF(ISNA(_xlfn.XLOOKUP(_xlfn.XLOOKUP(C203,'Same Seller Hist'!E:E,'Same Seller Hist'!H:H),'Fastmoss 500'!D:D,'Fastmoss 500'!D:D)),"Não","Sim"))</f>
        <v>Sim</v>
      </c>
      <c r="O203" s="21" t="str">
        <f>IF(AND(M203="Sim",N203="Sim"),"Sim","Não")</f>
        <v>Não</v>
      </c>
      <c r="P203" s="21" t="str">
        <f>IF(I203&gt;K203,"Sim","Não")</f>
        <v>Não</v>
      </c>
      <c r="Q203" s="21">
        <f>COUNTIFS(C:C,C203)</f>
        <v>1</v>
      </c>
    </row>
    <row r="204" spans="3:17" hidden="1" x14ac:dyDescent="0.35">
      <c r="C204" s="5">
        <f>_xlfn.XLOOKUP(F204,'Same Seller Hist'!H:H,'Same Seller Hist'!E:E)</f>
        <v>1198407784</v>
      </c>
      <c r="D204" s="5" t="str">
        <f>_xlfn.XLOOKUP(F204,'Same Seller Hist'!H:H,'Same Seller Hist'!D:D)</f>
        <v>ROMANTIC CROWN</v>
      </c>
      <c r="E204" s="5">
        <f>_xlfn.XLOOKUP(F204,'Same Seller Hist'!H:H,'Same Seller Hist'!I:I)</f>
        <v>7.4961811324892303E+18</v>
      </c>
      <c r="F204" s="5" t="s">
        <v>149</v>
      </c>
      <c r="G204" s="5" t="str">
        <f>_xlfn.XLOOKUP(C204,'Same Seller Hist'!E:E,'Same Seller Hist'!F:F)</f>
        <v>Lifestyle</v>
      </c>
      <c r="H204" s="19">
        <f>_xlfn.IFNA(_xlfn.XLOOKUP(C204,'Shp 500'!D:D,'Shp 500'!I:I),0)</f>
        <v>0</v>
      </c>
      <c r="I204" s="19">
        <f>_xlfn.IFNA(_xlfn.XLOOKUP(C204,'Shp 500'!D:D,'Shp 500'!J:J),0)</f>
        <v>0</v>
      </c>
      <c r="J204" s="19">
        <v>874.19354838709683</v>
      </c>
      <c r="K204" s="19">
        <v>54838.709677419356</v>
      </c>
      <c r="L204" s="21" t="s">
        <v>2530</v>
      </c>
      <c r="M204" s="21" t="str">
        <f>IF(L204="Shp 500","Sim",IF(ISNA(_xlfn.XLOOKUP(C204,'Shp 500'!D:D,'Shp 500'!D:D)),"Não","Sim"))</f>
        <v>Não</v>
      </c>
      <c r="N204" s="21" t="str">
        <f>IF(L204="Fastmoss 500","Sim",IF(ISNA(_xlfn.XLOOKUP(_xlfn.XLOOKUP(C204,'Same Seller Hist'!E:E,'Same Seller Hist'!H:H),'Fastmoss 500'!D:D,'Fastmoss 500'!D:D)),"Não","Sim"))</f>
        <v>Sim</v>
      </c>
      <c r="O204" s="21" t="str">
        <f>IF(AND(M204="Sim",N204="Sim"),"Sim","Não")</f>
        <v>Não</v>
      </c>
      <c r="P204" s="21" t="str">
        <f>IF(I204&gt;K204,"Sim","Não")</f>
        <v>Não</v>
      </c>
      <c r="Q204" s="21">
        <f>COUNTIFS(C:C,C204)</f>
        <v>1</v>
      </c>
    </row>
    <row r="205" spans="3:17" x14ac:dyDescent="0.35">
      <c r="C205" s="5">
        <v>883941882</v>
      </c>
      <c r="D205" s="5" t="s">
        <v>1340</v>
      </c>
      <c r="E205" s="5">
        <f>_xlfn.XLOOKUP(C205,'Same Seller Hist'!E:E,'Same Seller Hist'!I:I)</f>
        <v>7.4962036523100703E+18</v>
      </c>
      <c r="F205" s="5" t="str">
        <f>_xlfn.XLOOKUP(C205,'Same Seller Hist'!E:E,'Same Seller Hist'!H:H)</f>
        <v>yiyiyi TK</v>
      </c>
      <c r="G205" s="5" t="s">
        <v>1734</v>
      </c>
      <c r="H205" s="19">
        <v>2238.0322580645161</v>
      </c>
      <c r="I205" s="19">
        <v>19958.814068243453</v>
      </c>
      <c r="J205" s="19">
        <f>_xlfn.IFNA(_xlfn.XLOOKUP(F205,'Fastmoss 500'!D:D,'Fastmoss 500'!O:O),0)</f>
        <v>1577.4193548387098</v>
      </c>
      <c r="K205" s="19">
        <f>_xlfn.IFNA(_xlfn.XLOOKUP(F205,'Fastmoss 500'!D:D,'Fastmoss 500'!N:N),0)</f>
        <v>41935.483870967742</v>
      </c>
      <c r="L205" s="21" t="s">
        <v>2528</v>
      </c>
      <c r="M205" s="21" t="str">
        <f>IF(L205="Shp 500","Sim",IF(ISNA(_xlfn.XLOOKUP(C205,'Shp 500'!D:D,'Shp 500'!D:D)),"Não","Sim"))</f>
        <v>Sim</v>
      </c>
      <c r="N205" s="21" t="str">
        <f>IF(L205="Fastmoss 500","Sim",IF(ISNA(_xlfn.XLOOKUP(_xlfn.XLOOKUP(C205,'Same Seller Hist'!E:E,'Same Seller Hist'!H:H),'Fastmoss 500'!D:D,'Fastmoss 500'!D:D)),"Não","Sim"))</f>
        <v>Sim</v>
      </c>
      <c r="O205" s="21" t="str">
        <f>IF(AND(M205="Sim",N205="Sim"),"Sim","Não")</f>
        <v>Sim</v>
      </c>
      <c r="P205" s="21" t="str">
        <f>IF(I205&gt;K205,"Sim","Não")</f>
        <v>Não</v>
      </c>
      <c r="Q205" s="21">
        <f>COUNTIFS(C:C,C205)</f>
        <v>2</v>
      </c>
    </row>
    <row r="206" spans="3:17" hidden="1" x14ac:dyDescent="0.35">
      <c r="C206" s="5">
        <f>_xlfn.XLOOKUP(F206,'Same Seller Hist'!H:H,'Same Seller Hist'!E:E)</f>
        <v>434178148</v>
      </c>
      <c r="D206" s="5" t="str">
        <f>_xlfn.XLOOKUP(F206,'Same Seller Hist'!H:H,'Same Seller Hist'!D:D)</f>
        <v>Nação Verde</v>
      </c>
      <c r="E206" s="5">
        <f>_xlfn.XLOOKUP(F206,'Same Seller Hist'!H:H,'Same Seller Hist'!I:I)</f>
        <v>7.4961818981937603E+18</v>
      </c>
      <c r="F206" s="5" t="s">
        <v>571</v>
      </c>
      <c r="G206" s="5" t="str">
        <f>_xlfn.XLOOKUP(C206,'Same Seller Hist'!E:E,'Same Seller Hist'!F:F)</f>
        <v>FMCG</v>
      </c>
      <c r="H206" s="19">
        <f>_xlfn.IFNA(_xlfn.XLOOKUP(C206,'Shp 500'!D:D,'Shp 500'!I:I),0)</f>
        <v>0</v>
      </c>
      <c r="I206" s="19">
        <f>_xlfn.IFNA(_xlfn.XLOOKUP(C206,'Shp 500'!D:D,'Shp 500'!J:J),0)</f>
        <v>0</v>
      </c>
      <c r="J206" s="19">
        <v>851.61290322580646</v>
      </c>
      <c r="K206" s="19">
        <v>30006.451612903227</v>
      </c>
      <c r="L206" s="21" t="s">
        <v>2530</v>
      </c>
      <c r="M206" s="21" t="str">
        <f>IF(L206="Shp 500","Sim",IF(ISNA(_xlfn.XLOOKUP(C206,'Shp 500'!D:D,'Shp 500'!D:D)),"Não","Sim"))</f>
        <v>Não</v>
      </c>
      <c r="N206" s="21" t="str">
        <f>IF(L206="Fastmoss 500","Sim",IF(ISNA(_xlfn.XLOOKUP(_xlfn.XLOOKUP(C206,'Same Seller Hist'!E:E,'Same Seller Hist'!H:H),'Fastmoss 500'!D:D,'Fastmoss 500'!D:D)),"Não","Sim"))</f>
        <v>Sim</v>
      </c>
      <c r="O206" s="21" t="str">
        <f>IF(AND(M206="Sim",N206="Sim"),"Sim","Não")</f>
        <v>Não</v>
      </c>
      <c r="P206" s="21" t="str">
        <f>IF(I206&gt;K206,"Sim","Não")</f>
        <v>Não</v>
      </c>
      <c r="Q206" s="21">
        <f>COUNTIFS(C:C,C206)</f>
        <v>1</v>
      </c>
    </row>
    <row r="207" spans="3:17" hidden="1" x14ac:dyDescent="0.35">
      <c r="C207" s="5">
        <f>_xlfn.XLOOKUP(F207,'Same Seller Hist'!H:H,'Same Seller Hist'!E:E)</f>
        <v>689225278</v>
      </c>
      <c r="D207" s="5" t="str">
        <f>_xlfn.XLOOKUP(F207,'Same Seller Hist'!H:H,'Same Seller Hist'!D:D)</f>
        <v>L'Oréal Paris Brasil</v>
      </c>
      <c r="E207" s="5">
        <f>_xlfn.XLOOKUP(F207,'Same Seller Hist'!H:H,'Same Seller Hist'!I:I)</f>
        <v>7.4962039784191703E+18</v>
      </c>
      <c r="F207" s="5" t="s">
        <v>677</v>
      </c>
      <c r="G207" s="5" t="str">
        <f>_xlfn.XLOOKUP(C207,'Same Seller Hist'!E:E,'Same Seller Hist'!F:F)</f>
        <v>FMCG</v>
      </c>
      <c r="H207" s="19">
        <f>_xlfn.IFNA(_xlfn.XLOOKUP(C207,'Shp 500'!D:D,'Shp 500'!I:I),0)</f>
        <v>0</v>
      </c>
      <c r="I207" s="19">
        <f>_xlfn.IFNA(_xlfn.XLOOKUP(C207,'Shp 500'!D:D,'Shp 500'!J:J),0)</f>
        <v>0</v>
      </c>
      <c r="J207" s="19">
        <v>835.48387096774195</v>
      </c>
      <c r="K207" s="19">
        <v>51612.903225806454</v>
      </c>
      <c r="L207" s="21" t="s">
        <v>2530</v>
      </c>
      <c r="M207" s="21" t="str">
        <f>IF(L207="Shp 500","Sim",IF(ISNA(_xlfn.XLOOKUP(C207,'Shp 500'!D:D,'Shp 500'!D:D)),"Não","Sim"))</f>
        <v>Não</v>
      </c>
      <c r="N207" s="21" t="str">
        <f>IF(L207="Fastmoss 500","Sim",IF(ISNA(_xlfn.XLOOKUP(_xlfn.XLOOKUP(C207,'Same Seller Hist'!E:E,'Same Seller Hist'!H:H),'Fastmoss 500'!D:D,'Fastmoss 500'!D:D)),"Não","Sim"))</f>
        <v>Sim</v>
      </c>
      <c r="O207" s="21" t="str">
        <f>IF(AND(M207="Sim",N207="Sim"),"Sim","Não")</f>
        <v>Não</v>
      </c>
      <c r="P207" s="21" t="str">
        <f>IF(I207&gt;K207,"Sim","Não")</f>
        <v>Não</v>
      </c>
      <c r="Q207" s="21">
        <f>COUNTIFS(C:C,C207)</f>
        <v>1</v>
      </c>
    </row>
    <row r="208" spans="3:17" hidden="1" x14ac:dyDescent="0.35">
      <c r="C208" s="5">
        <f>_xlfn.XLOOKUP(F208,'Same Seller Hist'!H:H,'Same Seller Hist'!E:E)</f>
        <v>498340093</v>
      </c>
      <c r="D208" s="5" t="str">
        <f>_xlfn.XLOOKUP(F208,'Same Seller Hist'!H:H,'Same Seller Hist'!D:D)</f>
        <v>BRASTOY BR</v>
      </c>
      <c r="E208" s="5">
        <f>_xlfn.XLOOKUP(F208,'Same Seller Hist'!H:H,'Same Seller Hist'!I:I)</f>
        <v>7.4941276264764201E+18</v>
      </c>
      <c r="F208" s="5" t="s">
        <v>607</v>
      </c>
      <c r="G208" s="5" t="str">
        <f>_xlfn.XLOOKUP(C208,'Same Seller Hist'!E:E,'Same Seller Hist'!F:F)</f>
        <v>Lifestyle</v>
      </c>
      <c r="H208" s="19">
        <f>_xlfn.IFNA(_xlfn.XLOOKUP(C208,'Shp 500'!D:D,'Shp 500'!I:I),0)</f>
        <v>0</v>
      </c>
      <c r="I208" s="19">
        <f>_xlfn.IFNA(_xlfn.XLOOKUP(C208,'Shp 500'!D:D,'Shp 500'!J:J),0)</f>
        <v>0</v>
      </c>
      <c r="J208" s="19">
        <v>803.22580645161293</v>
      </c>
      <c r="K208" s="19">
        <v>129032.25806451614</v>
      </c>
      <c r="L208" s="21" t="s">
        <v>2530</v>
      </c>
      <c r="M208" s="21" t="str">
        <f>IF(L208="Shp 500","Sim",IF(ISNA(_xlfn.XLOOKUP(C208,'Shp 500'!D:D,'Shp 500'!D:D)),"Não","Sim"))</f>
        <v>Não</v>
      </c>
      <c r="N208" s="21" t="str">
        <f>IF(L208="Fastmoss 500","Sim",IF(ISNA(_xlfn.XLOOKUP(_xlfn.XLOOKUP(C208,'Same Seller Hist'!E:E,'Same Seller Hist'!H:H),'Fastmoss 500'!D:D,'Fastmoss 500'!D:D)),"Não","Sim"))</f>
        <v>Sim</v>
      </c>
      <c r="O208" s="21" t="str">
        <f>IF(AND(M208="Sim",N208="Sim"),"Sim","Não")</f>
        <v>Não</v>
      </c>
      <c r="P208" s="21" t="str">
        <f>IF(I208&gt;K208,"Sim","Não")</f>
        <v>Não</v>
      </c>
      <c r="Q208" s="21">
        <f>COUNTIFS(C:C,C208)</f>
        <v>1</v>
      </c>
    </row>
    <row r="209" spans="3:17" x14ac:dyDescent="0.35">
      <c r="C209" s="5">
        <f>_xlfn.XLOOKUP(F209,'Same Seller Hist'!H:H,'Same Seller Hist'!E:E)</f>
        <v>883941882</v>
      </c>
      <c r="D209" s="5" t="str">
        <f>_xlfn.XLOOKUP(F209,'Same Seller Hist'!H:H,'Same Seller Hist'!D:D)</f>
        <v>yiyiyi TK</v>
      </c>
      <c r="E209" s="5">
        <f>_xlfn.XLOOKUP(F209,'Same Seller Hist'!H:H,'Same Seller Hist'!I:I)</f>
        <v>7.4962036523100703E+18</v>
      </c>
      <c r="F209" s="5" t="s">
        <v>741</v>
      </c>
      <c r="G209" s="5" t="str">
        <f>_xlfn.XLOOKUP(C209,'Same Seller Hist'!E:E,'Same Seller Hist'!F:F)</f>
        <v>ELHA</v>
      </c>
      <c r="H209" s="19">
        <f>_xlfn.IFNA(_xlfn.XLOOKUP(C209,'Shp 500'!D:D,'Shp 500'!I:I),0)</f>
        <v>2238.0322580645161</v>
      </c>
      <c r="I209" s="19">
        <f>_xlfn.IFNA(_xlfn.XLOOKUP(C209,'Shp 500'!D:D,'Shp 500'!J:J),0)</f>
        <v>19958.814068243453</v>
      </c>
      <c r="J209" s="19">
        <v>1577.4193548387098</v>
      </c>
      <c r="K209" s="19">
        <v>41935.483870967742</v>
      </c>
      <c r="L209" s="21" t="s">
        <v>2530</v>
      </c>
      <c r="M209" s="21" t="str">
        <f>IF(L209="Shp 500","Sim",IF(ISNA(_xlfn.XLOOKUP(C209,'Shp 500'!D:D,'Shp 500'!D:D)),"Não","Sim"))</f>
        <v>Sim</v>
      </c>
      <c r="N209" s="21" t="str">
        <f>IF(L209="Fastmoss 500","Sim",IF(ISNA(_xlfn.XLOOKUP(_xlfn.XLOOKUP(C209,'Same Seller Hist'!E:E,'Same Seller Hist'!H:H),'Fastmoss 500'!D:D,'Fastmoss 500'!D:D)),"Não","Sim"))</f>
        <v>Sim</v>
      </c>
      <c r="O209" s="21" t="str">
        <f>IF(AND(M209="Sim",N209="Sim"),"Sim","Não")</f>
        <v>Sim</v>
      </c>
      <c r="P209" s="21" t="str">
        <f>IF(I209&gt;K209,"Sim","Não")</f>
        <v>Não</v>
      </c>
      <c r="Q209" s="21">
        <f>COUNTIFS(C:C,C209)</f>
        <v>2</v>
      </c>
    </row>
    <row r="210" spans="3:17" x14ac:dyDescent="0.35">
      <c r="C210" s="5">
        <v>944725778</v>
      </c>
      <c r="D210" s="5" t="s">
        <v>1454</v>
      </c>
      <c r="E210" s="5">
        <f>_xlfn.XLOOKUP(C210,'Same Seller Hist'!E:E,'Same Seller Hist'!I:I)</f>
        <v>7.4961617031852503E+18</v>
      </c>
      <c r="F210" s="5" t="str">
        <f>_xlfn.XLOOKUP(C210,'Same Seller Hist'!E:E,'Same Seller Hist'!H:H)</f>
        <v>Happy Loja</v>
      </c>
      <c r="G210" s="5" t="s">
        <v>1734</v>
      </c>
      <c r="H210" s="19">
        <v>1339.8709677419354</v>
      </c>
      <c r="I210" s="19">
        <v>5867.8154717879679</v>
      </c>
      <c r="J210" s="19">
        <f>_xlfn.IFNA(_xlfn.XLOOKUP(F210,'Fastmoss 500'!D:D,'Fastmoss 500'!O:O),0)</f>
        <v>1000</v>
      </c>
      <c r="K210" s="19">
        <f>_xlfn.IFNA(_xlfn.XLOOKUP(F210,'Fastmoss 500'!D:D,'Fastmoss 500'!N:N),0)</f>
        <v>24296.774193548386</v>
      </c>
      <c r="L210" s="21" t="s">
        <v>2528</v>
      </c>
      <c r="M210" s="21" t="str">
        <f>IF(L210="Shp 500","Sim",IF(ISNA(_xlfn.XLOOKUP(C210,'Shp 500'!D:D,'Shp 500'!D:D)),"Não","Sim"))</f>
        <v>Sim</v>
      </c>
      <c r="N210" s="21" t="str">
        <f>IF(L210="Fastmoss 500","Sim",IF(ISNA(_xlfn.XLOOKUP(_xlfn.XLOOKUP(C210,'Same Seller Hist'!E:E,'Same Seller Hist'!H:H),'Fastmoss 500'!D:D,'Fastmoss 500'!D:D)),"Não","Sim"))</f>
        <v>Sim</v>
      </c>
      <c r="O210" s="21" t="str">
        <f>IF(AND(M210="Sim",N210="Sim"),"Sim","Não")</f>
        <v>Sim</v>
      </c>
      <c r="P210" s="21" t="str">
        <f>IF(I210&gt;K210,"Sim","Não")</f>
        <v>Não</v>
      </c>
      <c r="Q210" s="21">
        <f>COUNTIFS(C:C,C210)</f>
        <v>2</v>
      </c>
    </row>
    <row r="211" spans="3:17" hidden="1" x14ac:dyDescent="0.35">
      <c r="C211" s="5">
        <f>_xlfn.XLOOKUP(F211,'Same Seller Hist'!H:H,'Same Seller Hist'!E:E)</f>
        <v>306309956</v>
      </c>
      <c r="D211" s="5" t="str">
        <f>_xlfn.XLOOKUP(F211,'Same Seller Hist'!H:H,'Same Seller Hist'!D:D)</f>
        <v>Cecília casa</v>
      </c>
      <c r="E211" s="5">
        <f>_xlfn.XLOOKUP(F211,'Same Seller Hist'!H:H,'Same Seller Hist'!I:I)</f>
        <v>7.4961601813899796E+18</v>
      </c>
      <c r="F211" s="5" t="s">
        <v>398</v>
      </c>
      <c r="G211" s="5" t="str">
        <f>_xlfn.XLOOKUP(C211,'Same Seller Hist'!E:E,'Same Seller Hist'!F:F)</f>
        <v>Lifestyle</v>
      </c>
      <c r="H211" s="19">
        <f>_xlfn.IFNA(_xlfn.XLOOKUP(C211,'Shp 500'!D:D,'Shp 500'!I:I),0)</f>
        <v>0</v>
      </c>
      <c r="I211" s="19">
        <f>_xlfn.IFNA(_xlfn.XLOOKUP(C211,'Shp 500'!D:D,'Shp 500'!J:J),0)</f>
        <v>0</v>
      </c>
      <c r="J211" s="19">
        <v>745.16129032258061</v>
      </c>
      <c r="K211" s="19">
        <v>20551.612903225807</v>
      </c>
      <c r="L211" s="21" t="s">
        <v>2530</v>
      </c>
      <c r="M211" s="21" t="str">
        <f>IF(L211="Shp 500","Sim",IF(ISNA(_xlfn.XLOOKUP(C211,'Shp 500'!D:D,'Shp 500'!D:D)),"Não","Sim"))</f>
        <v>Não</v>
      </c>
      <c r="N211" s="21" t="str">
        <f>IF(L211="Fastmoss 500","Sim",IF(ISNA(_xlfn.XLOOKUP(_xlfn.XLOOKUP(C211,'Same Seller Hist'!E:E,'Same Seller Hist'!H:H),'Fastmoss 500'!D:D,'Fastmoss 500'!D:D)),"Não","Sim"))</f>
        <v>Sim</v>
      </c>
      <c r="O211" s="21" t="str">
        <f>IF(AND(M211="Sim",N211="Sim"),"Sim","Não")</f>
        <v>Não</v>
      </c>
      <c r="P211" s="21" t="str">
        <f>IF(I211&gt;K211,"Sim","Não")</f>
        <v>Não</v>
      </c>
      <c r="Q211" s="21">
        <f>COUNTIFS(C:C,C211)</f>
        <v>1</v>
      </c>
    </row>
    <row r="212" spans="3:17" x14ac:dyDescent="0.35">
      <c r="C212" s="5">
        <f>_xlfn.XLOOKUP(F212,'Same Seller Hist'!H:H,'Same Seller Hist'!E:E)</f>
        <v>944725778</v>
      </c>
      <c r="D212" s="5" t="str">
        <f>_xlfn.XLOOKUP(F212,'Same Seller Hist'!H:H,'Same Seller Hist'!D:D)</f>
        <v>Happy Loja</v>
      </c>
      <c r="E212" s="5">
        <f>_xlfn.XLOOKUP(F212,'Same Seller Hist'!H:H,'Same Seller Hist'!I:I)</f>
        <v>7.4961617031852503E+18</v>
      </c>
      <c r="F212" s="5" t="s">
        <v>756</v>
      </c>
      <c r="G212" s="5" t="str">
        <f>_xlfn.XLOOKUP(C212,'Same Seller Hist'!E:E,'Same Seller Hist'!F:F)</f>
        <v>ELHA</v>
      </c>
      <c r="H212" s="19">
        <f>_xlfn.IFNA(_xlfn.XLOOKUP(C212,'Shp 500'!D:D,'Shp 500'!I:I),0)</f>
        <v>1339.8709677419354</v>
      </c>
      <c r="I212" s="19">
        <f>_xlfn.IFNA(_xlfn.XLOOKUP(C212,'Shp 500'!D:D,'Shp 500'!J:J),0)</f>
        <v>5867.8154717879679</v>
      </c>
      <c r="J212" s="19">
        <v>1000</v>
      </c>
      <c r="K212" s="19">
        <v>24296.774193548386</v>
      </c>
      <c r="L212" s="21" t="s">
        <v>2530</v>
      </c>
      <c r="M212" s="21" t="str">
        <f>IF(L212="Shp 500","Sim",IF(ISNA(_xlfn.XLOOKUP(C212,'Shp 500'!D:D,'Shp 500'!D:D)),"Não","Sim"))</f>
        <v>Sim</v>
      </c>
      <c r="N212" s="21" t="str">
        <f>IF(L212="Fastmoss 500","Sim",IF(ISNA(_xlfn.XLOOKUP(_xlfn.XLOOKUP(C212,'Same Seller Hist'!E:E,'Same Seller Hist'!H:H),'Fastmoss 500'!D:D,'Fastmoss 500'!D:D)),"Não","Sim"))</f>
        <v>Sim</v>
      </c>
      <c r="O212" s="21" t="str">
        <f>IF(AND(M212="Sim",N212="Sim"),"Sim","Não")</f>
        <v>Sim</v>
      </c>
      <c r="P212" s="21" t="str">
        <f>IF(I212&gt;K212,"Sim","Não")</f>
        <v>Não</v>
      </c>
      <c r="Q212" s="21">
        <f>COUNTIFS(C:C,C212)</f>
        <v>2</v>
      </c>
    </row>
    <row r="213" spans="3:17" hidden="1" x14ac:dyDescent="0.35">
      <c r="C213" s="5">
        <f>_xlfn.XLOOKUP(F213,'Same Seller Hist'!H:H,'Same Seller Hist'!E:E)</f>
        <v>387419898</v>
      </c>
      <c r="D213" s="5" t="str">
        <f>_xlfn.XLOOKUP(F213,'Same Seller Hist'!H:H,'Same Seller Hist'!D:D)</f>
        <v>ADD MODAS</v>
      </c>
      <c r="E213" s="5">
        <f>_xlfn.XLOOKUP(F213,'Same Seller Hist'!H:H,'Same Seller Hist'!I:I)</f>
        <v>7.4961464238850304E+18</v>
      </c>
      <c r="F213" s="5" t="s">
        <v>508</v>
      </c>
      <c r="G213" s="5" t="str">
        <f>_xlfn.XLOOKUP(C213,'Same Seller Hist'!E:E,'Same Seller Hist'!F:F)</f>
        <v>Fashion</v>
      </c>
      <c r="H213" s="19">
        <f>_xlfn.IFNA(_xlfn.XLOOKUP(C213,'Shp 500'!D:D,'Shp 500'!I:I),0)</f>
        <v>0</v>
      </c>
      <c r="I213" s="19">
        <f>_xlfn.IFNA(_xlfn.XLOOKUP(C213,'Shp 500'!D:D,'Shp 500'!J:J),0)</f>
        <v>0</v>
      </c>
      <c r="J213" s="19">
        <v>729.0322580645161</v>
      </c>
      <c r="K213" s="19">
        <v>51612.903225806454</v>
      </c>
      <c r="L213" s="21" t="s">
        <v>2530</v>
      </c>
      <c r="M213" s="21" t="str">
        <f>IF(L213="Shp 500","Sim",IF(ISNA(_xlfn.XLOOKUP(C213,'Shp 500'!D:D,'Shp 500'!D:D)),"Não","Sim"))</f>
        <v>Não</v>
      </c>
      <c r="N213" s="21" t="str">
        <f>IF(L213="Fastmoss 500","Sim",IF(ISNA(_xlfn.XLOOKUP(_xlfn.XLOOKUP(C213,'Same Seller Hist'!E:E,'Same Seller Hist'!H:H),'Fastmoss 500'!D:D,'Fastmoss 500'!D:D)),"Não","Sim"))</f>
        <v>Sim</v>
      </c>
      <c r="O213" s="21" t="str">
        <f>IF(AND(M213="Sim",N213="Sim"),"Sim","Não")</f>
        <v>Não</v>
      </c>
      <c r="P213" s="21" t="str">
        <f>IF(I213&gt;K213,"Sim","Não")</f>
        <v>Não</v>
      </c>
      <c r="Q213" s="21">
        <f>COUNTIFS(C:C,C213)</f>
        <v>1</v>
      </c>
    </row>
    <row r="214" spans="3:17" hidden="1" x14ac:dyDescent="0.35">
      <c r="C214" s="5">
        <f>_xlfn.XLOOKUP(F214,'Same Seller Hist'!H:H,'Same Seller Hist'!E:E)</f>
        <v>688975125</v>
      </c>
      <c r="D214" s="5" t="str">
        <f>_xlfn.XLOOKUP(F214,'Same Seller Hist'!H:H,'Same Seller Hist'!D:D)</f>
        <v>Zencial</v>
      </c>
      <c r="E214" s="5">
        <f>_xlfn.XLOOKUP(F214,'Same Seller Hist'!H:H,'Same Seller Hist'!I:I)</f>
        <v>7.4961802956127304E+18</v>
      </c>
      <c r="F214" s="5" t="s">
        <v>676</v>
      </c>
      <c r="G214" s="5" t="str">
        <f>_xlfn.XLOOKUP(C214,'Same Seller Hist'!E:E,'Same Seller Hist'!F:F)</f>
        <v>FMCG</v>
      </c>
      <c r="H214" s="19">
        <f>_xlfn.IFNA(_xlfn.XLOOKUP(C214,'Shp 500'!D:D,'Shp 500'!I:I),0)</f>
        <v>0</v>
      </c>
      <c r="I214" s="19">
        <f>_xlfn.IFNA(_xlfn.XLOOKUP(C214,'Shp 500'!D:D,'Shp 500'!J:J),0)</f>
        <v>0</v>
      </c>
      <c r="J214" s="19">
        <v>725.80645161290317</v>
      </c>
      <c r="K214" s="19">
        <v>74193.548387096773</v>
      </c>
      <c r="L214" s="21" t="s">
        <v>2530</v>
      </c>
      <c r="M214" s="21" t="str">
        <f>IF(L214="Shp 500","Sim",IF(ISNA(_xlfn.XLOOKUP(C214,'Shp 500'!D:D,'Shp 500'!D:D)),"Não","Sim"))</f>
        <v>Não</v>
      </c>
      <c r="N214" s="21" t="str">
        <f>IF(L214="Fastmoss 500","Sim",IF(ISNA(_xlfn.XLOOKUP(_xlfn.XLOOKUP(C214,'Same Seller Hist'!E:E,'Same Seller Hist'!H:H),'Fastmoss 500'!D:D,'Fastmoss 500'!D:D)),"Não","Sim"))</f>
        <v>Sim</v>
      </c>
      <c r="O214" s="21" t="str">
        <f>IF(AND(M214="Sim",N214="Sim"),"Sim","Não")</f>
        <v>Não</v>
      </c>
      <c r="P214" s="21" t="str">
        <f>IF(I214&gt;K214,"Sim","Não")</f>
        <v>Não</v>
      </c>
      <c r="Q214" s="21">
        <f>COUNTIFS(C:C,C214)</f>
        <v>1</v>
      </c>
    </row>
    <row r="215" spans="3:17" hidden="1" x14ac:dyDescent="0.35">
      <c r="C215" s="5">
        <f>_xlfn.XLOOKUP(F215,'Same Seller Hist'!H:H,'Same Seller Hist'!E:E)</f>
        <v>1304513381</v>
      </c>
      <c r="D215" s="5" t="str">
        <f>_xlfn.XLOOKUP(F215,'Same Seller Hist'!H:H,'Same Seller Hist'!D:D)</f>
        <v>Creamy Skincare</v>
      </c>
      <c r="E215" s="5">
        <f>_xlfn.XLOOKUP(F215,'Same Seller Hist'!H:H,'Same Seller Hist'!I:I)</f>
        <v>7.4961549048489196E+18</v>
      </c>
      <c r="F215" s="5" t="s">
        <v>197</v>
      </c>
      <c r="G215" s="5" t="str">
        <f>_xlfn.XLOOKUP(C215,'Same Seller Hist'!E:E,'Same Seller Hist'!F:F)</f>
        <v>FMCG</v>
      </c>
      <c r="H215" s="19">
        <f>_xlfn.IFNA(_xlfn.XLOOKUP(C215,'Shp 500'!D:D,'Shp 500'!I:I),0)</f>
        <v>0</v>
      </c>
      <c r="I215" s="19">
        <f>_xlfn.IFNA(_xlfn.XLOOKUP(C215,'Shp 500'!D:D,'Shp 500'!J:J),0)</f>
        <v>0</v>
      </c>
      <c r="J215" s="19">
        <v>722.58064516129036</v>
      </c>
      <c r="K215" s="19">
        <v>64516.129032258068</v>
      </c>
      <c r="L215" s="21" t="s">
        <v>2530</v>
      </c>
      <c r="M215" s="21" t="str">
        <f>IF(L215="Shp 500","Sim",IF(ISNA(_xlfn.XLOOKUP(C215,'Shp 500'!D:D,'Shp 500'!D:D)),"Não","Sim"))</f>
        <v>Não</v>
      </c>
      <c r="N215" s="21" t="str">
        <f>IF(L215="Fastmoss 500","Sim",IF(ISNA(_xlfn.XLOOKUP(_xlfn.XLOOKUP(C215,'Same Seller Hist'!E:E,'Same Seller Hist'!H:H),'Fastmoss 500'!D:D,'Fastmoss 500'!D:D)),"Não","Sim"))</f>
        <v>Sim</v>
      </c>
      <c r="O215" s="21" t="str">
        <f>IF(AND(M215="Sim",N215="Sim"),"Sim","Não")</f>
        <v>Não</v>
      </c>
      <c r="P215" s="21" t="str">
        <f>IF(I215&gt;K215,"Sim","Não")</f>
        <v>Não</v>
      </c>
      <c r="Q215" s="21">
        <f>COUNTIFS(C:C,C215)</f>
        <v>1</v>
      </c>
    </row>
    <row r="216" spans="3:17" hidden="1" x14ac:dyDescent="0.35">
      <c r="C216" s="5">
        <f>_xlfn.XLOOKUP(F216,'Same Seller Hist'!H:H,'Same Seller Hist'!E:E)</f>
        <v>370895652</v>
      </c>
      <c r="D216" s="5" t="str">
        <f>_xlfn.XLOOKUP(F216,'Same Seller Hist'!H:H,'Same Seller Hist'!D:D)</f>
        <v>TudoAki.</v>
      </c>
      <c r="E216" s="5">
        <f>_xlfn.XLOOKUP(F216,'Same Seller Hist'!H:H,'Same Seller Hist'!I:I)</f>
        <v>7.4962720515471698E+18</v>
      </c>
      <c r="F216" s="5" t="s">
        <v>792</v>
      </c>
      <c r="G216" s="5" t="str">
        <f>_xlfn.XLOOKUP(C216,'Same Seller Hist'!E:E,'Same Seller Hist'!F:F)</f>
        <v>ELHA</v>
      </c>
      <c r="H216" s="19">
        <f>_xlfn.IFNA(_xlfn.XLOOKUP(C216,'Shp 500'!D:D,'Shp 500'!I:I),0)</f>
        <v>0</v>
      </c>
      <c r="I216" s="19">
        <f>_xlfn.IFNA(_xlfn.XLOOKUP(C216,'Shp 500'!D:D,'Shp 500'!J:J),0)</f>
        <v>0</v>
      </c>
      <c r="J216" s="19">
        <v>722.58064516129036</v>
      </c>
      <c r="K216" s="19">
        <v>27403.225806451614</v>
      </c>
      <c r="L216" s="21" t="s">
        <v>2530</v>
      </c>
      <c r="M216" s="21" t="str">
        <f>IF(L216="Shp 500","Sim",IF(ISNA(_xlfn.XLOOKUP(C216,'Shp 500'!D:D,'Shp 500'!D:D)),"Não","Sim"))</f>
        <v>Não</v>
      </c>
      <c r="N216" s="21" t="str">
        <f>IF(L216="Fastmoss 500","Sim",IF(ISNA(_xlfn.XLOOKUP(_xlfn.XLOOKUP(C216,'Same Seller Hist'!E:E,'Same Seller Hist'!H:H),'Fastmoss 500'!D:D,'Fastmoss 500'!D:D)),"Não","Sim"))</f>
        <v>Sim</v>
      </c>
      <c r="O216" s="21" t="str">
        <f>IF(AND(M216="Sim",N216="Sim"),"Sim","Não")</f>
        <v>Não</v>
      </c>
      <c r="P216" s="21" t="str">
        <f>IF(I216&gt;K216,"Sim","Não")</f>
        <v>Não</v>
      </c>
      <c r="Q216" s="21">
        <f>COUNTIFS(C:C,C216)</f>
        <v>1</v>
      </c>
    </row>
    <row r="217" spans="3:17" x14ac:dyDescent="0.35">
      <c r="C217" s="5">
        <v>986450286</v>
      </c>
      <c r="D217" s="5" t="s">
        <v>1593</v>
      </c>
      <c r="E217" s="5">
        <f>_xlfn.XLOOKUP(C217,'Same Seller Hist'!E:E,'Same Seller Hist'!I:I)</f>
        <v>7.4961822100321997E+18</v>
      </c>
      <c r="F217" s="5" t="str">
        <f>_xlfn.XLOOKUP(C217,'Same Seller Hist'!E:E,'Same Seller Hist'!H:H)</f>
        <v>Baisdan</v>
      </c>
      <c r="G217" s="5" t="s">
        <v>1734</v>
      </c>
      <c r="H217" s="19">
        <v>998.25806451612584</v>
      </c>
      <c r="I217" s="19">
        <v>2081.7327213006292</v>
      </c>
      <c r="J217" s="19">
        <f>_xlfn.IFNA(_xlfn.XLOOKUP(F217,'Fastmoss 500'!D:D,'Fastmoss 500'!O:O),0)</f>
        <v>335.48387096774195</v>
      </c>
      <c r="K217" s="19">
        <f>_xlfn.IFNA(_xlfn.XLOOKUP(F217,'Fastmoss 500'!D:D,'Fastmoss 500'!N:N),0)</f>
        <v>5622.5806451612907</v>
      </c>
      <c r="L217" s="21" t="s">
        <v>2528</v>
      </c>
      <c r="M217" s="21" t="str">
        <f>IF(L217="Shp 500","Sim",IF(ISNA(_xlfn.XLOOKUP(C217,'Shp 500'!D:D,'Shp 500'!D:D)),"Não","Sim"))</f>
        <v>Sim</v>
      </c>
      <c r="N217" s="21" t="str">
        <f>IF(L217="Fastmoss 500","Sim",IF(ISNA(_xlfn.XLOOKUP(_xlfn.XLOOKUP(C217,'Same Seller Hist'!E:E,'Same Seller Hist'!H:H),'Fastmoss 500'!D:D,'Fastmoss 500'!D:D)),"Não","Sim"))</f>
        <v>Sim</v>
      </c>
      <c r="O217" s="21" t="str">
        <f>IF(AND(M217="Sim",N217="Sim"),"Sim","Não")</f>
        <v>Sim</v>
      </c>
      <c r="P217" s="21" t="str">
        <f>IF(I217&gt;K217,"Sim","Não")</f>
        <v>Não</v>
      </c>
      <c r="Q217" s="21">
        <f>COUNTIFS(C:C,C217)</f>
        <v>2</v>
      </c>
    </row>
    <row r="218" spans="3:17" hidden="1" x14ac:dyDescent="0.35">
      <c r="C218" s="5">
        <f>_xlfn.XLOOKUP(F218,'Same Seller Hist'!H:H,'Same Seller Hist'!E:E)</f>
        <v>1088017491</v>
      </c>
      <c r="D218" s="5" t="str">
        <f>_xlfn.XLOOKUP(F218,'Same Seller Hist'!H:H,'Same Seller Hist'!D:D)</f>
        <v>URSA MAIOR LED</v>
      </c>
      <c r="E218" s="5">
        <f>_xlfn.XLOOKUP(F218,'Same Seller Hist'!H:H,'Same Seller Hist'!I:I)</f>
        <v>7.4962923831496796E+18</v>
      </c>
      <c r="F218" s="5" t="s">
        <v>900</v>
      </c>
      <c r="G218" s="5">
        <f>_xlfn.XLOOKUP(C218,'Same Seller Hist'!E:E,'Same Seller Hist'!F:F)</f>
        <v>0</v>
      </c>
      <c r="H218" s="19">
        <f>_xlfn.IFNA(_xlfn.XLOOKUP(C218,'Shp 500'!D:D,'Shp 500'!I:I),0)</f>
        <v>0</v>
      </c>
      <c r="I218" s="19">
        <f>_xlfn.IFNA(_xlfn.XLOOKUP(C218,'Shp 500'!D:D,'Shp 500'!J:J),0)</f>
        <v>0</v>
      </c>
      <c r="J218" s="19">
        <v>706.45161290322585</v>
      </c>
      <c r="K218" s="19">
        <v>35483.870967741932</v>
      </c>
      <c r="L218" s="21" t="s">
        <v>2530</v>
      </c>
      <c r="M218" s="21" t="str">
        <f>IF(L218="Shp 500","Sim",IF(ISNA(_xlfn.XLOOKUP(C218,'Shp 500'!D:D,'Shp 500'!D:D)),"Não","Sim"))</f>
        <v>Não</v>
      </c>
      <c r="N218" s="21" t="str">
        <f>IF(L218="Fastmoss 500","Sim",IF(ISNA(_xlfn.XLOOKUP(_xlfn.XLOOKUP(C218,'Same Seller Hist'!E:E,'Same Seller Hist'!H:H),'Fastmoss 500'!D:D,'Fastmoss 500'!D:D)),"Não","Sim"))</f>
        <v>Sim</v>
      </c>
      <c r="O218" s="21" t="str">
        <f>IF(AND(M218="Sim",N218="Sim"),"Sim","Não")</f>
        <v>Não</v>
      </c>
      <c r="P218" s="21" t="str">
        <f>IF(I218&gt;K218,"Sim","Não")</f>
        <v>Não</v>
      </c>
      <c r="Q218" s="21">
        <f>COUNTIFS(C:C,C218)</f>
        <v>1</v>
      </c>
    </row>
    <row r="219" spans="3:17" x14ac:dyDescent="0.35">
      <c r="C219" s="5">
        <f>_xlfn.XLOOKUP(F219,'Same Seller Hist'!H:H,'Same Seller Hist'!E:E)</f>
        <v>986450286</v>
      </c>
      <c r="D219" s="5" t="str">
        <f>_xlfn.XLOOKUP(F219,'Same Seller Hist'!H:H,'Same Seller Hist'!D:D)</f>
        <v>Baisdan</v>
      </c>
      <c r="E219" s="5">
        <f>_xlfn.XLOOKUP(F219,'Same Seller Hist'!H:H,'Same Seller Hist'!I:I)</f>
        <v>7.4961822100321997E+18</v>
      </c>
      <c r="F219" s="5" t="s">
        <v>769</v>
      </c>
      <c r="G219" s="5" t="str">
        <f>_xlfn.XLOOKUP(C219,'Same Seller Hist'!E:E,'Same Seller Hist'!F:F)</f>
        <v>FMCG</v>
      </c>
      <c r="H219" s="19">
        <f>_xlfn.IFNA(_xlfn.XLOOKUP(C219,'Shp 500'!D:D,'Shp 500'!I:I),0)</f>
        <v>998.25806451612584</v>
      </c>
      <c r="I219" s="19">
        <f>_xlfn.IFNA(_xlfn.XLOOKUP(C219,'Shp 500'!D:D,'Shp 500'!J:J),0)</f>
        <v>2081.7327213006292</v>
      </c>
      <c r="J219" s="19">
        <v>335.48387096774195</v>
      </c>
      <c r="K219" s="19">
        <v>5622.5806451612907</v>
      </c>
      <c r="L219" s="21" t="s">
        <v>2530</v>
      </c>
      <c r="M219" s="21" t="str">
        <f>IF(L219="Shp 500","Sim",IF(ISNA(_xlfn.XLOOKUP(C219,'Shp 500'!D:D,'Shp 500'!D:D)),"Não","Sim"))</f>
        <v>Sim</v>
      </c>
      <c r="N219" s="21" t="str">
        <f>IF(L219="Fastmoss 500","Sim",IF(ISNA(_xlfn.XLOOKUP(_xlfn.XLOOKUP(C219,'Same Seller Hist'!E:E,'Same Seller Hist'!H:H),'Fastmoss 500'!D:D,'Fastmoss 500'!D:D)),"Não","Sim"))</f>
        <v>Sim</v>
      </c>
      <c r="O219" s="21" t="str">
        <f>IF(AND(M219="Sim",N219="Sim"),"Sim","Não")</f>
        <v>Sim</v>
      </c>
      <c r="P219" s="21" t="str">
        <f>IF(I219&gt;K219,"Sim","Não")</f>
        <v>Não</v>
      </c>
      <c r="Q219" s="21">
        <f>COUNTIFS(C:C,C219)</f>
        <v>2</v>
      </c>
    </row>
    <row r="220" spans="3:17" hidden="1" x14ac:dyDescent="0.35">
      <c r="C220" s="5">
        <f>_xlfn.XLOOKUP(F220,'Same Seller Hist'!H:H,'Same Seller Hist'!E:E)</f>
        <v>1299621852</v>
      </c>
      <c r="D220" s="5" t="str">
        <f>_xlfn.XLOOKUP(F220,'Same Seller Hist'!H:H,'Same Seller Hist'!D:D)</f>
        <v>Toem casa</v>
      </c>
      <c r="E220" s="5">
        <f>_xlfn.XLOOKUP(F220,'Same Seller Hist'!H:H,'Same Seller Hist'!I:I)</f>
        <v>7.4961531492206797E+18</v>
      </c>
      <c r="F220" s="5" t="s">
        <v>196</v>
      </c>
      <c r="G220" s="5" t="str">
        <f>_xlfn.XLOOKUP(C220,'Same Seller Hist'!E:E,'Same Seller Hist'!F:F)</f>
        <v>Auto &amp; Moto</v>
      </c>
      <c r="H220" s="19">
        <f>_xlfn.IFNA(_xlfn.XLOOKUP(C220,'Shp 500'!D:D,'Shp 500'!I:I),0)</f>
        <v>0</v>
      </c>
      <c r="I220" s="19">
        <f>_xlfn.IFNA(_xlfn.XLOOKUP(C220,'Shp 500'!D:D,'Shp 500'!J:J),0)</f>
        <v>0</v>
      </c>
      <c r="J220" s="19">
        <v>677.41935483870964</v>
      </c>
      <c r="K220" s="19">
        <v>14274.193548387097</v>
      </c>
      <c r="L220" s="21" t="s">
        <v>2530</v>
      </c>
      <c r="M220" s="21" t="str">
        <f>IF(L220="Shp 500","Sim",IF(ISNA(_xlfn.XLOOKUP(C220,'Shp 500'!D:D,'Shp 500'!D:D)),"Não","Sim"))</f>
        <v>Não</v>
      </c>
      <c r="N220" s="21" t="str">
        <f>IF(L220="Fastmoss 500","Sim",IF(ISNA(_xlfn.XLOOKUP(_xlfn.XLOOKUP(C220,'Same Seller Hist'!E:E,'Same Seller Hist'!H:H),'Fastmoss 500'!D:D,'Fastmoss 500'!D:D)),"Não","Sim"))</f>
        <v>Sim</v>
      </c>
      <c r="O220" s="21" t="str">
        <f>IF(AND(M220="Sim",N220="Sim"),"Sim","Não")</f>
        <v>Não</v>
      </c>
      <c r="P220" s="21" t="str">
        <f>IF(I220&gt;K220,"Sim","Não")</f>
        <v>Não</v>
      </c>
      <c r="Q220" s="21">
        <f>COUNTIFS(C:C,C220)</f>
        <v>1</v>
      </c>
    </row>
    <row r="221" spans="3:17" hidden="1" x14ac:dyDescent="0.35">
      <c r="C221" s="5">
        <f>_xlfn.XLOOKUP(F221,'Same Seller Hist'!H:H,'Same Seller Hist'!E:E)</f>
        <v>1614658014</v>
      </c>
      <c r="D221" s="5" t="str">
        <f>_xlfn.XLOOKUP(F221,'Same Seller Hist'!H:H,'Same Seller Hist'!D:D)</f>
        <v>TOON STORE BR</v>
      </c>
      <c r="E221" s="5">
        <f>_xlfn.XLOOKUP(F221,'Same Seller Hist'!H:H,'Same Seller Hist'!I:I)</f>
        <v>7.49412604615134E+18</v>
      </c>
      <c r="F221" s="5" t="s">
        <v>343</v>
      </c>
      <c r="G221" s="5" t="str">
        <f>_xlfn.XLOOKUP(C221,'Same Seller Hist'!E:E,'Same Seller Hist'!F:F)</f>
        <v>FMCG</v>
      </c>
      <c r="H221" s="19">
        <f>_xlfn.IFNA(_xlfn.XLOOKUP(C221,'Shp 500'!D:D,'Shp 500'!I:I),0)</f>
        <v>0</v>
      </c>
      <c r="I221" s="19">
        <f>_xlfn.IFNA(_xlfn.XLOOKUP(C221,'Shp 500'!D:D,'Shp 500'!J:J),0)</f>
        <v>0</v>
      </c>
      <c r="J221" s="19">
        <v>661.29032258064512</v>
      </c>
      <c r="K221" s="19">
        <v>7254.8387096774195</v>
      </c>
      <c r="L221" s="21" t="s">
        <v>2530</v>
      </c>
      <c r="M221" s="21" t="str">
        <f>IF(L221="Shp 500","Sim",IF(ISNA(_xlfn.XLOOKUP(C221,'Shp 500'!D:D,'Shp 500'!D:D)),"Não","Sim"))</f>
        <v>Não</v>
      </c>
      <c r="N221" s="21" t="str">
        <f>IF(L221="Fastmoss 500","Sim",IF(ISNA(_xlfn.XLOOKUP(_xlfn.XLOOKUP(C221,'Same Seller Hist'!E:E,'Same Seller Hist'!H:H),'Fastmoss 500'!D:D,'Fastmoss 500'!D:D)),"Não","Sim"))</f>
        <v>Sim</v>
      </c>
      <c r="O221" s="21" t="str">
        <f>IF(AND(M221="Sim",N221="Sim"),"Sim","Não")</f>
        <v>Não</v>
      </c>
      <c r="P221" s="21" t="str">
        <f>IF(I221&gt;K221,"Sim","Não")</f>
        <v>Não</v>
      </c>
      <c r="Q221" s="21">
        <f>COUNTIFS(C:C,C221)</f>
        <v>1</v>
      </c>
    </row>
    <row r="222" spans="3:17" hidden="1" x14ac:dyDescent="0.35">
      <c r="C222" s="5">
        <f>_xlfn.XLOOKUP(F222,'Same Seller Hist'!H:H,'Same Seller Hist'!E:E)</f>
        <v>908134378</v>
      </c>
      <c r="D222" s="5" t="str">
        <f>_xlfn.XLOOKUP(F222,'Same Seller Hist'!H:H,'Same Seller Hist'!D:D)</f>
        <v>QUEEN SHOP SP</v>
      </c>
      <c r="E222" s="5">
        <f>_xlfn.XLOOKUP(F222,'Same Seller Hist'!H:H,'Same Seller Hist'!I:I)</f>
        <v>7.4962013477058304E+18</v>
      </c>
      <c r="F222" s="5" t="s">
        <v>744</v>
      </c>
      <c r="G222" s="5" t="str">
        <f>_xlfn.XLOOKUP(C222,'Same Seller Hist'!E:E,'Same Seller Hist'!F:F)</f>
        <v>ELHA</v>
      </c>
      <c r="H222" s="19">
        <f>_xlfn.IFNA(_xlfn.XLOOKUP(C222,'Shp 500'!D:D,'Shp 500'!I:I),0)</f>
        <v>0</v>
      </c>
      <c r="I222" s="19">
        <f>_xlfn.IFNA(_xlfn.XLOOKUP(C222,'Shp 500'!D:D,'Shp 500'!J:J),0)</f>
        <v>0</v>
      </c>
      <c r="J222" s="19">
        <v>661.29032258064512</v>
      </c>
      <c r="K222" s="19">
        <v>6496.7741935483873</v>
      </c>
      <c r="L222" s="21" t="s">
        <v>2530</v>
      </c>
      <c r="M222" s="21" t="str">
        <f>IF(L222="Shp 500","Sim",IF(ISNA(_xlfn.XLOOKUP(C222,'Shp 500'!D:D,'Shp 500'!D:D)),"Não","Sim"))</f>
        <v>Não</v>
      </c>
      <c r="N222" s="21" t="str">
        <f>IF(L222="Fastmoss 500","Sim",IF(ISNA(_xlfn.XLOOKUP(_xlfn.XLOOKUP(C222,'Same Seller Hist'!E:E,'Same Seller Hist'!H:H),'Fastmoss 500'!D:D,'Fastmoss 500'!D:D)),"Não","Sim"))</f>
        <v>Sim</v>
      </c>
      <c r="O222" s="21" t="str">
        <f>IF(AND(M222="Sim",N222="Sim"),"Sim","Não")</f>
        <v>Não</v>
      </c>
      <c r="P222" s="21" t="str">
        <f>IF(I222&gt;K222,"Sim","Não")</f>
        <v>Não</v>
      </c>
      <c r="Q222" s="21">
        <f>COUNTIFS(C:C,C222)</f>
        <v>1</v>
      </c>
    </row>
    <row r="223" spans="3:17" hidden="1" x14ac:dyDescent="0.35">
      <c r="C223" s="5">
        <f>_xlfn.XLOOKUP(F223,'Same Seller Hist'!H:H,'Same Seller Hist'!E:E)</f>
        <v>998268968</v>
      </c>
      <c r="D223" s="5" t="str">
        <f>_xlfn.XLOOKUP(F223,'Same Seller Hist'!H:H,'Same Seller Hist'!D:D)</f>
        <v>Romafam</v>
      </c>
      <c r="E223" s="5">
        <f>_xlfn.XLOOKUP(F223,'Same Seller Hist'!H:H,'Same Seller Hist'!I:I)</f>
        <v>7.4961833107668603E+18</v>
      </c>
      <c r="F223" s="5" t="s">
        <v>773</v>
      </c>
      <c r="G223" s="5" t="str">
        <f>_xlfn.XLOOKUP(C223,'Same Seller Hist'!E:E,'Same Seller Hist'!F:F)</f>
        <v>Fashion</v>
      </c>
      <c r="H223" s="19">
        <f>_xlfn.IFNA(_xlfn.XLOOKUP(C223,'Shp 500'!D:D,'Shp 500'!I:I),0)</f>
        <v>0</v>
      </c>
      <c r="I223" s="19">
        <f>_xlfn.IFNA(_xlfn.XLOOKUP(C223,'Shp 500'!D:D,'Shp 500'!J:J),0)</f>
        <v>0</v>
      </c>
      <c r="J223" s="19">
        <v>648.38709677419354</v>
      </c>
      <c r="K223" s="19">
        <v>26358.064516129034</v>
      </c>
      <c r="L223" s="21" t="s">
        <v>2530</v>
      </c>
      <c r="M223" s="21" t="str">
        <f>IF(L223="Shp 500","Sim",IF(ISNA(_xlfn.XLOOKUP(C223,'Shp 500'!D:D,'Shp 500'!D:D)),"Não","Sim"))</f>
        <v>Não</v>
      </c>
      <c r="N223" s="21" t="str">
        <f>IF(L223="Fastmoss 500","Sim",IF(ISNA(_xlfn.XLOOKUP(_xlfn.XLOOKUP(C223,'Same Seller Hist'!E:E,'Same Seller Hist'!H:H),'Fastmoss 500'!D:D,'Fastmoss 500'!D:D)),"Não","Sim"))</f>
        <v>Sim</v>
      </c>
      <c r="O223" s="21" t="str">
        <f>IF(AND(M223="Sim",N223="Sim"),"Sim","Não")</f>
        <v>Não</v>
      </c>
      <c r="P223" s="21" t="str">
        <f>IF(I223&gt;K223,"Sim","Não")</f>
        <v>Não</v>
      </c>
      <c r="Q223" s="21">
        <f>COUNTIFS(C:C,C223)</f>
        <v>1</v>
      </c>
    </row>
    <row r="224" spans="3:17" hidden="1" x14ac:dyDescent="0.35">
      <c r="C224" s="5">
        <f>_xlfn.XLOOKUP(F224,'Same Seller Hist'!H:H,'Same Seller Hist'!E:E)</f>
        <v>1191862620</v>
      </c>
      <c r="D224" s="5" t="str">
        <f>_xlfn.XLOOKUP(F224,'Same Seller Hist'!H:H,'Same Seller Hist'!D:D)</f>
        <v>Movimento</v>
      </c>
      <c r="E224" s="5">
        <f>_xlfn.XLOOKUP(F224,'Same Seller Hist'!H:H,'Same Seller Hist'!I:I)</f>
        <v>7.49409302584495E+18</v>
      </c>
      <c r="F224" s="5" t="s">
        <v>886</v>
      </c>
      <c r="G224" s="5">
        <f>_xlfn.XLOOKUP(C224,'Same Seller Hist'!E:E,'Same Seller Hist'!F:F)</f>
        <v>0</v>
      </c>
      <c r="H224" s="19">
        <f>_xlfn.IFNA(_xlfn.XLOOKUP(C224,'Shp 500'!D:D,'Shp 500'!I:I),0)</f>
        <v>0</v>
      </c>
      <c r="I224" s="19">
        <f>_xlfn.IFNA(_xlfn.XLOOKUP(C224,'Shp 500'!D:D,'Shp 500'!J:J),0)</f>
        <v>0</v>
      </c>
      <c r="J224" s="19">
        <v>645.16129032258061</v>
      </c>
      <c r="K224" s="19">
        <v>13154.838709677419</v>
      </c>
      <c r="L224" s="21" t="s">
        <v>2530</v>
      </c>
      <c r="M224" s="21" t="str">
        <f>IF(L224="Shp 500","Sim",IF(ISNA(_xlfn.XLOOKUP(C224,'Shp 500'!D:D,'Shp 500'!D:D)),"Não","Sim"))</f>
        <v>Não</v>
      </c>
      <c r="N224" s="21" t="str">
        <f>IF(L224="Fastmoss 500","Sim",IF(ISNA(_xlfn.XLOOKUP(_xlfn.XLOOKUP(C224,'Same Seller Hist'!E:E,'Same Seller Hist'!H:H),'Fastmoss 500'!D:D,'Fastmoss 500'!D:D)),"Não","Sim"))</f>
        <v>Sim</v>
      </c>
      <c r="O224" s="21" t="str">
        <f>IF(AND(M224="Sim",N224="Sim"),"Sim","Não")</f>
        <v>Não</v>
      </c>
      <c r="P224" s="21" t="str">
        <f>IF(I224&gt;K224,"Sim","Não")</f>
        <v>Não</v>
      </c>
      <c r="Q224" s="21">
        <f>COUNTIFS(C:C,C224)</f>
        <v>1</v>
      </c>
    </row>
    <row r="225" spans="3:17" hidden="1" x14ac:dyDescent="0.35">
      <c r="C225" s="5">
        <f>_xlfn.XLOOKUP(F225,'Same Seller Hist'!H:H,'Same Seller Hist'!E:E)</f>
        <v>326857141</v>
      </c>
      <c r="D225" s="5" t="str">
        <f>_xlfn.XLOOKUP(F225,'Same Seller Hist'!H:H,'Same Seller Hist'!D:D)</f>
        <v>Galan Modas</v>
      </c>
      <c r="E225" s="5">
        <f>_xlfn.XLOOKUP(F225,'Same Seller Hist'!H:H,'Same Seller Hist'!I:I)</f>
        <v>7.4961906169541704E+18</v>
      </c>
      <c r="F225" s="5" t="s">
        <v>428</v>
      </c>
      <c r="G225" s="5" t="str">
        <f>_xlfn.XLOOKUP(C225,'Same Seller Hist'!E:E,'Same Seller Hist'!F:F)</f>
        <v>Fashion</v>
      </c>
      <c r="H225" s="19">
        <f>_xlfn.IFNA(_xlfn.XLOOKUP(C225,'Shp 500'!D:D,'Shp 500'!I:I),0)</f>
        <v>0</v>
      </c>
      <c r="I225" s="19">
        <f>_xlfn.IFNA(_xlfn.XLOOKUP(C225,'Shp 500'!D:D,'Shp 500'!J:J),0)</f>
        <v>0</v>
      </c>
      <c r="J225" s="19">
        <v>641.93548387096769</v>
      </c>
      <c r="K225" s="19">
        <v>29080.645161290322</v>
      </c>
      <c r="L225" s="21" t="s">
        <v>2530</v>
      </c>
      <c r="M225" s="21" t="str">
        <f>IF(L225="Shp 500","Sim",IF(ISNA(_xlfn.XLOOKUP(C225,'Shp 500'!D:D,'Shp 500'!D:D)),"Não","Sim"))</f>
        <v>Não</v>
      </c>
      <c r="N225" s="21" t="str">
        <f>IF(L225="Fastmoss 500","Sim",IF(ISNA(_xlfn.XLOOKUP(_xlfn.XLOOKUP(C225,'Same Seller Hist'!E:E,'Same Seller Hist'!H:H),'Fastmoss 500'!D:D,'Fastmoss 500'!D:D)),"Não","Sim"))</f>
        <v>Sim</v>
      </c>
      <c r="O225" s="21" t="str">
        <f>IF(AND(M225="Sim",N225="Sim"),"Sim","Não")</f>
        <v>Não</v>
      </c>
      <c r="P225" s="21" t="str">
        <f>IF(I225&gt;K225,"Sim","Não")</f>
        <v>Não</v>
      </c>
      <c r="Q225" s="21">
        <f>COUNTIFS(C:C,C225)</f>
        <v>1</v>
      </c>
    </row>
    <row r="226" spans="3:17" hidden="1" x14ac:dyDescent="0.35">
      <c r="C226" s="5">
        <f>_xlfn.XLOOKUP(F226,'Same Seller Hist'!H:H,'Same Seller Hist'!E:E)</f>
        <v>1598954691</v>
      </c>
      <c r="D226" s="5" t="str">
        <f>_xlfn.XLOOKUP(F226,'Same Seller Hist'!H:H,'Same Seller Hist'!D:D)</f>
        <v>JACK CELL BR</v>
      </c>
      <c r="E226" s="5">
        <f>_xlfn.XLOOKUP(F226,'Same Seller Hist'!H:H,'Same Seller Hist'!I:I)</f>
        <v>7.4941814398506404E+18</v>
      </c>
      <c r="F226" s="5" t="s">
        <v>868</v>
      </c>
      <c r="G226" s="5">
        <f>_xlfn.XLOOKUP(C226,'Same Seller Hist'!E:E,'Same Seller Hist'!F:F)</f>
        <v>0</v>
      </c>
      <c r="H226" s="19">
        <f>_xlfn.IFNA(_xlfn.XLOOKUP(C226,'Shp 500'!D:D,'Shp 500'!I:I),0)</f>
        <v>0</v>
      </c>
      <c r="I226" s="19">
        <f>_xlfn.IFNA(_xlfn.XLOOKUP(C226,'Shp 500'!D:D,'Shp 500'!J:J),0)</f>
        <v>0</v>
      </c>
      <c r="J226" s="19">
        <v>632.25806451612902</v>
      </c>
      <c r="K226" s="19">
        <v>38709.677419354841</v>
      </c>
      <c r="L226" s="21" t="s">
        <v>2530</v>
      </c>
      <c r="M226" s="21" t="str">
        <f>IF(L226="Shp 500","Sim",IF(ISNA(_xlfn.XLOOKUP(C226,'Shp 500'!D:D,'Shp 500'!D:D)),"Não","Sim"))</f>
        <v>Não</v>
      </c>
      <c r="N226" s="21" t="str">
        <f>IF(L226="Fastmoss 500","Sim",IF(ISNA(_xlfn.XLOOKUP(_xlfn.XLOOKUP(C226,'Same Seller Hist'!E:E,'Same Seller Hist'!H:H),'Fastmoss 500'!D:D,'Fastmoss 500'!D:D)),"Não","Sim"))</f>
        <v>Sim</v>
      </c>
      <c r="O226" s="21" t="str">
        <f>IF(AND(M226="Sim",N226="Sim"),"Sim","Não")</f>
        <v>Não</v>
      </c>
      <c r="P226" s="21" t="str">
        <f>IF(I226&gt;K226,"Sim","Não")</f>
        <v>Não</v>
      </c>
      <c r="Q226" s="21">
        <f>COUNTIFS(C:C,C226)</f>
        <v>1</v>
      </c>
    </row>
    <row r="227" spans="3:17" x14ac:dyDescent="0.35">
      <c r="C227" s="5">
        <v>995022276</v>
      </c>
      <c r="D227" s="5" t="s">
        <v>1349</v>
      </c>
      <c r="E227" s="5">
        <f>_xlfn.XLOOKUP(C227,'Same Seller Hist'!E:E,'Same Seller Hist'!I:I)</f>
        <v>7.4961622281287404E+18</v>
      </c>
      <c r="F227" s="5" t="str">
        <f>_xlfn.XLOOKUP(C227,'Same Seller Hist'!E:E,'Same Seller Hist'!H:H)</f>
        <v>PanguTK</v>
      </c>
      <c r="G227" s="5" t="s">
        <v>1734</v>
      </c>
      <c r="H227" s="19">
        <v>2114.3548387096776</v>
      </c>
      <c r="I227" s="19">
        <v>17475.863132709583</v>
      </c>
      <c r="J227" s="19">
        <f>_xlfn.IFNA(_xlfn.XLOOKUP(F227,'Fastmoss 500'!D:D,'Fastmoss 500'!O:O),0)</f>
        <v>354.83870967741933</v>
      </c>
      <c r="K227" s="19">
        <f>_xlfn.IFNA(_xlfn.XLOOKUP(F227,'Fastmoss 500'!D:D,'Fastmoss 500'!N:N),0)</f>
        <v>20287.096774193549</v>
      </c>
      <c r="L227" s="21" t="s">
        <v>2528</v>
      </c>
      <c r="M227" s="21" t="str">
        <f>IF(L227="Shp 500","Sim",IF(ISNA(_xlfn.XLOOKUP(C227,'Shp 500'!D:D,'Shp 500'!D:D)),"Não","Sim"))</f>
        <v>Sim</v>
      </c>
      <c r="N227" s="21" t="str">
        <f>IF(L227="Fastmoss 500","Sim",IF(ISNA(_xlfn.XLOOKUP(_xlfn.XLOOKUP(C227,'Same Seller Hist'!E:E,'Same Seller Hist'!H:H),'Fastmoss 500'!D:D,'Fastmoss 500'!D:D)),"Não","Sim"))</f>
        <v>Sim</v>
      </c>
      <c r="O227" s="21" t="str">
        <f>IF(AND(M227="Sim",N227="Sim"),"Sim","Não")</f>
        <v>Sim</v>
      </c>
      <c r="P227" s="21" t="str">
        <f>IF(I227&gt;K227,"Sim","Não")</f>
        <v>Não</v>
      </c>
      <c r="Q227" s="21">
        <f>COUNTIFS(C:C,C227)</f>
        <v>2</v>
      </c>
    </row>
    <row r="228" spans="3:17" hidden="1" x14ac:dyDescent="0.35">
      <c r="C228" s="5">
        <f>_xlfn.XLOOKUP(F228,'Same Seller Hist'!H:H,'Same Seller Hist'!E:E)</f>
        <v>773016601</v>
      </c>
      <c r="D228" s="5" t="str">
        <f>_xlfn.XLOOKUP(F228,'Same Seller Hist'!H:H,'Same Seller Hist'!D:D)</f>
        <v>Mais.Amor</v>
      </c>
      <c r="E228" s="5">
        <f>_xlfn.XLOOKUP(F228,'Same Seller Hist'!H:H,'Same Seller Hist'!I:I)</f>
        <v>7.49616228573888E+18</v>
      </c>
      <c r="F228" s="5" t="s">
        <v>700</v>
      </c>
      <c r="G228" s="5" t="str">
        <f>_xlfn.XLOOKUP(C228,'Same Seller Hist'!E:E,'Same Seller Hist'!F:F)</f>
        <v>Lifestyle</v>
      </c>
      <c r="H228" s="19">
        <f>_xlfn.IFNA(_xlfn.XLOOKUP(C228,'Shp 500'!D:D,'Shp 500'!I:I),0)</f>
        <v>0</v>
      </c>
      <c r="I228" s="19">
        <f>_xlfn.IFNA(_xlfn.XLOOKUP(C228,'Shp 500'!D:D,'Shp 500'!J:J),0)</f>
        <v>0</v>
      </c>
      <c r="J228" s="19">
        <v>622.58064516129036</v>
      </c>
      <c r="K228" s="19">
        <v>21635.483870967742</v>
      </c>
      <c r="L228" s="21" t="s">
        <v>2530</v>
      </c>
      <c r="M228" s="21" t="str">
        <f>IF(L228="Shp 500","Sim",IF(ISNA(_xlfn.XLOOKUP(C228,'Shp 500'!D:D,'Shp 500'!D:D)),"Não","Sim"))</f>
        <v>Não</v>
      </c>
      <c r="N228" s="21" t="str">
        <f>IF(L228="Fastmoss 500","Sim",IF(ISNA(_xlfn.XLOOKUP(_xlfn.XLOOKUP(C228,'Same Seller Hist'!E:E,'Same Seller Hist'!H:H),'Fastmoss 500'!D:D,'Fastmoss 500'!D:D)),"Não","Sim"))</f>
        <v>Sim</v>
      </c>
      <c r="O228" s="21" t="str">
        <f>IF(AND(M228="Sim",N228="Sim"),"Sim","Não")</f>
        <v>Não</v>
      </c>
      <c r="P228" s="21" t="str">
        <f>IF(I228&gt;K228,"Sim","Não")</f>
        <v>Não</v>
      </c>
      <c r="Q228" s="21">
        <f>COUNTIFS(C:C,C228)</f>
        <v>1</v>
      </c>
    </row>
    <row r="229" spans="3:17" x14ac:dyDescent="0.35">
      <c r="C229" s="5">
        <f>_xlfn.XLOOKUP(F229,'Same Seller Hist'!H:H,'Same Seller Hist'!E:E)</f>
        <v>995022276</v>
      </c>
      <c r="D229" s="5" t="str">
        <f>_xlfn.XLOOKUP(F229,'Same Seller Hist'!H:H,'Same Seller Hist'!D:D)</f>
        <v>PanguTK</v>
      </c>
      <c r="E229" s="5">
        <f>_xlfn.XLOOKUP(F229,'Same Seller Hist'!H:H,'Same Seller Hist'!I:I)</f>
        <v>7.4961622281287404E+18</v>
      </c>
      <c r="F229" s="5" t="s">
        <v>771</v>
      </c>
      <c r="G229" s="5" t="str">
        <f>_xlfn.XLOOKUP(C229,'Same Seller Hist'!E:E,'Same Seller Hist'!F:F)</f>
        <v>Lifestyle</v>
      </c>
      <c r="H229" s="19">
        <f>_xlfn.IFNA(_xlfn.XLOOKUP(C229,'Shp 500'!D:D,'Shp 500'!I:I),0)</f>
        <v>2114.3548387096776</v>
      </c>
      <c r="I229" s="19">
        <f>_xlfn.IFNA(_xlfn.XLOOKUP(C229,'Shp 500'!D:D,'Shp 500'!J:J),0)</f>
        <v>17475.863132709583</v>
      </c>
      <c r="J229" s="19">
        <v>354.83870967741933</v>
      </c>
      <c r="K229" s="19">
        <v>20287.096774193549</v>
      </c>
      <c r="L229" s="21" t="s">
        <v>2530</v>
      </c>
      <c r="M229" s="21" t="str">
        <f>IF(L229="Shp 500","Sim",IF(ISNA(_xlfn.XLOOKUP(C229,'Shp 500'!D:D,'Shp 500'!D:D)),"Não","Sim"))</f>
        <v>Sim</v>
      </c>
      <c r="N229" s="21" t="str">
        <f>IF(L229="Fastmoss 500","Sim",IF(ISNA(_xlfn.XLOOKUP(_xlfn.XLOOKUP(C229,'Same Seller Hist'!E:E,'Same Seller Hist'!H:H),'Fastmoss 500'!D:D,'Fastmoss 500'!D:D)),"Não","Sim"))</f>
        <v>Sim</v>
      </c>
      <c r="O229" s="21" t="str">
        <f>IF(AND(M229="Sim",N229="Sim"),"Sim","Não")</f>
        <v>Sim</v>
      </c>
      <c r="P229" s="21" t="str">
        <f>IF(I229&gt;K229,"Sim","Não")</f>
        <v>Não</v>
      </c>
      <c r="Q229" s="21">
        <f>COUNTIFS(C:C,C229)</f>
        <v>2</v>
      </c>
    </row>
    <row r="230" spans="3:17" hidden="1" x14ac:dyDescent="0.35">
      <c r="C230" s="5">
        <f>_xlfn.XLOOKUP(F230,'Same Seller Hist'!H:H,'Same Seller Hist'!E:E)</f>
        <v>815223259</v>
      </c>
      <c r="D230" s="5" t="str">
        <f>_xlfn.XLOOKUP(F230,'Same Seller Hist'!H:H,'Same Seller Hist'!D:D)</f>
        <v>RH OUTLET</v>
      </c>
      <c r="E230" s="5">
        <f>_xlfn.XLOOKUP(F230,'Same Seller Hist'!H:H,'Same Seller Hist'!I:I)</f>
        <v>7.49627769569617E+18</v>
      </c>
      <c r="F230" s="5" t="s">
        <v>717</v>
      </c>
      <c r="G230" s="5" t="str">
        <f>_xlfn.XLOOKUP(C230,'Same Seller Hist'!E:E,'Same Seller Hist'!F:F)</f>
        <v>Fashion</v>
      </c>
      <c r="H230" s="19">
        <f>_xlfn.IFNA(_xlfn.XLOOKUP(C230,'Shp 500'!D:D,'Shp 500'!I:I),0)</f>
        <v>0</v>
      </c>
      <c r="I230" s="19">
        <f>_xlfn.IFNA(_xlfn.XLOOKUP(C230,'Shp 500'!D:D,'Shp 500'!J:J),0)</f>
        <v>0</v>
      </c>
      <c r="J230" s="19">
        <v>593.54838709677415</v>
      </c>
      <c r="K230" s="19">
        <v>26835.483870967742</v>
      </c>
      <c r="L230" s="21" t="s">
        <v>2530</v>
      </c>
      <c r="M230" s="21" t="str">
        <f>IF(L230="Shp 500","Sim",IF(ISNA(_xlfn.XLOOKUP(C230,'Shp 500'!D:D,'Shp 500'!D:D)),"Não","Sim"))</f>
        <v>Não</v>
      </c>
      <c r="N230" s="21" t="str">
        <f>IF(L230="Fastmoss 500","Sim",IF(ISNA(_xlfn.XLOOKUP(_xlfn.XLOOKUP(C230,'Same Seller Hist'!E:E,'Same Seller Hist'!H:H),'Fastmoss 500'!D:D,'Fastmoss 500'!D:D)),"Não","Sim"))</f>
        <v>Sim</v>
      </c>
      <c r="O230" s="21" t="str">
        <f>IF(AND(M230="Sim",N230="Sim"),"Sim","Não")</f>
        <v>Não</v>
      </c>
      <c r="P230" s="21" t="str">
        <f>IF(I230&gt;K230,"Sim","Não")</f>
        <v>Não</v>
      </c>
      <c r="Q230" s="21">
        <f>COUNTIFS(C:C,C230)</f>
        <v>1</v>
      </c>
    </row>
    <row r="231" spans="3:17" x14ac:dyDescent="0.35">
      <c r="C231" s="5">
        <v>1025824477</v>
      </c>
      <c r="D231" s="5" t="s">
        <v>1296</v>
      </c>
      <c r="E231" s="5">
        <f>_xlfn.XLOOKUP(C231,'Same Seller Hist'!E:E,'Same Seller Hist'!I:I)</f>
        <v>7.4941815193772698E+18</v>
      </c>
      <c r="F231" s="5" t="str">
        <f>_xlfn.XLOOKUP(C231,'Same Seller Hist'!E:E,'Same Seller Hist'!H:H)</f>
        <v>YUMI CELL BR</v>
      </c>
      <c r="G231" s="5" t="s">
        <v>1734</v>
      </c>
      <c r="H231" s="19">
        <v>3297.7741935483873</v>
      </c>
      <c r="I231" s="19">
        <v>25555.054528622935</v>
      </c>
      <c r="J231" s="19">
        <f>_xlfn.IFNA(_xlfn.XLOOKUP(F231,'Fastmoss 500'!D:D,'Fastmoss 500'!O:O),0)</f>
        <v>235.48387096774192</v>
      </c>
      <c r="K231" s="19">
        <f>_xlfn.IFNA(_xlfn.XLOOKUP(F231,'Fastmoss 500'!D:D,'Fastmoss 500'!N:N),0)</f>
        <v>17706.451612903227</v>
      </c>
      <c r="L231" s="21" t="s">
        <v>2528</v>
      </c>
      <c r="M231" s="21" t="str">
        <f>IF(L231="Shp 500","Sim",IF(ISNA(_xlfn.XLOOKUP(C231,'Shp 500'!D:D,'Shp 500'!D:D)),"Não","Sim"))</f>
        <v>Sim</v>
      </c>
      <c r="N231" s="21" t="str">
        <f>IF(L231="Fastmoss 500","Sim",IF(ISNA(_xlfn.XLOOKUP(_xlfn.XLOOKUP(C231,'Same Seller Hist'!E:E,'Same Seller Hist'!H:H),'Fastmoss 500'!D:D,'Fastmoss 500'!D:D)),"Não","Sim"))</f>
        <v>Sim</v>
      </c>
      <c r="O231" s="21" t="str">
        <f>IF(AND(M231="Sim",N231="Sim"),"Sim","Não")</f>
        <v>Sim</v>
      </c>
      <c r="P231" s="21" t="str">
        <f>IF(I231&gt;K231,"Sim","Não")</f>
        <v>Sim</v>
      </c>
      <c r="Q231" s="21">
        <f>COUNTIFS(C:C,C231)</f>
        <v>2</v>
      </c>
    </row>
    <row r="232" spans="3:17" hidden="1" x14ac:dyDescent="0.35">
      <c r="C232" s="5">
        <f>_xlfn.XLOOKUP(F232,'Same Seller Hist'!H:H,'Same Seller Hist'!E:E)</f>
        <v>1226196647</v>
      </c>
      <c r="D232" s="5" t="str">
        <f>_xlfn.XLOOKUP(F232,'Same Seller Hist'!H:H,'Same Seller Hist'!D:D)</f>
        <v>CECILIA PRESENTE</v>
      </c>
      <c r="E232" s="5">
        <f>_xlfn.XLOOKUP(F232,'Same Seller Hist'!H:H,'Same Seller Hist'!I:I)</f>
        <v>7.4941813792897403E+18</v>
      </c>
      <c r="F232" s="5" t="s">
        <v>854</v>
      </c>
      <c r="G232" s="5">
        <f>_xlfn.XLOOKUP(C232,'Same Seller Hist'!E:E,'Same Seller Hist'!F:F)</f>
        <v>0</v>
      </c>
      <c r="H232" s="19">
        <f>_xlfn.IFNA(_xlfn.XLOOKUP(C232,'Shp 500'!D:D,'Shp 500'!I:I),0)</f>
        <v>0</v>
      </c>
      <c r="I232" s="19">
        <f>_xlfn.IFNA(_xlfn.XLOOKUP(C232,'Shp 500'!D:D,'Shp 500'!J:J),0)</f>
        <v>0</v>
      </c>
      <c r="J232" s="19">
        <v>587.09677419354841</v>
      </c>
      <c r="K232" s="19">
        <v>16874.193548387098</v>
      </c>
      <c r="L232" s="21" t="s">
        <v>2530</v>
      </c>
      <c r="M232" s="21" t="str">
        <f>IF(L232="Shp 500","Sim",IF(ISNA(_xlfn.XLOOKUP(C232,'Shp 500'!D:D,'Shp 500'!D:D)),"Não","Sim"))</f>
        <v>Não</v>
      </c>
      <c r="N232" s="21" t="str">
        <f>IF(L232="Fastmoss 500","Sim",IF(ISNA(_xlfn.XLOOKUP(_xlfn.XLOOKUP(C232,'Same Seller Hist'!E:E,'Same Seller Hist'!H:H),'Fastmoss 500'!D:D,'Fastmoss 500'!D:D)),"Não","Sim"))</f>
        <v>Sim</v>
      </c>
      <c r="O232" s="21" t="str">
        <f>IF(AND(M232="Sim",N232="Sim"),"Sim","Não")</f>
        <v>Não</v>
      </c>
      <c r="P232" s="21" t="str">
        <f>IF(I232&gt;K232,"Sim","Não")</f>
        <v>Não</v>
      </c>
      <c r="Q232" s="21">
        <f>COUNTIFS(C:C,C232)</f>
        <v>1</v>
      </c>
    </row>
    <row r="233" spans="3:17" hidden="1" x14ac:dyDescent="0.35">
      <c r="C233" s="5">
        <f>_xlfn.XLOOKUP(F233,'Same Seller Hist'!H:H,'Same Seller Hist'!E:E)</f>
        <v>1600146163</v>
      </c>
      <c r="D233" s="5" t="str">
        <f>_xlfn.XLOOKUP(F233,'Same Seller Hist'!H:H,'Same Seller Hist'!D:D)</f>
        <v>JADE COSMÉTICOS</v>
      </c>
      <c r="E233" s="5">
        <f>_xlfn.XLOOKUP(F233,'Same Seller Hist'!H:H,'Same Seller Hist'!I:I)</f>
        <v>7.4963223822983096E+18</v>
      </c>
      <c r="F233" s="5" t="s">
        <v>336</v>
      </c>
      <c r="G233" s="5" t="str">
        <f>_xlfn.XLOOKUP(C233,'Same Seller Hist'!E:E,'Same Seller Hist'!F:F)</f>
        <v>FMCG</v>
      </c>
      <c r="H233" s="19">
        <f>_xlfn.IFNA(_xlfn.XLOOKUP(C233,'Shp 500'!D:D,'Shp 500'!I:I),0)</f>
        <v>0</v>
      </c>
      <c r="I233" s="19">
        <f>_xlfn.IFNA(_xlfn.XLOOKUP(C233,'Shp 500'!D:D,'Shp 500'!J:J),0)</f>
        <v>0</v>
      </c>
      <c r="J233" s="19">
        <v>583.87096774193549</v>
      </c>
      <c r="K233" s="19">
        <v>26667.741935483871</v>
      </c>
      <c r="L233" s="21" t="s">
        <v>2530</v>
      </c>
      <c r="M233" s="21" t="str">
        <f>IF(L233="Shp 500","Sim",IF(ISNA(_xlfn.XLOOKUP(C233,'Shp 500'!D:D,'Shp 500'!D:D)),"Não","Sim"))</f>
        <v>Não</v>
      </c>
      <c r="N233" s="21" t="str">
        <f>IF(L233="Fastmoss 500","Sim",IF(ISNA(_xlfn.XLOOKUP(_xlfn.XLOOKUP(C233,'Same Seller Hist'!E:E,'Same Seller Hist'!H:H),'Fastmoss 500'!D:D,'Fastmoss 500'!D:D)),"Não","Sim"))</f>
        <v>Sim</v>
      </c>
      <c r="O233" s="21" t="str">
        <f>IF(AND(M233="Sim",N233="Sim"),"Sim","Não")</f>
        <v>Não</v>
      </c>
      <c r="P233" s="21" t="str">
        <f>IF(I233&gt;K233,"Sim","Não")</f>
        <v>Não</v>
      </c>
      <c r="Q233" s="21">
        <f>COUNTIFS(C:C,C233)</f>
        <v>1</v>
      </c>
    </row>
    <row r="234" spans="3:17" hidden="1" x14ac:dyDescent="0.35">
      <c r="C234" s="5">
        <f>_xlfn.XLOOKUP(F234,'Same Seller Hist'!H:H,'Same Seller Hist'!E:E)</f>
        <v>1017564998</v>
      </c>
      <c r="D234" s="5" t="str">
        <f>_xlfn.XLOOKUP(F234,'Same Seller Hist'!H:H,'Same Seller Hist'!D:D)</f>
        <v>YIYI MODA</v>
      </c>
      <c r="E234" s="5">
        <f>_xlfn.XLOOKUP(F234,'Same Seller Hist'!H:H,'Same Seller Hist'!I:I)</f>
        <v>7.49615188358912E+18</v>
      </c>
      <c r="F234" s="5" t="s">
        <v>54</v>
      </c>
      <c r="G234" s="5" t="str">
        <f>_xlfn.XLOOKUP(C234,'Same Seller Hist'!E:E,'Same Seller Hist'!F:F)</f>
        <v>Lifestyle</v>
      </c>
      <c r="H234" s="19">
        <f>_xlfn.IFNA(_xlfn.XLOOKUP(C234,'Shp 500'!D:D,'Shp 500'!I:I),0)</f>
        <v>0</v>
      </c>
      <c r="I234" s="19">
        <f>_xlfn.IFNA(_xlfn.XLOOKUP(C234,'Shp 500'!D:D,'Shp 500'!J:J),0)</f>
        <v>0</v>
      </c>
      <c r="J234" s="19">
        <v>574.19354838709683</v>
      </c>
      <c r="K234" s="19">
        <v>26151.612903225807</v>
      </c>
      <c r="L234" s="21" t="s">
        <v>2530</v>
      </c>
      <c r="M234" s="21" t="str">
        <f>IF(L234="Shp 500","Sim",IF(ISNA(_xlfn.XLOOKUP(C234,'Shp 500'!D:D,'Shp 500'!D:D)),"Não","Sim"))</f>
        <v>Não</v>
      </c>
      <c r="N234" s="21" t="str">
        <f>IF(L234="Fastmoss 500","Sim",IF(ISNA(_xlfn.XLOOKUP(_xlfn.XLOOKUP(C234,'Same Seller Hist'!E:E,'Same Seller Hist'!H:H),'Fastmoss 500'!D:D,'Fastmoss 500'!D:D)),"Não","Sim"))</f>
        <v>Sim</v>
      </c>
      <c r="O234" s="21" t="str">
        <f>IF(AND(M234="Sim",N234="Sim"),"Sim","Não")</f>
        <v>Não</v>
      </c>
      <c r="P234" s="21" t="str">
        <f>IF(I234&gt;K234,"Sim","Não")</f>
        <v>Não</v>
      </c>
      <c r="Q234" s="21">
        <f>COUNTIFS(C:C,C234)</f>
        <v>1</v>
      </c>
    </row>
    <row r="235" spans="3:17" hidden="1" x14ac:dyDescent="0.35">
      <c r="C235" s="5">
        <f>_xlfn.XLOOKUP(F235,'Same Seller Hist'!H:H,'Same Seller Hist'!E:E)</f>
        <v>395166866</v>
      </c>
      <c r="D235" s="5" t="str">
        <f>_xlfn.XLOOKUP(F235,'Same Seller Hist'!H:H,'Same Seller Hist'!D:D)</f>
        <v>KOKESHI COSMETICOS</v>
      </c>
      <c r="E235" s="5">
        <f>_xlfn.XLOOKUP(F235,'Same Seller Hist'!H:H,'Same Seller Hist'!I:I)</f>
        <v>7.4962047435408998E+18</v>
      </c>
      <c r="F235" s="5" t="s">
        <v>525</v>
      </c>
      <c r="G235" s="5" t="str">
        <f>_xlfn.XLOOKUP(C235,'Same Seller Hist'!E:E,'Same Seller Hist'!F:F)</f>
        <v>FMCG</v>
      </c>
      <c r="H235" s="19">
        <f>_xlfn.IFNA(_xlfn.XLOOKUP(C235,'Shp 500'!D:D,'Shp 500'!I:I),0)</f>
        <v>0</v>
      </c>
      <c r="I235" s="19">
        <f>_xlfn.IFNA(_xlfn.XLOOKUP(C235,'Shp 500'!D:D,'Shp 500'!J:J),0)</f>
        <v>0</v>
      </c>
      <c r="J235" s="19">
        <v>570.9677419354839</v>
      </c>
      <c r="K235" s="19">
        <v>25664.516129032258</v>
      </c>
      <c r="L235" s="21" t="s">
        <v>2530</v>
      </c>
      <c r="M235" s="21" t="str">
        <f>IF(L235="Shp 500","Sim",IF(ISNA(_xlfn.XLOOKUP(C235,'Shp 500'!D:D,'Shp 500'!D:D)),"Não","Sim"))</f>
        <v>Não</v>
      </c>
      <c r="N235" s="21" t="str">
        <f>IF(L235="Fastmoss 500","Sim",IF(ISNA(_xlfn.XLOOKUP(_xlfn.XLOOKUP(C235,'Same Seller Hist'!E:E,'Same Seller Hist'!H:H),'Fastmoss 500'!D:D,'Fastmoss 500'!D:D)),"Não","Sim"))</f>
        <v>Sim</v>
      </c>
      <c r="O235" s="21" t="str">
        <f>IF(AND(M235="Sim",N235="Sim"),"Sim","Não")</f>
        <v>Não</v>
      </c>
      <c r="P235" s="21" t="str">
        <f>IF(I235&gt;K235,"Sim","Não")</f>
        <v>Não</v>
      </c>
      <c r="Q235" s="21">
        <f>COUNTIFS(C:C,C235)</f>
        <v>1</v>
      </c>
    </row>
    <row r="236" spans="3:17" hidden="1" x14ac:dyDescent="0.35">
      <c r="C236" s="5">
        <f>_xlfn.XLOOKUP(F236,'Same Seller Hist'!H:H,'Same Seller Hist'!E:E)</f>
        <v>331042174</v>
      </c>
      <c r="D236" s="5" t="str">
        <f>_xlfn.XLOOKUP(F236,'Same Seller Hist'!H:H,'Same Seller Hist'!D:D)</f>
        <v>Xavierabolsa</v>
      </c>
      <c r="E236" s="5">
        <f>_xlfn.XLOOKUP(F236,'Same Seller Hist'!H:H,'Same Seller Hist'!I:I)</f>
        <v>7.4961616062722499E+18</v>
      </c>
      <c r="F236" s="5" t="s">
        <v>435</v>
      </c>
      <c r="G236" s="5" t="str">
        <f>_xlfn.XLOOKUP(C236,'Same Seller Hist'!E:E,'Same Seller Hist'!F:F)</f>
        <v>Fashion</v>
      </c>
      <c r="H236" s="19">
        <f>_xlfn.IFNA(_xlfn.XLOOKUP(C236,'Shp 500'!D:D,'Shp 500'!I:I),0)</f>
        <v>0</v>
      </c>
      <c r="I236" s="19">
        <f>_xlfn.IFNA(_xlfn.XLOOKUP(C236,'Shp 500'!D:D,'Shp 500'!J:J),0)</f>
        <v>0</v>
      </c>
      <c r="J236" s="19">
        <v>570.9677419354839</v>
      </c>
      <c r="K236" s="19">
        <v>58064.516129032258</v>
      </c>
      <c r="L236" s="21" t="s">
        <v>2530</v>
      </c>
      <c r="M236" s="21" t="str">
        <f>IF(L236="Shp 500","Sim",IF(ISNA(_xlfn.XLOOKUP(C236,'Shp 500'!D:D,'Shp 500'!D:D)),"Não","Sim"))</f>
        <v>Não</v>
      </c>
      <c r="N236" s="21" t="str">
        <f>IF(L236="Fastmoss 500","Sim",IF(ISNA(_xlfn.XLOOKUP(_xlfn.XLOOKUP(C236,'Same Seller Hist'!E:E,'Same Seller Hist'!H:H),'Fastmoss 500'!D:D,'Fastmoss 500'!D:D)),"Não","Sim"))</f>
        <v>Sim</v>
      </c>
      <c r="O236" s="21" t="str">
        <f>IF(AND(M236="Sim",N236="Sim"),"Sim","Não")</f>
        <v>Não</v>
      </c>
      <c r="P236" s="21" t="str">
        <f>IF(I236&gt;K236,"Sim","Não")</f>
        <v>Não</v>
      </c>
      <c r="Q236" s="21">
        <f>COUNTIFS(C:C,C236)</f>
        <v>1</v>
      </c>
    </row>
    <row r="237" spans="3:17" x14ac:dyDescent="0.35">
      <c r="C237" s="5">
        <f>_xlfn.XLOOKUP(F237,'Same Seller Hist'!H:H,'Same Seller Hist'!E:E)</f>
        <v>1025824477</v>
      </c>
      <c r="D237" s="5" t="str">
        <f>_xlfn.XLOOKUP(F237,'Same Seller Hist'!H:H,'Same Seller Hist'!D:D)</f>
        <v>YUMI CELL BR</v>
      </c>
      <c r="E237" s="5">
        <f>_xlfn.XLOOKUP(F237,'Same Seller Hist'!H:H,'Same Seller Hist'!I:I)</f>
        <v>7.4941815193772698E+18</v>
      </c>
      <c r="F237" s="5" t="s">
        <v>60</v>
      </c>
      <c r="G237" s="5" t="str">
        <f>_xlfn.XLOOKUP(C237,'Same Seller Hist'!E:E,'Same Seller Hist'!F:F)</f>
        <v>FMCG</v>
      </c>
      <c r="H237" s="19">
        <f>_xlfn.IFNA(_xlfn.XLOOKUP(C237,'Shp 500'!D:D,'Shp 500'!I:I),0)</f>
        <v>3297.7741935483873</v>
      </c>
      <c r="I237" s="19">
        <f>_xlfn.IFNA(_xlfn.XLOOKUP(C237,'Shp 500'!D:D,'Shp 500'!J:J),0)</f>
        <v>25555.054528622935</v>
      </c>
      <c r="J237" s="19">
        <v>235.48387096774192</v>
      </c>
      <c r="K237" s="19">
        <v>17706.451612903227</v>
      </c>
      <c r="L237" s="21" t="s">
        <v>2530</v>
      </c>
      <c r="M237" s="21" t="str">
        <f>IF(L237="Shp 500","Sim",IF(ISNA(_xlfn.XLOOKUP(C237,'Shp 500'!D:D,'Shp 500'!D:D)),"Não","Sim"))</f>
        <v>Sim</v>
      </c>
      <c r="N237" s="21" t="str">
        <f>IF(L237="Fastmoss 500","Sim",IF(ISNA(_xlfn.XLOOKUP(_xlfn.XLOOKUP(C237,'Same Seller Hist'!E:E,'Same Seller Hist'!H:H),'Fastmoss 500'!D:D,'Fastmoss 500'!D:D)),"Não","Sim"))</f>
        <v>Sim</v>
      </c>
      <c r="O237" s="21" t="str">
        <f>IF(AND(M237="Sim",N237="Sim"),"Sim","Não")</f>
        <v>Sim</v>
      </c>
      <c r="P237" s="21" t="str">
        <f>IF(I237&gt;K237,"Sim","Não")</f>
        <v>Sim</v>
      </c>
      <c r="Q237" s="21">
        <f>COUNTIFS(C:C,C237)</f>
        <v>2</v>
      </c>
    </row>
    <row r="238" spans="3:17" hidden="1" x14ac:dyDescent="0.35">
      <c r="C238" s="5">
        <f>_xlfn.XLOOKUP(F238,'Same Seller Hist'!H:H,'Same Seller Hist'!E:E)</f>
        <v>667607022</v>
      </c>
      <c r="D238" s="5" t="str">
        <f>_xlfn.XLOOKUP(F238,'Same Seller Hist'!H:H,'Same Seller Hist'!D:D)</f>
        <v>Llili Decorações</v>
      </c>
      <c r="E238" s="5">
        <f>_xlfn.XLOOKUP(F238,'Same Seller Hist'!H:H,'Same Seller Hist'!I:I)</f>
        <v>7.4941829785092997E+18</v>
      </c>
      <c r="F238" s="5" t="s">
        <v>875</v>
      </c>
      <c r="G238" s="5">
        <f>_xlfn.XLOOKUP(C238,'Same Seller Hist'!E:E,'Same Seller Hist'!F:F)</f>
        <v>0</v>
      </c>
      <c r="H238" s="19">
        <f>_xlfn.IFNA(_xlfn.XLOOKUP(C238,'Shp 500'!D:D,'Shp 500'!I:I),0)</f>
        <v>0</v>
      </c>
      <c r="I238" s="19">
        <f>_xlfn.IFNA(_xlfn.XLOOKUP(C238,'Shp 500'!D:D,'Shp 500'!J:J),0)</f>
        <v>0</v>
      </c>
      <c r="J238" s="19">
        <v>558.06451612903231</v>
      </c>
      <c r="K238" s="19">
        <v>19870.967741935485</v>
      </c>
      <c r="L238" s="21" t="s">
        <v>2530</v>
      </c>
      <c r="M238" s="21" t="str">
        <f>IF(L238="Shp 500","Sim",IF(ISNA(_xlfn.XLOOKUP(C238,'Shp 500'!D:D,'Shp 500'!D:D)),"Não","Sim"))</f>
        <v>Não</v>
      </c>
      <c r="N238" s="21" t="str">
        <f>IF(L238="Fastmoss 500","Sim",IF(ISNA(_xlfn.XLOOKUP(_xlfn.XLOOKUP(C238,'Same Seller Hist'!E:E,'Same Seller Hist'!H:H),'Fastmoss 500'!D:D,'Fastmoss 500'!D:D)),"Não","Sim"))</f>
        <v>Sim</v>
      </c>
      <c r="O238" s="21" t="str">
        <f>IF(AND(M238="Sim",N238="Sim"),"Sim","Não")</f>
        <v>Não</v>
      </c>
      <c r="P238" s="21" t="str">
        <f>IF(I238&gt;K238,"Sim","Não")</f>
        <v>Não</v>
      </c>
      <c r="Q238" s="21">
        <f>COUNTIFS(C:C,C238)</f>
        <v>1</v>
      </c>
    </row>
    <row r="239" spans="3:17" hidden="1" x14ac:dyDescent="0.35">
      <c r="C239" s="5">
        <f>_xlfn.XLOOKUP(F239,'Same Seller Hist'!H:H,'Same Seller Hist'!E:E)</f>
        <v>1188165400</v>
      </c>
      <c r="D239" s="5" t="str">
        <f>_xlfn.XLOOKUP(F239,'Same Seller Hist'!H:H,'Same Seller Hist'!D:D)</f>
        <v>Maxfem</v>
      </c>
      <c r="E239" s="5">
        <f>_xlfn.XLOOKUP(F239,'Same Seller Hist'!H:H,'Same Seller Hist'!I:I)</f>
        <v>7.49614824102733E+18</v>
      </c>
      <c r="F239" s="5" t="s">
        <v>145</v>
      </c>
      <c r="G239" s="5" t="str">
        <f>_xlfn.XLOOKUP(C239,'Same Seller Hist'!E:E,'Same Seller Hist'!F:F)</f>
        <v>FMCG</v>
      </c>
      <c r="H239" s="19">
        <f>_xlfn.IFNA(_xlfn.XLOOKUP(C239,'Shp 500'!D:D,'Shp 500'!I:I),0)</f>
        <v>0</v>
      </c>
      <c r="I239" s="19">
        <f>_xlfn.IFNA(_xlfn.XLOOKUP(C239,'Shp 500'!D:D,'Shp 500'!J:J),0)</f>
        <v>0</v>
      </c>
      <c r="J239" s="19">
        <v>545.16129032258061</v>
      </c>
      <c r="K239" s="19">
        <v>61290.322580645159</v>
      </c>
      <c r="L239" s="21" t="s">
        <v>2530</v>
      </c>
      <c r="M239" s="21" t="str">
        <f>IF(L239="Shp 500","Sim",IF(ISNA(_xlfn.XLOOKUP(C239,'Shp 500'!D:D,'Shp 500'!D:D)),"Não","Sim"))</f>
        <v>Não</v>
      </c>
      <c r="N239" s="21" t="str">
        <f>IF(L239="Fastmoss 500","Sim",IF(ISNA(_xlfn.XLOOKUP(_xlfn.XLOOKUP(C239,'Same Seller Hist'!E:E,'Same Seller Hist'!H:H),'Fastmoss 500'!D:D,'Fastmoss 500'!D:D)),"Não","Sim"))</f>
        <v>Sim</v>
      </c>
      <c r="O239" s="21" t="str">
        <f>IF(AND(M239="Sim",N239="Sim"),"Sim","Não")</f>
        <v>Não</v>
      </c>
      <c r="P239" s="21" t="str">
        <f>IF(I239&gt;K239,"Sim","Não")</f>
        <v>Não</v>
      </c>
      <c r="Q239" s="21">
        <f>COUNTIFS(C:C,C239)</f>
        <v>1</v>
      </c>
    </row>
    <row r="240" spans="3:17" hidden="1" x14ac:dyDescent="0.35">
      <c r="C240" s="5">
        <f>_xlfn.XLOOKUP(F240,'Same Seller Hist'!H:H,'Same Seller Hist'!E:E)</f>
        <v>411368149</v>
      </c>
      <c r="D240" s="5" t="str">
        <f>_xlfn.XLOOKUP(F240,'Same Seller Hist'!H:H,'Same Seller Hist'!D:D)</f>
        <v>Armazemdoschinelos</v>
      </c>
      <c r="E240" s="5">
        <f>_xlfn.XLOOKUP(F240,'Same Seller Hist'!H:H,'Same Seller Hist'!I:I)</f>
        <v>7.4961816788937298E+18</v>
      </c>
      <c r="F240" s="5" t="s">
        <v>548</v>
      </c>
      <c r="G240" s="5" t="str">
        <f>_xlfn.XLOOKUP(C240,'Same Seller Hist'!E:E,'Same Seller Hist'!F:F)</f>
        <v>Fashion</v>
      </c>
      <c r="H240" s="19">
        <f>_xlfn.IFNA(_xlfn.XLOOKUP(C240,'Shp 500'!D:D,'Shp 500'!I:I),0)</f>
        <v>0</v>
      </c>
      <c r="I240" s="19">
        <f>_xlfn.IFNA(_xlfn.XLOOKUP(C240,'Shp 500'!D:D,'Shp 500'!J:J),0)</f>
        <v>0</v>
      </c>
      <c r="J240" s="19">
        <v>541.93548387096769</v>
      </c>
      <c r="K240" s="19">
        <v>45161.290322580644</v>
      </c>
      <c r="L240" s="21" t="s">
        <v>2530</v>
      </c>
      <c r="M240" s="21" t="str">
        <f>IF(L240="Shp 500","Sim",IF(ISNA(_xlfn.XLOOKUP(C240,'Shp 500'!D:D,'Shp 500'!D:D)),"Não","Sim"))</f>
        <v>Não</v>
      </c>
      <c r="N240" s="21" t="str">
        <f>IF(L240="Fastmoss 500","Sim",IF(ISNA(_xlfn.XLOOKUP(_xlfn.XLOOKUP(C240,'Same Seller Hist'!E:E,'Same Seller Hist'!H:H),'Fastmoss 500'!D:D,'Fastmoss 500'!D:D)),"Não","Sim"))</f>
        <v>Sim</v>
      </c>
      <c r="O240" s="21" t="str">
        <f>IF(AND(M240="Sim",N240="Sim"),"Sim","Não")</f>
        <v>Não</v>
      </c>
      <c r="P240" s="21" t="str">
        <f>IF(I240&gt;K240,"Sim","Não")</f>
        <v>Não</v>
      </c>
      <c r="Q240" s="21">
        <f>COUNTIFS(C:C,C240)</f>
        <v>1</v>
      </c>
    </row>
    <row r="241" spans="3:17" x14ac:dyDescent="0.35">
      <c r="C241" s="5">
        <v>1041517511</v>
      </c>
      <c r="D241" s="5" t="s">
        <v>1393</v>
      </c>
      <c r="E241" s="5">
        <f>_xlfn.XLOOKUP(C241,'Same Seller Hist'!E:E,'Same Seller Hist'!I:I)</f>
        <v>7.4961600500250399E+18</v>
      </c>
      <c r="F241" s="5" t="str">
        <f>_xlfn.XLOOKUP(C241,'Same Seller Hist'!E:E,'Same Seller Hist'!H:H)</f>
        <v>Tang Lar &amp; Estilo</v>
      </c>
      <c r="G241" s="5" t="s">
        <v>1734</v>
      </c>
      <c r="H241" s="19">
        <v>1645.2903225806419</v>
      </c>
      <c r="I241" s="19">
        <v>14495.394868245807</v>
      </c>
      <c r="J241" s="19">
        <f>_xlfn.IFNA(_xlfn.XLOOKUP(F241,'Fastmoss 500'!D:D,'Fastmoss 500'!O:O),0)</f>
        <v>706.45161290322585</v>
      </c>
      <c r="K241" s="19">
        <f>_xlfn.IFNA(_xlfn.XLOOKUP(F241,'Fastmoss 500'!D:D,'Fastmoss 500'!N:N),0)</f>
        <v>18312.903225806451</v>
      </c>
      <c r="L241" s="21" t="s">
        <v>2528</v>
      </c>
      <c r="M241" s="21" t="str">
        <f>IF(L241="Shp 500","Sim",IF(ISNA(_xlfn.XLOOKUP(C241,'Shp 500'!D:D,'Shp 500'!D:D)),"Não","Sim"))</f>
        <v>Sim</v>
      </c>
      <c r="N241" s="21" t="str">
        <f>IF(L241="Fastmoss 500","Sim",IF(ISNA(_xlfn.XLOOKUP(_xlfn.XLOOKUP(C241,'Same Seller Hist'!E:E,'Same Seller Hist'!H:H),'Fastmoss 500'!D:D,'Fastmoss 500'!D:D)),"Não","Sim"))</f>
        <v>Sim</v>
      </c>
      <c r="O241" s="21" t="str">
        <f>IF(AND(M241="Sim",N241="Sim"),"Sim","Não")</f>
        <v>Sim</v>
      </c>
      <c r="P241" s="21" t="str">
        <f>IF(I241&gt;K241,"Sim","Não")</f>
        <v>Não</v>
      </c>
      <c r="Q241" s="21">
        <f>COUNTIFS(C:C,C241)</f>
        <v>2</v>
      </c>
    </row>
    <row r="242" spans="3:17" hidden="1" x14ac:dyDescent="0.35">
      <c r="C242" s="5">
        <f>_xlfn.XLOOKUP(F242,'Same Seller Hist'!H:H,'Same Seller Hist'!E:E)</f>
        <v>427237722</v>
      </c>
      <c r="D242" s="5" t="str">
        <f>_xlfn.XLOOKUP(F242,'Same Seller Hist'!H:H,'Same Seller Hist'!D:D)</f>
        <v>Soul Bom</v>
      </c>
      <c r="E242" s="5">
        <f>_xlfn.XLOOKUP(F242,'Same Seller Hist'!H:H,'Same Seller Hist'!I:I)</f>
        <v>7.4961818505102295E+18</v>
      </c>
      <c r="F242" s="5" t="s">
        <v>565</v>
      </c>
      <c r="G242" s="5" t="str">
        <f>_xlfn.XLOOKUP(C242,'Same Seller Hist'!E:E,'Same Seller Hist'!F:F)</f>
        <v>FMCG</v>
      </c>
      <c r="H242" s="19">
        <f>_xlfn.IFNA(_xlfn.XLOOKUP(C242,'Shp 500'!D:D,'Shp 500'!I:I),0)</f>
        <v>0</v>
      </c>
      <c r="I242" s="19">
        <f>_xlfn.IFNA(_xlfn.XLOOKUP(C242,'Shp 500'!D:D,'Shp 500'!J:J),0)</f>
        <v>0</v>
      </c>
      <c r="J242" s="19">
        <v>525.80645161290317</v>
      </c>
      <c r="K242" s="19">
        <v>14809.677419354839</v>
      </c>
      <c r="L242" s="21" t="s">
        <v>2530</v>
      </c>
      <c r="M242" s="21" t="str">
        <f>IF(L242="Shp 500","Sim",IF(ISNA(_xlfn.XLOOKUP(C242,'Shp 500'!D:D,'Shp 500'!D:D)),"Não","Sim"))</f>
        <v>Não</v>
      </c>
      <c r="N242" s="21" t="str">
        <f>IF(L242="Fastmoss 500","Sim",IF(ISNA(_xlfn.XLOOKUP(_xlfn.XLOOKUP(C242,'Same Seller Hist'!E:E,'Same Seller Hist'!H:H),'Fastmoss 500'!D:D,'Fastmoss 500'!D:D)),"Não","Sim"))</f>
        <v>Sim</v>
      </c>
      <c r="O242" s="21" t="str">
        <f>IF(AND(M242="Sim",N242="Sim"),"Sim","Não")</f>
        <v>Não</v>
      </c>
      <c r="P242" s="21" t="str">
        <f>IF(I242&gt;K242,"Sim","Não")</f>
        <v>Não</v>
      </c>
      <c r="Q242" s="21">
        <f>COUNTIFS(C:C,C242)</f>
        <v>1</v>
      </c>
    </row>
    <row r="243" spans="3:17" hidden="1" x14ac:dyDescent="0.35">
      <c r="C243" s="5">
        <f>_xlfn.XLOOKUP(F243,'Same Seller Hist'!H:H,'Same Seller Hist'!E:E)</f>
        <v>531238819</v>
      </c>
      <c r="D243" s="5" t="str">
        <f>_xlfn.XLOOKUP(F243,'Same Seller Hist'!H:H,'Same Seller Hist'!D:D)</f>
        <v>ColorfulDreams</v>
      </c>
      <c r="E243" s="5">
        <f>_xlfn.XLOOKUP(F243,'Same Seller Hist'!H:H,'Same Seller Hist'!I:I)</f>
        <v>7.49618341806575E+18</v>
      </c>
      <c r="F243" s="5" t="s">
        <v>623</v>
      </c>
      <c r="G243" s="5" t="str">
        <f>_xlfn.XLOOKUP(C243,'Same Seller Hist'!E:E,'Same Seller Hist'!F:F)</f>
        <v>ELHA</v>
      </c>
      <c r="H243" s="19">
        <f>_xlfn.IFNA(_xlfn.XLOOKUP(C243,'Shp 500'!D:D,'Shp 500'!I:I),0)</f>
        <v>0</v>
      </c>
      <c r="I243" s="19">
        <f>_xlfn.IFNA(_xlfn.XLOOKUP(C243,'Shp 500'!D:D,'Shp 500'!J:J),0)</f>
        <v>0</v>
      </c>
      <c r="J243" s="19">
        <v>509.67741935483872</v>
      </c>
      <c r="K243" s="19">
        <v>16961.290322580644</v>
      </c>
      <c r="L243" s="21" t="s">
        <v>2530</v>
      </c>
      <c r="M243" s="21" t="str">
        <f>IF(L243="Shp 500","Sim",IF(ISNA(_xlfn.XLOOKUP(C243,'Shp 500'!D:D,'Shp 500'!D:D)),"Não","Sim"))</f>
        <v>Não</v>
      </c>
      <c r="N243" s="21" t="str">
        <f>IF(L243="Fastmoss 500","Sim",IF(ISNA(_xlfn.XLOOKUP(_xlfn.XLOOKUP(C243,'Same Seller Hist'!E:E,'Same Seller Hist'!H:H),'Fastmoss 500'!D:D,'Fastmoss 500'!D:D)),"Não","Sim"))</f>
        <v>Sim</v>
      </c>
      <c r="O243" s="21" t="str">
        <f>IF(AND(M243="Sim",N243="Sim"),"Sim","Não")</f>
        <v>Não</v>
      </c>
      <c r="P243" s="21" t="str">
        <f>IF(I243&gt;K243,"Sim","Não")</f>
        <v>Não</v>
      </c>
      <c r="Q243" s="21">
        <f>COUNTIFS(C:C,C243)</f>
        <v>1</v>
      </c>
    </row>
    <row r="244" spans="3:17" hidden="1" x14ac:dyDescent="0.35">
      <c r="C244" s="5">
        <f>_xlfn.XLOOKUP(F244,'Same Seller Hist'!H:H,'Same Seller Hist'!E:E)</f>
        <v>1058502061</v>
      </c>
      <c r="D244" s="5" t="str">
        <f>_xlfn.XLOOKUP(F244,'Same Seller Hist'!H:H,'Same Seller Hist'!D:D)</f>
        <v>Nadin Modas</v>
      </c>
      <c r="E244" s="5">
        <f>_xlfn.XLOOKUP(F244,'Same Seller Hist'!H:H,'Same Seller Hist'!I:I)</f>
        <v>7.49618330267789E+18</v>
      </c>
      <c r="F244" s="5" t="s">
        <v>84</v>
      </c>
      <c r="G244" s="5" t="str">
        <f>_xlfn.XLOOKUP(C244,'Same Seller Hist'!E:E,'Same Seller Hist'!F:F)</f>
        <v>Fashion</v>
      </c>
      <c r="H244" s="19">
        <f>_xlfn.IFNA(_xlfn.XLOOKUP(C244,'Shp 500'!D:D,'Shp 500'!I:I),0)</f>
        <v>0</v>
      </c>
      <c r="I244" s="19">
        <f>_xlfn.IFNA(_xlfn.XLOOKUP(C244,'Shp 500'!D:D,'Shp 500'!J:J),0)</f>
        <v>0</v>
      </c>
      <c r="J244" s="19">
        <v>509.67741935483872</v>
      </c>
      <c r="K244" s="19">
        <v>23983.870967741936</v>
      </c>
      <c r="L244" s="21" t="s">
        <v>2530</v>
      </c>
      <c r="M244" s="21" t="str">
        <f>IF(L244="Shp 500","Sim",IF(ISNA(_xlfn.XLOOKUP(C244,'Shp 500'!D:D,'Shp 500'!D:D)),"Não","Sim"))</f>
        <v>Não</v>
      </c>
      <c r="N244" s="21" t="str">
        <f>IF(L244="Fastmoss 500","Sim",IF(ISNA(_xlfn.XLOOKUP(_xlfn.XLOOKUP(C244,'Same Seller Hist'!E:E,'Same Seller Hist'!H:H),'Fastmoss 500'!D:D,'Fastmoss 500'!D:D)),"Não","Sim"))</f>
        <v>Sim</v>
      </c>
      <c r="O244" s="21" t="str">
        <f>IF(AND(M244="Sim",N244="Sim"),"Sim","Não")</f>
        <v>Não</v>
      </c>
      <c r="P244" s="21" t="str">
        <f>IF(I244&gt;K244,"Sim","Não")</f>
        <v>Não</v>
      </c>
      <c r="Q244" s="21">
        <f>COUNTIFS(C:C,C244)</f>
        <v>1</v>
      </c>
    </row>
    <row r="245" spans="3:17" hidden="1" x14ac:dyDescent="0.35">
      <c r="C245" s="5">
        <f>_xlfn.XLOOKUP(F245,'Same Seller Hist'!H:H,'Same Seller Hist'!E:E)</f>
        <v>1266325318</v>
      </c>
      <c r="D245" s="5" t="str">
        <f>_xlfn.XLOOKUP(F245,'Same Seller Hist'!H:H,'Same Seller Hist'!D:D)</f>
        <v>Attracione Men</v>
      </c>
      <c r="E245" s="5">
        <f>_xlfn.XLOOKUP(F245,'Same Seller Hist'!H:H,'Same Seller Hist'!I:I)</f>
        <v>7.4962052732305101E+18</v>
      </c>
      <c r="F245" s="5" t="s">
        <v>183</v>
      </c>
      <c r="G245" s="5" t="str">
        <f>_xlfn.XLOOKUP(C245,'Same Seller Hist'!E:E,'Same Seller Hist'!F:F)</f>
        <v>FMCG</v>
      </c>
      <c r="H245" s="19">
        <f>_xlfn.IFNA(_xlfn.XLOOKUP(C245,'Shp 500'!D:D,'Shp 500'!I:I),0)</f>
        <v>0</v>
      </c>
      <c r="I245" s="19">
        <f>_xlfn.IFNA(_xlfn.XLOOKUP(C245,'Shp 500'!D:D,'Shp 500'!J:J),0)</f>
        <v>0</v>
      </c>
      <c r="J245" s="19">
        <v>509.67741935483872</v>
      </c>
      <c r="K245" s="19">
        <v>54838.709677419356</v>
      </c>
      <c r="L245" s="21" t="s">
        <v>2530</v>
      </c>
      <c r="M245" s="21" t="str">
        <f>IF(L245="Shp 500","Sim",IF(ISNA(_xlfn.XLOOKUP(C245,'Shp 500'!D:D,'Shp 500'!D:D)),"Não","Sim"))</f>
        <v>Não</v>
      </c>
      <c r="N245" s="21" t="str">
        <f>IF(L245="Fastmoss 500","Sim",IF(ISNA(_xlfn.XLOOKUP(_xlfn.XLOOKUP(C245,'Same Seller Hist'!E:E,'Same Seller Hist'!H:H),'Fastmoss 500'!D:D,'Fastmoss 500'!D:D)),"Não","Sim"))</f>
        <v>Sim</v>
      </c>
      <c r="O245" s="21" t="str">
        <f>IF(AND(M245="Sim",N245="Sim"),"Sim","Não")</f>
        <v>Não</v>
      </c>
      <c r="P245" s="21" t="str">
        <f>IF(I245&gt;K245,"Sim","Não")</f>
        <v>Não</v>
      </c>
      <c r="Q245" s="21">
        <f>COUNTIFS(C:C,C245)</f>
        <v>1</v>
      </c>
    </row>
    <row r="246" spans="3:17" x14ac:dyDescent="0.35">
      <c r="C246" s="5">
        <f>_xlfn.XLOOKUP(F246,'Same Seller Hist'!H:H,'Same Seller Hist'!E:E)</f>
        <v>1041517511</v>
      </c>
      <c r="D246" s="5" t="str">
        <f>_xlfn.XLOOKUP(F246,'Same Seller Hist'!H:H,'Same Seller Hist'!D:D)</f>
        <v>Tang Lar &amp; Estilo</v>
      </c>
      <c r="E246" s="5">
        <f>_xlfn.XLOOKUP(F246,'Same Seller Hist'!H:H,'Same Seller Hist'!I:I)</f>
        <v>7.4961600500250399E+18</v>
      </c>
      <c r="F246" s="5" t="s">
        <v>69</v>
      </c>
      <c r="G246" s="5" t="str">
        <f>_xlfn.XLOOKUP(C246,'Same Seller Hist'!E:E,'Same Seller Hist'!F:F)</f>
        <v>ELHA</v>
      </c>
      <c r="H246" s="19">
        <f>_xlfn.IFNA(_xlfn.XLOOKUP(C246,'Shp 500'!D:D,'Shp 500'!I:I),0)</f>
        <v>1645.2903225806419</v>
      </c>
      <c r="I246" s="19">
        <f>_xlfn.IFNA(_xlfn.XLOOKUP(C246,'Shp 500'!D:D,'Shp 500'!J:J),0)</f>
        <v>14495.394868245807</v>
      </c>
      <c r="J246" s="19">
        <v>706.45161290322585</v>
      </c>
      <c r="K246" s="19">
        <v>18312.903225806451</v>
      </c>
      <c r="L246" s="21" t="s">
        <v>2530</v>
      </c>
      <c r="M246" s="21" t="str">
        <f>IF(L246="Shp 500","Sim",IF(ISNA(_xlfn.XLOOKUP(C246,'Shp 500'!D:D,'Shp 500'!D:D)),"Não","Sim"))</f>
        <v>Sim</v>
      </c>
      <c r="N246" s="21" t="str">
        <f>IF(L246="Fastmoss 500","Sim",IF(ISNA(_xlfn.XLOOKUP(_xlfn.XLOOKUP(C246,'Same Seller Hist'!E:E,'Same Seller Hist'!H:H),'Fastmoss 500'!D:D,'Fastmoss 500'!D:D)),"Não","Sim"))</f>
        <v>Sim</v>
      </c>
      <c r="O246" s="21" t="str">
        <f>IF(AND(M246="Sim",N246="Sim"),"Sim","Não")</f>
        <v>Sim</v>
      </c>
      <c r="P246" s="21" t="str">
        <f>IF(I246&gt;K246,"Sim","Não")</f>
        <v>Não</v>
      </c>
      <c r="Q246" s="21">
        <f>COUNTIFS(C:C,C246)</f>
        <v>2</v>
      </c>
    </row>
    <row r="247" spans="3:17" hidden="1" x14ac:dyDescent="0.35">
      <c r="C247" s="5">
        <f>_xlfn.XLOOKUP(F247,'Same Seller Hist'!H:H,'Same Seller Hist'!E:E)</f>
        <v>717498842</v>
      </c>
      <c r="D247" s="5" t="str">
        <f>_xlfn.XLOOKUP(F247,'Same Seller Hist'!H:H,'Same Seller Hist'!D:D)</f>
        <v>SU MODA BR</v>
      </c>
      <c r="E247" s="5">
        <f>_xlfn.XLOOKUP(F247,'Same Seller Hist'!H:H,'Same Seller Hist'!I:I)</f>
        <v>7.4961818325127301E+18</v>
      </c>
      <c r="F247" s="5" t="s">
        <v>897</v>
      </c>
      <c r="G247" s="5">
        <f>_xlfn.XLOOKUP(C247,'Same Seller Hist'!E:E,'Same Seller Hist'!F:F)</f>
        <v>0</v>
      </c>
      <c r="H247" s="19">
        <f>_xlfn.IFNA(_xlfn.XLOOKUP(C247,'Shp 500'!D:D,'Shp 500'!I:I),0)</f>
        <v>0</v>
      </c>
      <c r="I247" s="19">
        <f>_xlfn.IFNA(_xlfn.XLOOKUP(C247,'Shp 500'!D:D,'Shp 500'!J:J),0)</f>
        <v>0</v>
      </c>
      <c r="J247" s="19">
        <v>503.22580645161293</v>
      </c>
      <c r="K247" s="19">
        <v>16787.096774193549</v>
      </c>
      <c r="L247" s="21" t="s">
        <v>2530</v>
      </c>
      <c r="M247" s="21" t="str">
        <f>IF(L247="Shp 500","Sim",IF(ISNA(_xlfn.XLOOKUP(C247,'Shp 500'!D:D,'Shp 500'!D:D)),"Não","Sim"))</f>
        <v>Não</v>
      </c>
      <c r="N247" s="21" t="str">
        <f>IF(L247="Fastmoss 500","Sim",IF(ISNA(_xlfn.XLOOKUP(_xlfn.XLOOKUP(C247,'Same Seller Hist'!E:E,'Same Seller Hist'!H:H),'Fastmoss 500'!D:D,'Fastmoss 500'!D:D)),"Não","Sim"))</f>
        <v>Sim</v>
      </c>
      <c r="O247" s="21" t="str">
        <f>IF(AND(M247="Sim",N247="Sim"),"Sim","Não")</f>
        <v>Não</v>
      </c>
      <c r="P247" s="21" t="str">
        <f>IF(I247&gt;K247,"Sim","Não")</f>
        <v>Não</v>
      </c>
      <c r="Q247" s="21">
        <f>COUNTIFS(C:C,C247)</f>
        <v>1</v>
      </c>
    </row>
    <row r="248" spans="3:17" hidden="1" x14ac:dyDescent="0.35">
      <c r="C248" s="5">
        <f>_xlfn.XLOOKUP(F248,'Same Seller Hist'!H:H,'Same Seller Hist'!E:E)</f>
        <v>1559124979</v>
      </c>
      <c r="D248" s="5" t="str">
        <f>_xlfn.XLOOKUP(F248,'Same Seller Hist'!H:H,'Same Seller Hist'!D:D)</f>
        <v>VII.TS shop</v>
      </c>
      <c r="E248" s="5">
        <f>_xlfn.XLOOKUP(F248,'Same Seller Hist'!H:H,'Same Seller Hist'!I:I)</f>
        <v>7.4961976378492498E+18</v>
      </c>
      <c r="F248" s="5" t="s">
        <v>321</v>
      </c>
      <c r="G248" s="5" t="str">
        <f>_xlfn.XLOOKUP(C248,'Same Seller Hist'!E:E,'Same Seller Hist'!F:F)</f>
        <v>Fashion</v>
      </c>
      <c r="H248" s="19">
        <f>_xlfn.IFNA(_xlfn.XLOOKUP(C248,'Shp 500'!D:D,'Shp 500'!I:I),0)</f>
        <v>0</v>
      </c>
      <c r="I248" s="19">
        <f>_xlfn.IFNA(_xlfn.XLOOKUP(C248,'Shp 500'!D:D,'Shp 500'!J:J),0)</f>
        <v>0</v>
      </c>
      <c r="J248" s="19">
        <v>503.22580645161293</v>
      </c>
      <c r="K248" s="19">
        <v>35483.870967741932</v>
      </c>
      <c r="L248" s="21" t="s">
        <v>2530</v>
      </c>
      <c r="M248" s="21" t="str">
        <f>IF(L248="Shp 500","Sim",IF(ISNA(_xlfn.XLOOKUP(C248,'Shp 500'!D:D,'Shp 500'!D:D)),"Não","Sim"))</f>
        <v>Não</v>
      </c>
      <c r="N248" s="21" t="str">
        <f>IF(L248="Fastmoss 500","Sim",IF(ISNA(_xlfn.XLOOKUP(_xlfn.XLOOKUP(C248,'Same Seller Hist'!E:E,'Same Seller Hist'!H:H),'Fastmoss 500'!D:D,'Fastmoss 500'!D:D)),"Não","Sim"))</f>
        <v>Sim</v>
      </c>
      <c r="O248" s="21" t="str">
        <f>IF(AND(M248="Sim",N248="Sim"),"Sim","Não")</f>
        <v>Não</v>
      </c>
      <c r="P248" s="21" t="str">
        <f>IF(I248&gt;K248,"Sim","Não")</f>
        <v>Não</v>
      </c>
      <c r="Q248" s="21">
        <f>COUNTIFS(C:C,C248)</f>
        <v>1</v>
      </c>
    </row>
    <row r="249" spans="3:17" hidden="1" x14ac:dyDescent="0.35">
      <c r="C249" s="5">
        <f>_xlfn.XLOOKUP(F249,'Same Seller Hist'!H:H,'Same Seller Hist'!E:E)</f>
        <v>315271502</v>
      </c>
      <c r="D249" s="5" t="str">
        <f>_xlfn.XLOOKUP(F249,'Same Seller Hist'!H:H,'Same Seller Hist'!D:D)</f>
        <v>PRIMO DECOR</v>
      </c>
      <c r="E249" s="5">
        <f>_xlfn.XLOOKUP(F249,'Same Seller Hist'!H:H,'Same Seller Hist'!I:I)</f>
        <v>7.4962512996040305E+18</v>
      </c>
      <c r="F249" s="5" t="s">
        <v>408</v>
      </c>
      <c r="G249" s="5" t="str">
        <f>_xlfn.XLOOKUP(C249,'Same Seller Hist'!E:E,'Same Seller Hist'!F:F)</f>
        <v>Lifestyle</v>
      </c>
      <c r="H249" s="19">
        <f>_xlfn.IFNA(_xlfn.XLOOKUP(C249,'Shp 500'!D:D,'Shp 500'!I:I),0)</f>
        <v>0</v>
      </c>
      <c r="I249" s="19">
        <f>_xlfn.IFNA(_xlfn.XLOOKUP(C249,'Shp 500'!D:D,'Shp 500'!J:J),0)</f>
        <v>0</v>
      </c>
      <c r="J249" s="19">
        <v>500</v>
      </c>
      <c r="K249" s="19">
        <v>11016.129032258064</v>
      </c>
      <c r="L249" s="21" t="s">
        <v>2530</v>
      </c>
      <c r="M249" s="21" t="str">
        <f>IF(L249="Shp 500","Sim",IF(ISNA(_xlfn.XLOOKUP(C249,'Shp 500'!D:D,'Shp 500'!D:D)),"Não","Sim"))</f>
        <v>Não</v>
      </c>
      <c r="N249" s="21" t="str">
        <f>IF(L249="Fastmoss 500","Sim",IF(ISNA(_xlfn.XLOOKUP(_xlfn.XLOOKUP(C249,'Same Seller Hist'!E:E,'Same Seller Hist'!H:H),'Fastmoss 500'!D:D,'Fastmoss 500'!D:D)),"Não","Sim"))</f>
        <v>Sim</v>
      </c>
      <c r="O249" s="21" t="str">
        <f>IF(AND(M249="Sim",N249="Sim"),"Sim","Não")</f>
        <v>Não</v>
      </c>
      <c r="P249" s="21" t="str">
        <f>IF(I249&gt;K249,"Sim","Não")</f>
        <v>Não</v>
      </c>
      <c r="Q249" s="21">
        <f>COUNTIFS(C:C,C249)</f>
        <v>1</v>
      </c>
    </row>
    <row r="250" spans="3:17" hidden="1" x14ac:dyDescent="0.35">
      <c r="C250" s="5">
        <f>_xlfn.XLOOKUP(F250,'Same Seller Hist'!H:H,'Same Seller Hist'!E:E)</f>
        <v>1033200887</v>
      </c>
      <c r="D250" s="5" t="str">
        <f>_xlfn.XLOOKUP(F250,'Same Seller Hist'!H:H,'Same Seller Hist'!D:D)</f>
        <v>Fofo loja</v>
      </c>
      <c r="E250" s="5">
        <f>_xlfn.XLOOKUP(F250,'Same Seller Hist'!H:H,'Same Seller Hist'!I:I)</f>
        <v>7.4961891869603604E+18</v>
      </c>
      <c r="F250" s="5" t="s">
        <v>64</v>
      </c>
      <c r="G250" s="5" t="str">
        <f>_xlfn.XLOOKUP(C250,'Same Seller Hist'!E:E,'Same Seller Hist'!F:F)</f>
        <v>ELHA</v>
      </c>
      <c r="H250" s="19">
        <f>_xlfn.IFNA(_xlfn.XLOOKUP(C250,'Shp 500'!D:D,'Shp 500'!I:I),0)</f>
        <v>0</v>
      </c>
      <c r="I250" s="19">
        <f>_xlfn.IFNA(_xlfn.XLOOKUP(C250,'Shp 500'!D:D,'Shp 500'!J:J),0)</f>
        <v>0</v>
      </c>
      <c r="J250" s="19">
        <v>493.54838709677421</v>
      </c>
      <c r="K250" s="19">
        <v>28825.806451612902</v>
      </c>
      <c r="L250" s="21" t="s">
        <v>2530</v>
      </c>
      <c r="M250" s="21" t="str">
        <f>IF(L250="Shp 500","Sim",IF(ISNA(_xlfn.XLOOKUP(C250,'Shp 500'!D:D,'Shp 500'!D:D)),"Não","Sim"))</f>
        <v>Não</v>
      </c>
      <c r="N250" s="21" t="str">
        <f>IF(L250="Fastmoss 500","Sim",IF(ISNA(_xlfn.XLOOKUP(_xlfn.XLOOKUP(C250,'Same Seller Hist'!E:E,'Same Seller Hist'!H:H),'Fastmoss 500'!D:D,'Fastmoss 500'!D:D)),"Não","Sim"))</f>
        <v>Sim</v>
      </c>
      <c r="O250" s="21" t="str">
        <f>IF(AND(M250="Sim",N250="Sim"),"Sim","Não")</f>
        <v>Não</v>
      </c>
      <c r="P250" s="21" t="str">
        <f>IF(I250&gt;K250,"Sim","Não")</f>
        <v>Não</v>
      </c>
      <c r="Q250" s="21">
        <f>COUNTIFS(C:C,C250)</f>
        <v>1</v>
      </c>
    </row>
    <row r="251" spans="3:17" hidden="1" x14ac:dyDescent="0.35">
      <c r="C251" s="5">
        <f>_xlfn.XLOOKUP(F251,'Same Seller Hist'!H:H,'Same Seller Hist'!E:E)</f>
        <v>562043869</v>
      </c>
      <c r="D251" s="5" t="str">
        <f>_xlfn.XLOOKUP(F251,'Same Seller Hist'!H:H,'Same Seller Hist'!D:D)</f>
        <v>LIFE FASHION BABY</v>
      </c>
      <c r="E251" s="5">
        <f>_xlfn.XLOOKUP(F251,'Same Seller Hist'!H:H,'Same Seller Hist'!I:I)</f>
        <v>7.4962794101044296E+18</v>
      </c>
      <c r="F251" s="5" t="s">
        <v>637</v>
      </c>
      <c r="G251" s="5" t="str">
        <f>_xlfn.XLOOKUP(C251,'Same Seller Hist'!E:E,'Same Seller Hist'!F:F)</f>
        <v>Fashion</v>
      </c>
      <c r="H251" s="19">
        <f>_xlfn.IFNA(_xlfn.XLOOKUP(C251,'Shp 500'!D:D,'Shp 500'!I:I),0)</f>
        <v>0</v>
      </c>
      <c r="I251" s="19">
        <f>_xlfn.IFNA(_xlfn.XLOOKUP(C251,'Shp 500'!D:D,'Shp 500'!J:J),0)</f>
        <v>0</v>
      </c>
      <c r="J251" s="19">
        <v>490.32258064516128</v>
      </c>
      <c r="K251" s="19">
        <v>16016.129032258064</v>
      </c>
      <c r="L251" s="21" t="s">
        <v>2530</v>
      </c>
      <c r="M251" s="21" t="str">
        <f>IF(L251="Shp 500","Sim",IF(ISNA(_xlfn.XLOOKUP(C251,'Shp 500'!D:D,'Shp 500'!D:D)),"Não","Sim"))</f>
        <v>Não</v>
      </c>
      <c r="N251" s="21" t="str">
        <f>IF(L251="Fastmoss 500","Sim",IF(ISNA(_xlfn.XLOOKUP(_xlfn.XLOOKUP(C251,'Same Seller Hist'!E:E,'Same Seller Hist'!H:H),'Fastmoss 500'!D:D,'Fastmoss 500'!D:D)),"Não","Sim"))</f>
        <v>Sim</v>
      </c>
      <c r="O251" s="21" t="str">
        <f>IF(AND(M251="Sim",N251="Sim"),"Sim","Não")</f>
        <v>Não</v>
      </c>
      <c r="P251" s="21" t="str">
        <f>IF(I251&gt;K251,"Sim","Não")</f>
        <v>Não</v>
      </c>
      <c r="Q251" s="21">
        <f>COUNTIFS(C:C,C251)</f>
        <v>1</v>
      </c>
    </row>
    <row r="252" spans="3:17" hidden="1" x14ac:dyDescent="0.35">
      <c r="C252" s="5">
        <f>_xlfn.XLOOKUP(F252,'Same Seller Hist'!H:H,'Same Seller Hist'!E:E)</f>
        <v>1187336421</v>
      </c>
      <c r="D252" s="5" t="str">
        <f>_xlfn.XLOOKUP(F252,'Same Seller Hist'!H:H,'Same Seller Hist'!D:D)</f>
        <v>EMILIMODA</v>
      </c>
      <c r="E252" s="5">
        <f>_xlfn.XLOOKUP(F252,'Same Seller Hist'!H:H,'Same Seller Hist'!I:I)</f>
        <v>7.4961476057391104E+18</v>
      </c>
      <c r="F252" s="5" t="s">
        <v>143</v>
      </c>
      <c r="G252" s="5" t="str">
        <f>_xlfn.XLOOKUP(C252,'Same Seller Hist'!E:E,'Same Seller Hist'!F:F)</f>
        <v>Fashion</v>
      </c>
      <c r="H252" s="19">
        <f>_xlfn.IFNA(_xlfn.XLOOKUP(C252,'Shp 500'!D:D,'Shp 500'!I:I),0)</f>
        <v>0</v>
      </c>
      <c r="I252" s="19">
        <f>_xlfn.IFNA(_xlfn.XLOOKUP(C252,'Shp 500'!D:D,'Shp 500'!J:J),0)</f>
        <v>0</v>
      </c>
      <c r="J252" s="19">
        <v>487.09677419354841</v>
      </c>
      <c r="K252" s="19">
        <v>32258.064516129034</v>
      </c>
      <c r="L252" s="21" t="s">
        <v>2530</v>
      </c>
      <c r="M252" s="21" t="str">
        <f>IF(L252="Shp 500","Sim",IF(ISNA(_xlfn.XLOOKUP(C252,'Shp 500'!D:D,'Shp 500'!D:D)),"Não","Sim"))</f>
        <v>Não</v>
      </c>
      <c r="N252" s="21" t="str">
        <f>IF(L252="Fastmoss 500","Sim",IF(ISNA(_xlfn.XLOOKUP(_xlfn.XLOOKUP(C252,'Same Seller Hist'!E:E,'Same Seller Hist'!H:H),'Fastmoss 500'!D:D,'Fastmoss 500'!D:D)),"Não","Sim"))</f>
        <v>Sim</v>
      </c>
      <c r="O252" s="21" t="str">
        <f>IF(AND(M252="Sim",N252="Sim"),"Sim","Não")</f>
        <v>Não</v>
      </c>
      <c r="P252" s="21" t="str">
        <f>IF(I252&gt;K252,"Sim","Não")</f>
        <v>Não</v>
      </c>
      <c r="Q252" s="21">
        <f>COUNTIFS(C:C,C252)</f>
        <v>1</v>
      </c>
    </row>
    <row r="253" spans="3:17" x14ac:dyDescent="0.35">
      <c r="C253" s="5">
        <v>1046470373</v>
      </c>
      <c r="D253" s="5" t="s">
        <v>1585</v>
      </c>
      <c r="E253" s="5">
        <f>_xlfn.XLOOKUP(C253,'Same Seller Hist'!E:E,'Same Seller Hist'!I:I)</f>
        <v>7.4961791581104005E+18</v>
      </c>
      <c r="F253" s="5" t="str">
        <f>_xlfn.XLOOKUP(C253,'Same Seller Hist'!E:E,'Same Seller Hist'!H:H)</f>
        <v>Mundo Master</v>
      </c>
      <c r="G253" s="5" t="s">
        <v>1734</v>
      </c>
      <c r="H253" s="19">
        <v>1006.3225806451613</v>
      </c>
      <c r="I253" s="19">
        <v>5080.7053821297413</v>
      </c>
      <c r="J253" s="19">
        <f>_xlfn.IFNA(_xlfn.XLOOKUP(F253,'Fastmoss 500'!D:D,'Fastmoss 500'!O:O),0)</f>
        <v>280.64516129032256</v>
      </c>
      <c r="K253" s="19">
        <f>_xlfn.IFNA(_xlfn.XLOOKUP(F253,'Fastmoss 500'!D:D,'Fastmoss 500'!N:N),0)</f>
        <v>7641.9354838709678</v>
      </c>
      <c r="L253" s="21" t="s">
        <v>2528</v>
      </c>
      <c r="M253" s="21" t="str">
        <f>IF(L253="Shp 500","Sim",IF(ISNA(_xlfn.XLOOKUP(C253,'Shp 500'!D:D,'Shp 500'!D:D)),"Não","Sim"))</f>
        <v>Sim</v>
      </c>
      <c r="N253" s="21" t="str">
        <f>IF(L253="Fastmoss 500","Sim",IF(ISNA(_xlfn.XLOOKUP(_xlfn.XLOOKUP(C253,'Same Seller Hist'!E:E,'Same Seller Hist'!H:H),'Fastmoss 500'!D:D,'Fastmoss 500'!D:D)),"Não","Sim"))</f>
        <v>Sim</v>
      </c>
      <c r="O253" s="21" t="str">
        <f>IF(AND(M253="Sim",N253="Sim"),"Sim","Não")</f>
        <v>Sim</v>
      </c>
      <c r="P253" s="21" t="str">
        <f>IF(I253&gt;K253,"Sim","Não")</f>
        <v>Não</v>
      </c>
      <c r="Q253" s="21">
        <f>COUNTIFS(C:C,C253)</f>
        <v>2</v>
      </c>
    </row>
    <row r="254" spans="3:17" hidden="1" x14ac:dyDescent="0.35">
      <c r="C254" s="5">
        <f>_xlfn.XLOOKUP(F254,'Same Seller Hist'!H:H,'Same Seller Hist'!E:E)</f>
        <v>321115312</v>
      </c>
      <c r="D254" s="5" t="str">
        <f>_xlfn.XLOOKUP(F254,'Same Seller Hist'!H:H,'Same Seller Hist'!D:D)</f>
        <v>Dejule</v>
      </c>
      <c r="E254" s="5">
        <f>_xlfn.XLOOKUP(F254,'Same Seller Hist'!H:H,'Same Seller Hist'!I:I)</f>
        <v>7.4961549217036001E+18</v>
      </c>
      <c r="F254" s="5" t="s">
        <v>416</v>
      </c>
      <c r="G254" s="5" t="str">
        <f>_xlfn.XLOOKUP(C254,'Same Seller Hist'!E:E,'Same Seller Hist'!F:F)</f>
        <v>Fashion</v>
      </c>
      <c r="H254" s="19">
        <f>_xlfn.IFNA(_xlfn.XLOOKUP(C254,'Shp 500'!D:D,'Shp 500'!I:I),0)</f>
        <v>0</v>
      </c>
      <c r="I254" s="19">
        <f>_xlfn.IFNA(_xlfn.XLOOKUP(C254,'Shp 500'!D:D,'Shp 500'!J:J),0)</f>
        <v>0</v>
      </c>
      <c r="J254" s="19">
        <v>480.64516129032256</v>
      </c>
      <c r="K254" s="19">
        <v>15335.483870967742</v>
      </c>
      <c r="L254" s="21" t="s">
        <v>2530</v>
      </c>
      <c r="M254" s="21" t="str">
        <f>IF(L254="Shp 500","Sim",IF(ISNA(_xlfn.XLOOKUP(C254,'Shp 500'!D:D,'Shp 500'!D:D)),"Não","Sim"))</f>
        <v>Não</v>
      </c>
      <c r="N254" s="21" t="str">
        <f>IF(L254="Fastmoss 500","Sim",IF(ISNA(_xlfn.XLOOKUP(_xlfn.XLOOKUP(C254,'Same Seller Hist'!E:E,'Same Seller Hist'!H:H),'Fastmoss 500'!D:D,'Fastmoss 500'!D:D)),"Não","Sim"))</f>
        <v>Sim</v>
      </c>
      <c r="O254" s="21" t="str">
        <f>IF(AND(M254="Sim",N254="Sim"),"Sim","Não")</f>
        <v>Não</v>
      </c>
      <c r="P254" s="21" t="str">
        <f>IF(I254&gt;K254,"Sim","Não")</f>
        <v>Não</v>
      </c>
      <c r="Q254" s="21">
        <f>COUNTIFS(C:C,C254)</f>
        <v>1</v>
      </c>
    </row>
    <row r="255" spans="3:17" hidden="1" x14ac:dyDescent="0.35">
      <c r="C255" s="5">
        <f>_xlfn.XLOOKUP(F255,'Same Seller Hist'!H:H,'Same Seller Hist'!E:E)</f>
        <v>1498117394</v>
      </c>
      <c r="D255" s="5" t="str">
        <f>_xlfn.XLOOKUP(F255,'Same Seller Hist'!H:H,'Same Seller Hist'!D:D)</f>
        <v>MISSORDBR</v>
      </c>
      <c r="E255" s="5">
        <f>_xlfn.XLOOKUP(F255,'Same Seller Hist'!H:H,'Same Seller Hist'!I:I)</f>
        <v>7.4961605499162102E+18</v>
      </c>
      <c r="F255" s="5" t="s">
        <v>289</v>
      </c>
      <c r="G255" s="5" t="str">
        <f>_xlfn.XLOOKUP(C255,'Same Seller Hist'!E:E,'Same Seller Hist'!F:F)</f>
        <v>Fashion</v>
      </c>
      <c r="H255" s="19">
        <f>_xlfn.IFNA(_xlfn.XLOOKUP(C255,'Shp 500'!D:D,'Shp 500'!I:I),0)</f>
        <v>0</v>
      </c>
      <c r="I255" s="19">
        <f>_xlfn.IFNA(_xlfn.XLOOKUP(C255,'Shp 500'!D:D,'Shp 500'!J:J),0)</f>
        <v>0</v>
      </c>
      <c r="J255" s="19">
        <v>477.41935483870969</v>
      </c>
      <c r="K255" s="19">
        <v>41935.483870967742</v>
      </c>
      <c r="L255" s="21" t="s">
        <v>2530</v>
      </c>
      <c r="M255" s="21" t="str">
        <f>IF(L255="Shp 500","Sim",IF(ISNA(_xlfn.XLOOKUP(C255,'Shp 500'!D:D,'Shp 500'!D:D)),"Não","Sim"))</f>
        <v>Não</v>
      </c>
      <c r="N255" s="21" t="str">
        <f>IF(L255="Fastmoss 500","Sim",IF(ISNA(_xlfn.XLOOKUP(_xlfn.XLOOKUP(C255,'Same Seller Hist'!E:E,'Same Seller Hist'!H:H),'Fastmoss 500'!D:D,'Fastmoss 500'!D:D)),"Não","Sim"))</f>
        <v>Sim</v>
      </c>
      <c r="O255" s="21" t="str">
        <f>IF(AND(M255="Sim",N255="Sim"),"Sim","Não")</f>
        <v>Não</v>
      </c>
      <c r="P255" s="21" t="str">
        <f>IF(I255&gt;K255,"Sim","Não")</f>
        <v>Não</v>
      </c>
      <c r="Q255" s="21">
        <f>COUNTIFS(C:C,C255)</f>
        <v>1</v>
      </c>
    </row>
    <row r="256" spans="3:17" hidden="1" x14ac:dyDescent="0.35">
      <c r="C256" s="5">
        <f>_xlfn.XLOOKUP(F256,'Same Seller Hist'!H:H,'Same Seller Hist'!E:E)</f>
        <v>1615249318</v>
      </c>
      <c r="D256" s="5" t="str">
        <f>_xlfn.XLOOKUP(F256,'Same Seller Hist'!H:H,'Same Seller Hist'!D:D)</f>
        <v>LARA VIVA</v>
      </c>
      <c r="E256" s="5">
        <f>_xlfn.XLOOKUP(F256,'Same Seller Hist'!H:H,'Same Seller Hist'!I:I)</f>
        <v>7.4941763682797097E+18</v>
      </c>
      <c r="F256" s="5" t="s">
        <v>871</v>
      </c>
      <c r="G256" s="5">
        <f>_xlfn.XLOOKUP(C256,'Same Seller Hist'!E:E,'Same Seller Hist'!F:F)</f>
        <v>0</v>
      </c>
      <c r="H256" s="19">
        <f>_xlfn.IFNA(_xlfn.XLOOKUP(C256,'Shp 500'!D:D,'Shp 500'!I:I),0)</f>
        <v>0</v>
      </c>
      <c r="I256" s="19">
        <f>_xlfn.IFNA(_xlfn.XLOOKUP(C256,'Shp 500'!D:D,'Shp 500'!J:J),0)</f>
        <v>0</v>
      </c>
      <c r="J256" s="19">
        <v>474.19354838709677</v>
      </c>
      <c r="K256" s="19">
        <v>26706.451612903227</v>
      </c>
      <c r="L256" s="21" t="s">
        <v>2530</v>
      </c>
      <c r="M256" s="21" t="str">
        <f>IF(L256="Shp 500","Sim",IF(ISNA(_xlfn.XLOOKUP(C256,'Shp 500'!D:D,'Shp 500'!D:D)),"Não","Sim"))</f>
        <v>Não</v>
      </c>
      <c r="N256" s="21" t="str">
        <f>IF(L256="Fastmoss 500","Sim",IF(ISNA(_xlfn.XLOOKUP(_xlfn.XLOOKUP(C256,'Same Seller Hist'!E:E,'Same Seller Hist'!H:H),'Fastmoss 500'!D:D,'Fastmoss 500'!D:D)),"Não","Sim"))</f>
        <v>Sim</v>
      </c>
      <c r="O256" s="21" t="str">
        <f>IF(AND(M256="Sim",N256="Sim"),"Sim","Não")</f>
        <v>Não</v>
      </c>
      <c r="P256" s="21" t="str">
        <f>IF(I256&gt;K256,"Sim","Não")</f>
        <v>Não</v>
      </c>
      <c r="Q256" s="21">
        <f>COUNTIFS(C:C,C256)</f>
        <v>1</v>
      </c>
    </row>
    <row r="257" spans="3:17" x14ac:dyDescent="0.35">
      <c r="C257" s="5">
        <f>_xlfn.XLOOKUP(F257,'Same Seller Hist'!H:H,'Same Seller Hist'!E:E)</f>
        <v>1046470373</v>
      </c>
      <c r="D257" s="5" t="str">
        <f>_xlfn.XLOOKUP(F257,'Same Seller Hist'!H:H,'Same Seller Hist'!D:D)</f>
        <v>Mundo Master</v>
      </c>
      <c r="E257" s="5">
        <f>_xlfn.XLOOKUP(F257,'Same Seller Hist'!H:H,'Same Seller Hist'!I:I)</f>
        <v>7.4961791581104005E+18</v>
      </c>
      <c r="F257" s="5" t="s">
        <v>73</v>
      </c>
      <c r="G257" s="5" t="str">
        <f>_xlfn.XLOOKUP(C257,'Same Seller Hist'!E:E,'Same Seller Hist'!F:F)</f>
        <v>Lifestyle</v>
      </c>
      <c r="H257" s="19">
        <f>_xlfn.IFNA(_xlfn.XLOOKUP(C257,'Shp 500'!D:D,'Shp 500'!I:I),0)</f>
        <v>1006.3225806451613</v>
      </c>
      <c r="I257" s="19">
        <f>_xlfn.IFNA(_xlfn.XLOOKUP(C257,'Shp 500'!D:D,'Shp 500'!J:J),0)</f>
        <v>5080.7053821297413</v>
      </c>
      <c r="J257" s="19">
        <v>280.64516129032256</v>
      </c>
      <c r="K257" s="19">
        <v>7641.9354838709678</v>
      </c>
      <c r="L257" s="21" t="s">
        <v>2530</v>
      </c>
      <c r="M257" s="21" t="str">
        <f>IF(L257="Shp 500","Sim",IF(ISNA(_xlfn.XLOOKUP(C257,'Shp 500'!D:D,'Shp 500'!D:D)),"Não","Sim"))</f>
        <v>Sim</v>
      </c>
      <c r="N257" s="21" t="str">
        <f>IF(L257="Fastmoss 500","Sim",IF(ISNA(_xlfn.XLOOKUP(_xlfn.XLOOKUP(C257,'Same Seller Hist'!E:E,'Same Seller Hist'!H:H),'Fastmoss 500'!D:D,'Fastmoss 500'!D:D)),"Não","Sim"))</f>
        <v>Sim</v>
      </c>
      <c r="O257" s="21" t="str">
        <f>IF(AND(M257="Sim",N257="Sim"),"Sim","Não")</f>
        <v>Sim</v>
      </c>
      <c r="P257" s="21" t="str">
        <f>IF(I257&gt;K257,"Sim","Não")</f>
        <v>Não</v>
      </c>
      <c r="Q257" s="21">
        <f>COUNTIFS(C:C,C257)</f>
        <v>2</v>
      </c>
    </row>
    <row r="258" spans="3:17" hidden="1" x14ac:dyDescent="0.35">
      <c r="C258" s="5">
        <f>_xlfn.XLOOKUP(F258,'Same Seller Hist'!H:H,'Same Seller Hist'!E:E)</f>
        <v>867115662</v>
      </c>
      <c r="D258" s="5" t="str">
        <f>_xlfn.XLOOKUP(F258,'Same Seller Hist'!H:H,'Same Seller Hist'!D:D)</f>
        <v>Loja Ragde</v>
      </c>
      <c r="E258" s="5">
        <f>_xlfn.XLOOKUP(F258,'Same Seller Hist'!H:H,'Same Seller Hist'!I:I)</f>
        <v>7.4961857188573E+18</v>
      </c>
      <c r="F258" s="5" t="s">
        <v>737</v>
      </c>
      <c r="G258" s="5" t="str">
        <f>_xlfn.XLOOKUP(C258,'Same Seller Hist'!E:E,'Same Seller Hist'!F:F)</f>
        <v>Fashion</v>
      </c>
      <c r="H258" s="19">
        <f>_xlfn.IFNA(_xlfn.XLOOKUP(C258,'Shp 500'!D:D,'Shp 500'!I:I),0)</f>
        <v>0</v>
      </c>
      <c r="I258" s="19">
        <f>_xlfn.IFNA(_xlfn.XLOOKUP(C258,'Shp 500'!D:D,'Shp 500'!J:J),0)</f>
        <v>0</v>
      </c>
      <c r="J258" s="19">
        <v>464.51612903225805</v>
      </c>
      <c r="K258" s="19">
        <v>24325.806451612902</v>
      </c>
      <c r="L258" s="21" t="s">
        <v>2530</v>
      </c>
      <c r="M258" s="21" t="str">
        <f>IF(L258="Shp 500","Sim",IF(ISNA(_xlfn.XLOOKUP(C258,'Shp 500'!D:D,'Shp 500'!D:D)),"Não","Sim"))</f>
        <v>Não</v>
      </c>
      <c r="N258" s="21" t="str">
        <f>IF(L258="Fastmoss 500","Sim",IF(ISNA(_xlfn.XLOOKUP(_xlfn.XLOOKUP(C258,'Same Seller Hist'!E:E,'Same Seller Hist'!H:H),'Fastmoss 500'!D:D,'Fastmoss 500'!D:D)),"Não","Sim"))</f>
        <v>Sim</v>
      </c>
      <c r="O258" s="21" t="str">
        <f>IF(AND(M258="Sim",N258="Sim"),"Sim","Não")</f>
        <v>Não</v>
      </c>
      <c r="P258" s="21" t="str">
        <f>IF(I258&gt;K258,"Sim","Não")</f>
        <v>Não</v>
      </c>
      <c r="Q258" s="21">
        <f>COUNTIFS(C:C,C258)</f>
        <v>1</v>
      </c>
    </row>
    <row r="259" spans="3:17" hidden="1" x14ac:dyDescent="0.35">
      <c r="C259" s="5">
        <f>_xlfn.XLOOKUP(F259,'Same Seller Hist'!H:H,'Same Seller Hist'!E:E)</f>
        <v>288781879</v>
      </c>
      <c r="D259" s="5" t="str">
        <f>_xlfn.XLOOKUP(F259,'Same Seller Hist'!H:H,'Same Seller Hist'!D:D)</f>
        <v>MP CONFECÇÕES</v>
      </c>
      <c r="E259" s="5">
        <f>_xlfn.XLOOKUP(F259,'Same Seller Hist'!H:H,'Same Seller Hist'!I:I)</f>
        <v>7.49626692417011E+18</v>
      </c>
      <c r="F259" s="5" t="s">
        <v>373</v>
      </c>
      <c r="G259" s="5" t="str">
        <f>_xlfn.XLOOKUP(C259,'Same Seller Hist'!E:E,'Same Seller Hist'!F:F)</f>
        <v>Lifestyle</v>
      </c>
      <c r="H259" s="19">
        <f>_xlfn.IFNA(_xlfn.XLOOKUP(C259,'Shp 500'!D:D,'Shp 500'!I:I),0)</f>
        <v>0</v>
      </c>
      <c r="I259" s="19">
        <f>_xlfn.IFNA(_xlfn.XLOOKUP(C259,'Shp 500'!D:D,'Shp 500'!J:J),0)</f>
        <v>0</v>
      </c>
      <c r="J259" s="19">
        <v>464.51612903225805</v>
      </c>
      <c r="K259" s="19">
        <v>20958.064516129034</v>
      </c>
      <c r="L259" s="21" t="s">
        <v>2530</v>
      </c>
      <c r="M259" s="21" t="str">
        <f>IF(L259="Shp 500","Sim",IF(ISNA(_xlfn.XLOOKUP(C259,'Shp 500'!D:D,'Shp 500'!D:D)),"Não","Sim"))</f>
        <v>Não</v>
      </c>
      <c r="N259" s="21" t="str">
        <f>IF(L259="Fastmoss 500","Sim",IF(ISNA(_xlfn.XLOOKUP(_xlfn.XLOOKUP(C259,'Same Seller Hist'!E:E,'Same Seller Hist'!H:H),'Fastmoss 500'!D:D,'Fastmoss 500'!D:D)),"Não","Sim"))</f>
        <v>Sim</v>
      </c>
      <c r="O259" s="21" t="str">
        <f>IF(AND(M259="Sim",N259="Sim"),"Sim","Não")</f>
        <v>Não</v>
      </c>
      <c r="P259" s="21" t="str">
        <f>IF(I259&gt;K259,"Sim","Não")</f>
        <v>Não</v>
      </c>
      <c r="Q259" s="21">
        <f>COUNTIFS(C:C,C259)</f>
        <v>1</v>
      </c>
    </row>
    <row r="260" spans="3:17" hidden="1" x14ac:dyDescent="0.35">
      <c r="C260" s="5">
        <f>_xlfn.XLOOKUP(F260,'Same Seller Hist'!H:H,'Same Seller Hist'!E:E)</f>
        <v>1067229535</v>
      </c>
      <c r="D260" s="5" t="str">
        <f>_xlfn.XLOOKUP(F260,'Same Seller Hist'!H:H,'Same Seller Hist'!D:D)</f>
        <v>ACME BRASIL</v>
      </c>
      <c r="E260" s="5">
        <f>_xlfn.XLOOKUP(F260,'Same Seller Hist'!H:H,'Same Seller Hist'!I:I)</f>
        <v>7.4961475853197896E+18</v>
      </c>
      <c r="F260" s="5" t="s">
        <v>89</v>
      </c>
      <c r="G260" s="5" t="str">
        <f>_xlfn.XLOOKUP(C260,'Same Seller Hist'!E:E,'Same Seller Hist'!F:F)</f>
        <v>Fashion</v>
      </c>
      <c r="H260" s="19">
        <f>_xlfn.IFNA(_xlfn.XLOOKUP(C260,'Shp 500'!D:D,'Shp 500'!I:I),0)</f>
        <v>0</v>
      </c>
      <c r="I260" s="19">
        <f>_xlfn.IFNA(_xlfn.XLOOKUP(C260,'Shp 500'!D:D,'Shp 500'!J:J),0)</f>
        <v>0</v>
      </c>
      <c r="J260" s="19">
        <v>451.61290322580646</v>
      </c>
      <c r="K260" s="19">
        <v>31470.967741935485</v>
      </c>
      <c r="L260" s="21" t="s">
        <v>2530</v>
      </c>
      <c r="M260" s="21" t="str">
        <f>IF(L260="Shp 500","Sim",IF(ISNA(_xlfn.XLOOKUP(C260,'Shp 500'!D:D,'Shp 500'!D:D)),"Não","Sim"))</f>
        <v>Não</v>
      </c>
      <c r="N260" s="21" t="str">
        <f>IF(L260="Fastmoss 500","Sim",IF(ISNA(_xlfn.XLOOKUP(_xlfn.XLOOKUP(C260,'Same Seller Hist'!E:E,'Same Seller Hist'!H:H),'Fastmoss 500'!D:D,'Fastmoss 500'!D:D)),"Não","Sim"))</f>
        <v>Sim</v>
      </c>
      <c r="O260" s="21" t="str">
        <f>IF(AND(M260="Sim",N260="Sim"),"Sim","Não")</f>
        <v>Não</v>
      </c>
      <c r="P260" s="21" t="str">
        <f>IF(I260&gt;K260,"Sim","Não")</f>
        <v>Não</v>
      </c>
      <c r="Q260" s="21">
        <f>COUNTIFS(C:C,C260)</f>
        <v>1</v>
      </c>
    </row>
    <row r="261" spans="3:17" hidden="1" x14ac:dyDescent="0.35">
      <c r="C261" s="5">
        <f>_xlfn.XLOOKUP(F261,'Same Seller Hist'!H:H,'Same Seller Hist'!E:E)</f>
        <v>389800143</v>
      </c>
      <c r="D261" s="5" t="str">
        <f>_xlfn.XLOOKUP(F261,'Same Seller Hist'!H:H,'Same Seller Hist'!D:D)</f>
        <v>INVICTUS ESHOP</v>
      </c>
      <c r="E261" s="5">
        <f>_xlfn.XLOOKUP(F261,'Same Seller Hist'!H:H,'Same Seller Hist'!I:I)</f>
        <v>7.4961473838256896E+18</v>
      </c>
      <c r="F261" s="5" t="s">
        <v>509</v>
      </c>
      <c r="G261" s="5" t="str">
        <f>_xlfn.XLOOKUP(C261,'Same Seller Hist'!E:E,'Same Seller Hist'!F:F)</f>
        <v>FMCG</v>
      </c>
      <c r="H261" s="19">
        <f>_xlfn.IFNA(_xlfn.XLOOKUP(C261,'Shp 500'!D:D,'Shp 500'!I:I),0)</f>
        <v>0</v>
      </c>
      <c r="I261" s="19">
        <f>_xlfn.IFNA(_xlfn.XLOOKUP(C261,'Shp 500'!D:D,'Shp 500'!J:J),0)</f>
        <v>0</v>
      </c>
      <c r="J261" s="19">
        <v>448.38709677419354</v>
      </c>
      <c r="K261" s="19">
        <v>23325.806451612902</v>
      </c>
      <c r="L261" s="21" t="s">
        <v>2530</v>
      </c>
      <c r="M261" s="21" t="str">
        <f>IF(L261="Shp 500","Sim",IF(ISNA(_xlfn.XLOOKUP(C261,'Shp 500'!D:D,'Shp 500'!D:D)),"Não","Sim"))</f>
        <v>Não</v>
      </c>
      <c r="N261" s="21" t="str">
        <f>IF(L261="Fastmoss 500","Sim",IF(ISNA(_xlfn.XLOOKUP(_xlfn.XLOOKUP(C261,'Same Seller Hist'!E:E,'Same Seller Hist'!H:H),'Fastmoss 500'!D:D,'Fastmoss 500'!D:D)),"Não","Sim"))</f>
        <v>Sim</v>
      </c>
      <c r="O261" s="21" t="str">
        <f>IF(AND(M261="Sim",N261="Sim"),"Sim","Não")</f>
        <v>Não</v>
      </c>
      <c r="P261" s="21" t="str">
        <f>IF(I261&gt;K261,"Sim","Não")</f>
        <v>Não</v>
      </c>
      <c r="Q261" s="21">
        <f>COUNTIFS(C:C,C261)</f>
        <v>1</v>
      </c>
    </row>
    <row r="262" spans="3:17" hidden="1" x14ac:dyDescent="0.35">
      <c r="C262" s="5">
        <f>_xlfn.XLOOKUP(F262,'Same Seller Hist'!H:H,'Same Seller Hist'!E:E)</f>
        <v>1013290785</v>
      </c>
      <c r="D262" s="5" t="str">
        <f>_xlfn.XLOOKUP(F262,'Same Seller Hist'!H:H,'Same Seller Hist'!D:D)</f>
        <v>Stella vista moda</v>
      </c>
      <c r="E262" s="5">
        <f>_xlfn.XLOOKUP(F262,'Same Seller Hist'!H:H,'Same Seller Hist'!I:I)</f>
        <v>7.4961473358216202E+18</v>
      </c>
      <c r="F262" s="5" t="s">
        <v>53</v>
      </c>
      <c r="G262" s="5" t="str">
        <f>_xlfn.XLOOKUP(C262,'Same Seller Hist'!E:E,'Same Seller Hist'!F:F)</f>
        <v>Fashion</v>
      </c>
      <c r="H262" s="19">
        <f>_xlfn.IFNA(_xlfn.XLOOKUP(C262,'Shp 500'!D:D,'Shp 500'!I:I),0)</f>
        <v>0</v>
      </c>
      <c r="I262" s="19">
        <f>_xlfn.IFNA(_xlfn.XLOOKUP(C262,'Shp 500'!D:D,'Shp 500'!J:J),0)</f>
        <v>0</v>
      </c>
      <c r="J262" s="19">
        <v>445.16129032258067</v>
      </c>
      <c r="K262" s="19">
        <v>32258.064516129034</v>
      </c>
      <c r="L262" s="21" t="s">
        <v>2530</v>
      </c>
      <c r="M262" s="21" t="str">
        <f>IF(L262="Shp 500","Sim",IF(ISNA(_xlfn.XLOOKUP(C262,'Shp 500'!D:D,'Shp 500'!D:D)),"Não","Sim"))</f>
        <v>Não</v>
      </c>
      <c r="N262" s="21" t="str">
        <f>IF(L262="Fastmoss 500","Sim",IF(ISNA(_xlfn.XLOOKUP(_xlfn.XLOOKUP(C262,'Same Seller Hist'!E:E,'Same Seller Hist'!H:H),'Fastmoss 500'!D:D,'Fastmoss 500'!D:D)),"Não","Sim"))</f>
        <v>Sim</v>
      </c>
      <c r="O262" s="21" t="str">
        <f>IF(AND(M262="Sim",N262="Sim"),"Sim","Não")</f>
        <v>Não</v>
      </c>
      <c r="P262" s="21" t="str">
        <f>IF(I262&gt;K262,"Sim","Não")</f>
        <v>Não</v>
      </c>
      <c r="Q262" s="21">
        <f>COUNTIFS(C:C,C262)</f>
        <v>1</v>
      </c>
    </row>
    <row r="263" spans="3:17" hidden="1" x14ac:dyDescent="0.35">
      <c r="C263" s="5">
        <f>_xlfn.XLOOKUP(F263,'Same Seller Hist'!H:H,'Same Seller Hist'!E:E)</f>
        <v>1334088625</v>
      </c>
      <c r="D263" s="5" t="str">
        <f>_xlfn.XLOOKUP(F263,'Same Seller Hist'!H:H,'Same Seller Hist'!D:D)</f>
        <v>WYL Top Comércio</v>
      </c>
      <c r="E263" s="5">
        <f>_xlfn.XLOOKUP(F263,'Same Seller Hist'!H:H,'Same Seller Hist'!I:I)</f>
        <v>7.4961819702677002E+18</v>
      </c>
      <c r="F263" s="5" t="s">
        <v>206</v>
      </c>
      <c r="G263" s="5" t="str">
        <f>_xlfn.XLOOKUP(C263,'Same Seller Hist'!E:E,'Same Seller Hist'!F:F)</f>
        <v>FMCG</v>
      </c>
      <c r="H263" s="19">
        <f>_xlfn.IFNA(_xlfn.XLOOKUP(C263,'Shp 500'!D:D,'Shp 500'!I:I),0)</f>
        <v>0</v>
      </c>
      <c r="I263" s="19">
        <f>_xlfn.IFNA(_xlfn.XLOOKUP(C263,'Shp 500'!D:D,'Shp 500'!J:J),0)</f>
        <v>0</v>
      </c>
      <c r="J263" s="19">
        <v>441.93548387096774</v>
      </c>
      <c r="K263" s="19">
        <v>7809.677419354839</v>
      </c>
      <c r="L263" s="21" t="s">
        <v>2530</v>
      </c>
      <c r="M263" s="21" t="str">
        <f>IF(L263="Shp 500","Sim",IF(ISNA(_xlfn.XLOOKUP(C263,'Shp 500'!D:D,'Shp 500'!D:D)),"Não","Sim"))</f>
        <v>Não</v>
      </c>
      <c r="N263" s="21" t="str">
        <f>IF(L263="Fastmoss 500","Sim",IF(ISNA(_xlfn.XLOOKUP(_xlfn.XLOOKUP(C263,'Same Seller Hist'!E:E,'Same Seller Hist'!H:H),'Fastmoss 500'!D:D,'Fastmoss 500'!D:D)),"Não","Sim"))</f>
        <v>Sim</v>
      </c>
      <c r="O263" s="21" t="str">
        <f>IF(AND(M263="Sim",N263="Sim"),"Sim","Não")</f>
        <v>Não</v>
      </c>
      <c r="P263" s="21" t="str">
        <f>IF(I263&gt;K263,"Sim","Não")</f>
        <v>Não</v>
      </c>
      <c r="Q263" s="21">
        <f>COUNTIFS(C:C,C263)</f>
        <v>1</v>
      </c>
    </row>
    <row r="264" spans="3:17" x14ac:dyDescent="0.35">
      <c r="C264" s="5">
        <v>1057319077</v>
      </c>
      <c r="D264" s="5" t="s">
        <v>82</v>
      </c>
      <c r="E264" s="5">
        <f>_xlfn.XLOOKUP(C264,'Same Seller Hist'!E:E,'Same Seller Hist'!I:I)</f>
        <v>7.49630477114543E+18</v>
      </c>
      <c r="F264" s="5" t="str">
        <f>_xlfn.XLOOKUP(C264,'Same Seller Hist'!E:E,'Same Seller Hist'!H:H)</f>
        <v>LEO BUY SHOP</v>
      </c>
      <c r="G264" s="5" t="s">
        <v>1734</v>
      </c>
      <c r="H264" s="19">
        <v>3971.5483870967741</v>
      </c>
      <c r="I264" s="19">
        <v>34373.153014242256</v>
      </c>
      <c r="J264" s="19">
        <f>_xlfn.IFNA(_xlfn.XLOOKUP(F264,'Fastmoss 500'!D:D,'Fastmoss 500'!O:O),0)</f>
        <v>1938.7096774193549</v>
      </c>
      <c r="K264" s="19">
        <f>_xlfn.IFNA(_xlfn.XLOOKUP(F264,'Fastmoss 500'!D:D,'Fastmoss 500'!N:N),0)</f>
        <v>138709.67741935485</v>
      </c>
      <c r="L264" s="21" t="s">
        <v>2528</v>
      </c>
      <c r="M264" s="21" t="str">
        <f>IF(L264="Shp 500","Sim",IF(ISNA(_xlfn.XLOOKUP(C264,'Shp 500'!D:D,'Shp 500'!D:D)),"Não","Sim"))</f>
        <v>Sim</v>
      </c>
      <c r="N264" s="21" t="str">
        <f>IF(L264="Fastmoss 500","Sim",IF(ISNA(_xlfn.XLOOKUP(_xlfn.XLOOKUP(C264,'Same Seller Hist'!E:E,'Same Seller Hist'!H:H),'Fastmoss 500'!D:D,'Fastmoss 500'!D:D)),"Não","Sim"))</f>
        <v>Sim</v>
      </c>
      <c r="O264" s="21" t="str">
        <f>IF(AND(M264="Sim",N264="Sim"),"Sim","Não")</f>
        <v>Sim</v>
      </c>
      <c r="P264" s="21" t="str">
        <f>IF(I264&gt;K264,"Sim","Não")</f>
        <v>Não</v>
      </c>
      <c r="Q264" s="21">
        <f>COUNTIFS(C:C,C264)</f>
        <v>2</v>
      </c>
    </row>
    <row r="265" spans="3:17" hidden="1" x14ac:dyDescent="0.35">
      <c r="C265" s="5">
        <f>_xlfn.XLOOKUP(F265,'Same Seller Hist'!H:H,'Same Seller Hist'!E:E)</f>
        <v>1252832710</v>
      </c>
      <c r="D265" s="5" t="str">
        <f>_xlfn.XLOOKUP(F265,'Same Seller Hist'!H:H,'Same Seller Hist'!D:D)</f>
        <v>Ninevariedades</v>
      </c>
      <c r="E265" s="5">
        <f>_xlfn.XLOOKUP(F265,'Same Seller Hist'!H:H,'Same Seller Hist'!I:I)</f>
        <v>7.49414620601873E+18</v>
      </c>
      <c r="F265" s="5" t="s">
        <v>844</v>
      </c>
      <c r="G265" s="5">
        <f>_xlfn.XLOOKUP(C265,'Same Seller Hist'!E:E,'Same Seller Hist'!F:F)</f>
        <v>0</v>
      </c>
      <c r="H265" s="19">
        <f>_xlfn.IFNA(_xlfn.XLOOKUP(C265,'Shp 500'!D:D,'Shp 500'!I:I),0)</f>
        <v>0</v>
      </c>
      <c r="I265" s="19">
        <f>_xlfn.IFNA(_xlfn.XLOOKUP(C265,'Shp 500'!D:D,'Shp 500'!J:J),0)</f>
        <v>0</v>
      </c>
      <c r="J265" s="19">
        <v>432.25806451612902</v>
      </c>
      <c r="K265" s="19">
        <v>22806.451612903227</v>
      </c>
      <c r="L265" s="21" t="s">
        <v>2530</v>
      </c>
      <c r="M265" s="21" t="str">
        <f>IF(L265="Shp 500","Sim",IF(ISNA(_xlfn.XLOOKUP(C265,'Shp 500'!D:D,'Shp 500'!D:D)),"Não","Sim"))</f>
        <v>Não</v>
      </c>
      <c r="N265" s="21" t="str">
        <f>IF(L265="Fastmoss 500","Sim",IF(ISNA(_xlfn.XLOOKUP(_xlfn.XLOOKUP(C265,'Same Seller Hist'!E:E,'Same Seller Hist'!H:H),'Fastmoss 500'!D:D,'Fastmoss 500'!D:D)),"Não","Sim"))</f>
        <v>Sim</v>
      </c>
      <c r="O265" s="21" t="str">
        <f>IF(AND(M265="Sim",N265="Sim"),"Sim","Não")</f>
        <v>Não</v>
      </c>
      <c r="P265" s="21" t="str">
        <f>IF(I265&gt;K265,"Sim","Não")</f>
        <v>Não</v>
      </c>
      <c r="Q265" s="21">
        <f>COUNTIFS(C:C,C265)</f>
        <v>1</v>
      </c>
    </row>
    <row r="266" spans="3:17" x14ac:dyDescent="0.35">
      <c r="C266" s="5">
        <f>_xlfn.XLOOKUP(F266,'Same Seller Hist'!H:H,'Same Seller Hist'!E:E)</f>
        <v>1057319077</v>
      </c>
      <c r="D266" s="5" t="str">
        <f>_xlfn.XLOOKUP(F266,'Same Seller Hist'!H:H,'Same Seller Hist'!D:D)</f>
        <v>LEO BUY SHOP</v>
      </c>
      <c r="E266" s="5">
        <f>_xlfn.XLOOKUP(F266,'Same Seller Hist'!H:H,'Same Seller Hist'!I:I)</f>
        <v>7.49630477114543E+18</v>
      </c>
      <c r="F266" s="5" t="s">
        <v>82</v>
      </c>
      <c r="G266" s="5" t="str">
        <f>_xlfn.XLOOKUP(C266,'Same Seller Hist'!E:E,'Same Seller Hist'!F:F)</f>
        <v>ELHA</v>
      </c>
      <c r="H266" s="19">
        <f>_xlfn.IFNA(_xlfn.XLOOKUP(C266,'Shp 500'!D:D,'Shp 500'!I:I),0)</f>
        <v>3971.5483870967741</v>
      </c>
      <c r="I266" s="19">
        <f>_xlfn.IFNA(_xlfn.XLOOKUP(C266,'Shp 500'!D:D,'Shp 500'!J:J),0)</f>
        <v>34373.153014242256</v>
      </c>
      <c r="J266" s="19">
        <v>1938.7096774193549</v>
      </c>
      <c r="K266" s="19">
        <v>138709.67741935485</v>
      </c>
      <c r="L266" s="21" t="s">
        <v>2530</v>
      </c>
      <c r="M266" s="21" t="str">
        <f>IF(L266="Shp 500","Sim",IF(ISNA(_xlfn.XLOOKUP(C266,'Shp 500'!D:D,'Shp 500'!D:D)),"Não","Sim"))</f>
        <v>Sim</v>
      </c>
      <c r="N266" s="21" t="str">
        <f>IF(L266="Fastmoss 500","Sim",IF(ISNA(_xlfn.XLOOKUP(_xlfn.XLOOKUP(C266,'Same Seller Hist'!E:E,'Same Seller Hist'!H:H),'Fastmoss 500'!D:D,'Fastmoss 500'!D:D)),"Não","Sim"))</f>
        <v>Sim</v>
      </c>
      <c r="O266" s="21" t="str">
        <f>IF(AND(M266="Sim",N266="Sim"),"Sim","Não")</f>
        <v>Sim</v>
      </c>
      <c r="P266" s="21" t="str">
        <f>IF(I266&gt;K266,"Sim","Não")</f>
        <v>Não</v>
      </c>
      <c r="Q266" s="21">
        <f>COUNTIFS(C:C,C266)</f>
        <v>2</v>
      </c>
    </row>
    <row r="267" spans="3:17" hidden="1" x14ac:dyDescent="0.35">
      <c r="C267" s="5">
        <f>_xlfn.XLOOKUP(F267,'Same Seller Hist'!H:H,'Same Seller Hist'!E:E)</f>
        <v>325503017</v>
      </c>
      <c r="D267" s="5" t="str">
        <f>_xlfn.XLOOKUP(F267,'Same Seller Hist'!H:H,'Same Seller Hist'!D:D)</f>
        <v>Galuno Artesanato em Madeira</v>
      </c>
      <c r="E267" s="5">
        <f>_xlfn.XLOOKUP(F267,'Same Seller Hist'!H:H,'Same Seller Hist'!I:I)</f>
        <v>7.4962166718757202E+18</v>
      </c>
      <c r="F267" s="5" t="s">
        <v>424</v>
      </c>
      <c r="G267" s="5" t="str">
        <f>_xlfn.XLOOKUP(C267,'Same Seller Hist'!E:E,'Same Seller Hist'!F:F)</f>
        <v>Lifestyle</v>
      </c>
      <c r="H267" s="19">
        <f>_xlfn.IFNA(_xlfn.XLOOKUP(C267,'Shp 500'!D:D,'Shp 500'!I:I),0)</f>
        <v>0</v>
      </c>
      <c r="I267" s="19">
        <f>_xlfn.IFNA(_xlfn.XLOOKUP(C267,'Shp 500'!D:D,'Shp 500'!J:J),0)</f>
        <v>0</v>
      </c>
      <c r="J267" s="19">
        <v>425.80645161290323</v>
      </c>
      <c r="K267" s="19">
        <v>7925.8064516129034</v>
      </c>
      <c r="L267" s="21" t="s">
        <v>2530</v>
      </c>
      <c r="M267" s="21" t="str">
        <f>IF(L267="Shp 500","Sim",IF(ISNA(_xlfn.XLOOKUP(C267,'Shp 500'!D:D,'Shp 500'!D:D)),"Não","Sim"))</f>
        <v>Não</v>
      </c>
      <c r="N267" s="21" t="str">
        <f>IF(L267="Fastmoss 500","Sim",IF(ISNA(_xlfn.XLOOKUP(_xlfn.XLOOKUP(C267,'Same Seller Hist'!E:E,'Same Seller Hist'!H:H),'Fastmoss 500'!D:D,'Fastmoss 500'!D:D)),"Não","Sim"))</f>
        <v>Sim</v>
      </c>
      <c r="O267" s="21" t="str">
        <f>IF(AND(M267="Sim",N267="Sim"),"Sim","Não")</f>
        <v>Não</v>
      </c>
      <c r="P267" s="21" t="str">
        <f>IF(I267&gt;K267,"Sim","Não")</f>
        <v>Não</v>
      </c>
      <c r="Q267" s="21">
        <f>COUNTIFS(C:C,C267)</f>
        <v>1</v>
      </c>
    </row>
    <row r="268" spans="3:17" hidden="1" x14ac:dyDescent="0.35">
      <c r="C268" s="5">
        <f>_xlfn.XLOOKUP(F268,'Same Seller Hist'!H:H,'Same Seller Hist'!E:E)</f>
        <v>1420699091</v>
      </c>
      <c r="D268" s="5" t="str">
        <f>_xlfn.XLOOKUP(F268,'Same Seller Hist'!H:H,'Same Seller Hist'!D:D)</f>
        <v>Bestbrasil</v>
      </c>
      <c r="E268" s="5">
        <f>_xlfn.XLOOKUP(F268,'Same Seller Hist'!H:H,'Same Seller Hist'!I:I)</f>
        <v>7.4963197607471002E+18</v>
      </c>
      <c r="F268" s="5" t="s">
        <v>254</v>
      </c>
      <c r="G268" s="5" t="str">
        <f>_xlfn.XLOOKUP(C268,'Same Seller Hist'!E:E,'Same Seller Hist'!F:F)</f>
        <v>Lifestyle</v>
      </c>
      <c r="H268" s="19">
        <f>_xlfn.IFNA(_xlfn.XLOOKUP(C268,'Shp 500'!D:D,'Shp 500'!I:I),0)</f>
        <v>0</v>
      </c>
      <c r="I268" s="19">
        <f>_xlfn.IFNA(_xlfn.XLOOKUP(C268,'Shp 500'!D:D,'Shp 500'!J:J),0)</f>
        <v>0</v>
      </c>
      <c r="J268" s="19">
        <v>425.80645161290323</v>
      </c>
      <c r="K268" s="19">
        <v>18812.903225806451</v>
      </c>
      <c r="L268" s="21" t="s">
        <v>2530</v>
      </c>
      <c r="M268" s="21" t="str">
        <f>IF(L268="Shp 500","Sim",IF(ISNA(_xlfn.XLOOKUP(C268,'Shp 500'!D:D,'Shp 500'!D:D)),"Não","Sim"))</f>
        <v>Não</v>
      </c>
      <c r="N268" s="21" t="str">
        <f>IF(L268="Fastmoss 500","Sim",IF(ISNA(_xlfn.XLOOKUP(_xlfn.XLOOKUP(C268,'Same Seller Hist'!E:E,'Same Seller Hist'!H:H),'Fastmoss 500'!D:D,'Fastmoss 500'!D:D)),"Não","Sim"))</f>
        <v>Sim</v>
      </c>
      <c r="O268" s="21" t="str">
        <f>IF(AND(M268="Sim",N268="Sim"),"Sim","Não")</f>
        <v>Não</v>
      </c>
      <c r="P268" s="21" t="str">
        <f>IF(I268&gt;K268,"Sim","Não")</f>
        <v>Não</v>
      </c>
      <c r="Q268" s="21">
        <f>COUNTIFS(C:C,C268)</f>
        <v>1</v>
      </c>
    </row>
    <row r="269" spans="3:17" x14ac:dyDescent="0.35">
      <c r="C269" s="5">
        <f>_xlfn.XLOOKUP(F269,'Same Seller Hist'!H:H,'Same Seller Hist'!E:E)</f>
        <v>1114645438</v>
      </c>
      <c r="D269" s="5" t="str">
        <f>_xlfn.XLOOKUP(F269,'Same Seller Hist'!H:H,'Same Seller Hist'!D:D)</f>
        <v>bettdow.br</v>
      </c>
      <c r="E269" s="5">
        <f>_xlfn.XLOOKUP(F269,'Same Seller Hist'!H:H,'Same Seller Hist'!I:I)</f>
        <v>7.4961473777790802E+18</v>
      </c>
      <c r="F269" s="5" t="s">
        <v>118</v>
      </c>
      <c r="G269" s="5" t="str">
        <f>_xlfn.XLOOKUP(C269,'Same Seller Hist'!E:E,'Same Seller Hist'!F:F)</f>
        <v>ELHA</v>
      </c>
      <c r="H269" s="19">
        <f>_xlfn.IFNA(_xlfn.XLOOKUP(C269,'Shp 500'!D:D,'Shp 500'!I:I),0)</f>
        <v>0</v>
      </c>
      <c r="I269" s="19">
        <f>_xlfn.IFNA(_xlfn.XLOOKUP(C269,'Shp 500'!D:D,'Shp 500'!J:J),0)</f>
        <v>0</v>
      </c>
      <c r="J269" s="19">
        <v>1035.483870967742</v>
      </c>
      <c r="K269" s="19">
        <v>83870.967741935485</v>
      </c>
      <c r="L269" s="21" t="s">
        <v>2530</v>
      </c>
      <c r="M269" s="21" t="str">
        <f>IF(L269="Shp 500","Sim",IF(ISNA(_xlfn.XLOOKUP(C269,'Shp 500'!D:D,'Shp 500'!D:D)),"Não","Sim"))</f>
        <v>Não</v>
      </c>
      <c r="N269" s="21" t="str">
        <f>IF(L269="Fastmoss 500","Sim",IF(ISNA(_xlfn.XLOOKUP(_xlfn.XLOOKUP(C269,'Same Seller Hist'!E:E,'Same Seller Hist'!H:H),'Fastmoss 500'!D:D,'Fastmoss 500'!D:D)),"Não","Sim"))</f>
        <v>Sim</v>
      </c>
      <c r="O269" s="21" t="str">
        <f>IF(AND(M269="Sim",N269="Sim"),"Sim","Não")</f>
        <v>Não</v>
      </c>
      <c r="P269" s="21" t="str">
        <f>IF(I269&gt;K269,"Sim","Não")</f>
        <v>Não</v>
      </c>
      <c r="Q269" s="21">
        <f>COUNTIFS(C:C,C269)</f>
        <v>2</v>
      </c>
    </row>
    <row r="270" spans="3:17" hidden="1" x14ac:dyDescent="0.35">
      <c r="C270" s="5">
        <f>_xlfn.XLOOKUP(F270,'Same Seller Hist'!H:H,'Same Seller Hist'!E:E)</f>
        <v>1615209975</v>
      </c>
      <c r="D270" s="5" t="str">
        <f>_xlfn.XLOOKUP(F270,'Same Seller Hist'!H:H,'Same Seller Hist'!D:D)</f>
        <v>Lafu</v>
      </c>
      <c r="E270" s="5">
        <f>_xlfn.XLOOKUP(F270,'Same Seller Hist'!H:H,'Same Seller Hist'!I:I)</f>
        <v>7.4941284632876401E+18</v>
      </c>
      <c r="F270" s="5" t="s">
        <v>780</v>
      </c>
      <c r="G270" s="5" t="str">
        <f>_xlfn.XLOOKUP(C270,'Same Seller Hist'!E:E,'Same Seller Hist'!F:F)</f>
        <v>FMCG</v>
      </c>
      <c r="H270" s="19">
        <f>_xlfn.IFNA(_xlfn.XLOOKUP(C270,'Shp 500'!D:D,'Shp 500'!I:I),0)</f>
        <v>0</v>
      </c>
      <c r="I270" s="19">
        <f>_xlfn.IFNA(_xlfn.XLOOKUP(C270,'Shp 500'!D:D,'Shp 500'!J:J),0)</f>
        <v>0</v>
      </c>
      <c r="J270" s="19">
        <v>403.22580645161293</v>
      </c>
      <c r="K270" s="19">
        <v>20958.064516129034</v>
      </c>
      <c r="L270" s="21" t="s">
        <v>2530</v>
      </c>
      <c r="M270" s="21" t="str">
        <f>IF(L270="Shp 500","Sim",IF(ISNA(_xlfn.XLOOKUP(C270,'Shp 500'!D:D,'Shp 500'!D:D)),"Não","Sim"))</f>
        <v>Não</v>
      </c>
      <c r="N270" s="21" t="str">
        <f>IF(L270="Fastmoss 500","Sim",IF(ISNA(_xlfn.XLOOKUP(_xlfn.XLOOKUP(C270,'Same Seller Hist'!E:E,'Same Seller Hist'!H:H),'Fastmoss 500'!D:D,'Fastmoss 500'!D:D)),"Não","Sim"))</f>
        <v>Sim</v>
      </c>
      <c r="O270" s="21" t="str">
        <f>IF(AND(M270="Sim",N270="Sim"),"Sim","Não")</f>
        <v>Não</v>
      </c>
      <c r="P270" s="21" t="str">
        <f>IF(I270&gt;K270,"Sim","Não")</f>
        <v>Não</v>
      </c>
      <c r="Q270" s="21">
        <f>COUNTIFS(C:C,C270)</f>
        <v>1</v>
      </c>
    </row>
    <row r="271" spans="3:17" hidden="1" x14ac:dyDescent="0.35">
      <c r="C271" s="5">
        <f>_xlfn.XLOOKUP(F271,'Same Seller Hist'!H:H,'Same Seller Hist'!E:E)</f>
        <v>684159964</v>
      </c>
      <c r="D271" s="5" t="str">
        <f>_xlfn.XLOOKUP(F271,'Same Seller Hist'!H:H,'Same Seller Hist'!D:D)</f>
        <v>Fu Acessórios</v>
      </c>
      <c r="E271" s="5">
        <f>_xlfn.XLOOKUP(F271,'Same Seller Hist'!H:H,'Same Seller Hist'!I:I)</f>
        <v>7.4961626052288502E+18</v>
      </c>
      <c r="F271" s="5" t="s">
        <v>675</v>
      </c>
      <c r="G271" s="5" t="str">
        <f>_xlfn.XLOOKUP(C271,'Same Seller Hist'!E:E,'Same Seller Hist'!F:F)</f>
        <v>ELHA</v>
      </c>
      <c r="H271" s="19">
        <f>_xlfn.IFNA(_xlfn.XLOOKUP(C271,'Shp 500'!D:D,'Shp 500'!I:I),0)</f>
        <v>0</v>
      </c>
      <c r="I271" s="19">
        <f>_xlfn.IFNA(_xlfn.XLOOKUP(C271,'Shp 500'!D:D,'Shp 500'!J:J),0)</f>
        <v>0</v>
      </c>
      <c r="J271" s="19">
        <v>400</v>
      </c>
      <c r="K271" s="19">
        <v>5993.5483870967746</v>
      </c>
      <c r="L271" s="21" t="s">
        <v>2530</v>
      </c>
      <c r="M271" s="21" t="str">
        <f>IF(L271="Shp 500","Sim",IF(ISNA(_xlfn.XLOOKUP(C271,'Shp 500'!D:D,'Shp 500'!D:D)),"Não","Sim"))</f>
        <v>Não</v>
      </c>
      <c r="N271" s="21" t="str">
        <f>IF(L271="Fastmoss 500","Sim",IF(ISNA(_xlfn.XLOOKUP(_xlfn.XLOOKUP(C271,'Same Seller Hist'!E:E,'Same Seller Hist'!H:H),'Fastmoss 500'!D:D,'Fastmoss 500'!D:D)),"Não","Sim"))</f>
        <v>Sim</v>
      </c>
      <c r="O271" s="21" t="str">
        <f>IF(AND(M271="Sim",N271="Sim"),"Sim","Não")</f>
        <v>Não</v>
      </c>
      <c r="P271" s="21" t="str">
        <f>IF(I271&gt;K271,"Sim","Não")</f>
        <v>Não</v>
      </c>
      <c r="Q271" s="21">
        <f>COUNTIFS(C:C,C271)</f>
        <v>1</v>
      </c>
    </row>
    <row r="272" spans="3:17" hidden="1" x14ac:dyDescent="0.35">
      <c r="C272" s="5">
        <f>_xlfn.XLOOKUP(F272,'Same Seller Hist'!H:H,'Same Seller Hist'!E:E)</f>
        <v>932796296</v>
      </c>
      <c r="D272" s="5" t="str">
        <f>_xlfn.XLOOKUP(F272,'Same Seller Hist'!H:H,'Same Seller Hist'!D:D)</f>
        <v>LUNA SHOP BRASIL</v>
      </c>
      <c r="E272" s="5">
        <f>_xlfn.XLOOKUP(F272,'Same Seller Hist'!H:H,'Same Seller Hist'!I:I)</f>
        <v>7.4961819424250604E+18</v>
      </c>
      <c r="F272" s="5" t="s">
        <v>750</v>
      </c>
      <c r="G272" s="5" t="str">
        <f>_xlfn.XLOOKUP(C272,'Same Seller Hist'!E:E,'Same Seller Hist'!F:F)</f>
        <v>Lifestyle</v>
      </c>
      <c r="H272" s="19">
        <f>_xlfn.IFNA(_xlfn.XLOOKUP(C272,'Shp 500'!D:D,'Shp 500'!I:I),0)</f>
        <v>0</v>
      </c>
      <c r="I272" s="19">
        <f>_xlfn.IFNA(_xlfn.XLOOKUP(C272,'Shp 500'!D:D,'Shp 500'!J:J),0)</f>
        <v>0</v>
      </c>
      <c r="J272" s="19">
        <v>393.54838709677421</v>
      </c>
      <c r="K272" s="19">
        <v>9425.8064516129034</v>
      </c>
      <c r="L272" s="21" t="s">
        <v>2530</v>
      </c>
      <c r="M272" s="21" t="str">
        <f>IF(L272="Shp 500","Sim",IF(ISNA(_xlfn.XLOOKUP(C272,'Shp 500'!D:D,'Shp 500'!D:D)),"Não","Sim"))</f>
        <v>Não</v>
      </c>
      <c r="N272" s="21" t="str">
        <f>IF(L272="Fastmoss 500","Sim",IF(ISNA(_xlfn.XLOOKUP(_xlfn.XLOOKUP(C272,'Same Seller Hist'!E:E,'Same Seller Hist'!H:H),'Fastmoss 500'!D:D,'Fastmoss 500'!D:D)),"Não","Sim"))</f>
        <v>Sim</v>
      </c>
      <c r="O272" s="21" t="str">
        <f>IF(AND(M272="Sim",N272="Sim"),"Sim","Não")</f>
        <v>Não</v>
      </c>
      <c r="P272" s="21" t="str">
        <f>IF(I272&gt;K272,"Sim","Não")</f>
        <v>Não</v>
      </c>
      <c r="Q272" s="21">
        <f>COUNTIFS(C:C,C272)</f>
        <v>1</v>
      </c>
    </row>
    <row r="273" spans="3:17" hidden="1" x14ac:dyDescent="0.35">
      <c r="C273" s="5">
        <f>_xlfn.XLOOKUP(F273,'Same Seller Hist'!H:H,'Same Seller Hist'!E:E)</f>
        <v>469995342</v>
      </c>
      <c r="D273" s="5" t="str">
        <f>_xlfn.XLOOKUP(F273,'Same Seller Hist'!H:H,'Same Seller Hist'!D:D)</f>
        <v>Atacadão do João Lingerie</v>
      </c>
      <c r="E273" s="5">
        <f>_xlfn.XLOOKUP(F273,'Same Seller Hist'!H:H,'Same Seller Hist'!I:I)</f>
        <v>7.4941126196287498E+18</v>
      </c>
      <c r="F273" s="5" t="s">
        <v>849</v>
      </c>
      <c r="G273" s="5">
        <f>_xlfn.XLOOKUP(C273,'Same Seller Hist'!E:E,'Same Seller Hist'!F:F)</f>
        <v>0</v>
      </c>
      <c r="H273" s="19">
        <f>_xlfn.IFNA(_xlfn.XLOOKUP(C273,'Shp 500'!D:D,'Shp 500'!I:I),0)</f>
        <v>0</v>
      </c>
      <c r="I273" s="19">
        <f>_xlfn.IFNA(_xlfn.XLOOKUP(C273,'Shp 500'!D:D,'Shp 500'!J:J),0)</f>
        <v>0</v>
      </c>
      <c r="J273" s="19">
        <v>393.54838709677421</v>
      </c>
      <c r="K273" s="19">
        <v>21483.870967741936</v>
      </c>
      <c r="L273" s="21" t="s">
        <v>2530</v>
      </c>
      <c r="M273" s="21" t="str">
        <f>IF(L273="Shp 500","Sim",IF(ISNA(_xlfn.XLOOKUP(C273,'Shp 500'!D:D,'Shp 500'!D:D)),"Não","Sim"))</f>
        <v>Não</v>
      </c>
      <c r="N273" s="21" t="str">
        <f>IF(L273="Fastmoss 500","Sim",IF(ISNA(_xlfn.XLOOKUP(_xlfn.XLOOKUP(C273,'Same Seller Hist'!E:E,'Same Seller Hist'!H:H),'Fastmoss 500'!D:D,'Fastmoss 500'!D:D)),"Não","Sim"))</f>
        <v>Sim</v>
      </c>
      <c r="O273" s="21" t="str">
        <f>IF(AND(M273="Sim",N273="Sim"),"Sim","Não")</f>
        <v>Não</v>
      </c>
      <c r="P273" s="21" t="str">
        <f>IF(I273&gt;K273,"Sim","Não")</f>
        <v>Não</v>
      </c>
      <c r="Q273" s="21">
        <f>COUNTIFS(C:C,C273)</f>
        <v>1</v>
      </c>
    </row>
    <row r="274" spans="3:17" hidden="1" x14ac:dyDescent="0.35">
      <c r="C274" s="5">
        <f>_xlfn.XLOOKUP(F274,'Same Seller Hist'!H:H,'Same Seller Hist'!E:E)</f>
        <v>305942764</v>
      </c>
      <c r="D274" s="5" t="str">
        <f>_xlfn.XLOOKUP(F274,'Same Seller Hist'!H:H,'Same Seller Hist'!D:D)</f>
        <v>GrupoGeta</v>
      </c>
      <c r="E274" s="5">
        <f>_xlfn.XLOOKUP(F274,'Same Seller Hist'!H:H,'Same Seller Hist'!I:I)</f>
        <v>7.4962416790237696E+18</v>
      </c>
      <c r="F274" s="5" t="s">
        <v>397</v>
      </c>
      <c r="G274" s="5" t="str">
        <f>_xlfn.XLOOKUP(C274,'Same Seller Hist'!E:E,'Same Seller Hist'!F:F)</f>
        <v>Lifestyle</v>
      </c>
      <c r="H274" s="19">
        <f>_xlfn.IFNA(_xlfn.XLOOKUP(C274,'Shp 500'!D:D,'Shp 500'!I:I),0)</f>
        <v>0</v>
      </c>
      <c r="I274" s="19">
        <f>_xlfn.IFNA(_xlfn.XLOOKUP(C274,'Shp 500'!D:D,'Shp 500'!J:J),0)</f>
        <v>0</v>
      </c>
      <c r="J274" s="19">
        <v>390.32258064516128</v>
      </c>
      <c r="K274" s="19">
        <v>12690.322580645161</v>
      </c>
      <c r="L274" s="21" t="s">
        <v>2530</v>
      </c>
      <c r="M274" s="21" t="str">
        <f>IF(L274="Shp 500","Sim",IF(ISNA(_xlfn.XLOOKUP(C274,'Shp 500'!D:D,'Shp 500'!D:D)),"Não","Sim"))</f>
        <v>Não</v>
      </c>
      <c r="N274" s="21" t="str">
        <f>IF(L274="Fastmoss 500","Sim",IF(ISNA(_xlfn.XLOOKUP(_xlfn.XLOOKUP(C274,'Same Seller Hist'!E:E,'Same Seller Hist'!H:H),'Fastmoss 500'!D:D,'Fastmoss 500'!D:D)),"Não","Sim"))</f>
        <v>Sim</v>
      </c>
      <c r="O274" s="21" t="str">
        <f>IF(AND(M274="Sim",N274="Sim"),"Sim","Não")</f>
        <v>Não</v>
      </c>
      <c r="P274" s="21" t="str">
        <f>IF(I274&gt;K274,"Sim","Não")</f>
        <v>Não</v>
      </c>
      <c r="Q274" s="21">
        <f>COUNTIFS(C:C,C274)</f>
        <v>1</v>
      </c>
    </row>
    <row r="275" spans="3:17" hidden="1" x14ac:dyDescent="0.35">
      <c r="C275" s="5">
        <f>_xlfn.XLOOKUP(F275,'Same Seller Hist'!H:H,'Same Seller Hist'!E:E)</f>
        <v>1506918672</v>
      </c>
      <c r="D275" s="5" t="str">
        <f>_xlfn.XLOOKUP(F275,'Same Seller Hist'!H:H,'Same Seller Hist'!D:D)</f>
        <v>Loja do Sol</v>
      </c>
      <c r="E275" s="5">
        <f>_xlfn.XLOOKUP(F275,'Same Seller Hist'!H:H,'Same Seller Hist'!I:I)</f>
        <v>7.4961869234503997E+18</v>
      </c>
      <c r="F275" s="5" t="s">
        <v>292</v>
      </c>
      <c r="G275" s="5" t="str">
        <f>_xlfn.XLOOKUP(C275,'Same Seller Hist'!E:E,'Same Seller Hist'!F:F)</f>
        <v>Lifestyle</v>
      </c>
      <c r="H275" s="19">
        <f>_xlfn.IFNA(_xlfn.XLOOKUP(C275,'Shp 500'!D:D,'Shp 500'!I:I),0)</f>
        <v>0</v>
      </c>
      <c r="I275" s="19">
        <f>_xlfn.IFNA(_xlfn.XLOOKUP(C275,'Shp 500'!D:D,'Shp 500'!J:J),0)</f>
        <v>0</v>
      </c>
      <c r="J275" s="19">
        <v>387.09677419354841</v>
      </c>
      <c r="K275" s="19">
        <v>12316.129032258064</v>
      </c>
      <c r="L275" s="21" t="s">
        <v>2530</v>
      </c>
      <c r="M275" s="21" t="str">
        <f>IF(L275="Shp 500","Sim",IF(ISNA(_xlfn.XLOOKUP(C275,'Shp 500'!D:D,'Shp 500'!D:D)),"Não","Sim"))</f>
        <v>Não</v>
      </c>
      <c r="N275" s="21" t="str">
        <f>IF(L275="Fastmoss 500","Sim",IF(ISNA(_xlfn.XLOOKUP(_xlfn.XLOOKUP(C275,'Same Seller Hist'!E:E,'Same Seller Hist'!H:H),'Fastmoss 500'!D:D,'Fastmoss 500'!D:D)),"Não","Sim"))</f>
        <v>Sim</v>
      </c>
      <c r="O275" s="21" t="str">
        <f>IF(AND(M275="Sim",N275="Sim"),"Sim","Não")</f>
        <v>Não</v>
      </c>
      <c r="P275" s="21" t="str">
        <f>IF(I275&gt;K275,"Sim","Não")</f>
        <v>Não</v>
      </c>
      <c r="Q275" s="21">
        <f>COUNTIFS(C:C,C275)</f>
        <v>1</v>
      </c>
    </row>
    <row r="276" spans="3:17" hidden="1" x14ac:dyDescent="0.35">
      <c r="C276" s="5">
        <f>_xlfn.XLOOKUP(F276,'Same Seller Hist'!H:H,'Same Seller Hist'!E:E)</f>
        <v>1068177515</v>
      </c>
      <c r="D276" s="5" t="str">
        <f>_xlfn.XLOOKUP(F276,'Same Seller Hist'!H:H,'Same Seller Hist'!D:D)</f>
        <v>YAYA COMERCIO</v>
      </c>
      <c r="E276" s="5">
        <f>_xlfn.XLOOKUP(F276,'Same Seller Hist'!H:H,'Same Seller Hist'!I:I)</f>
        <v>7.4962361551515505E+18</v>
      </c>
      <c r="F276" s="5" t="s">
        <v>91</v>
      </c>
      <c r="G276" s="5" t="str">
        <f>_xlfn.XLOOKUP(C276,'Same Seller Hist'!E:E,'Same Seller Hist'!F:F)</f>
        <v>FMCG</v>
      </c>
      <c r="H276" s="19">
        <f>_xlfn.IFNA(_xlfn.XLOOKUP(C276,'Shp 500'!D:D,'Shp 500'!I:I),0)</f>
        <v>0</v>
      </c>
      <c r="I276" s="19">
        <f>_xlfn.IFNA(_xlfn.XLOOKUP(C276,'Shp 500'!D:D,'Shp 500'!J:J),0)</f>
        <v>0</v>
      </c>
      <c r="J276" s="19">
        <v>383.87096774193549</v>
      </c>
      <c r="K276" s="19">
        <v>9496.7741935483864</v>
      </c>
      <c r="L276" s="21" t="s">
        <v>2530</v>
      </c>
      <c r="M276" s="21" t="str">
        <f>IF(L276="Shp 500","Sim",IF(ISNA(_xlfn.XLOOKUP(C276,'Shp 500'!D:D,'Shp 500'!D:D)),"Não","Sim"))</f>
        <v>Não</v>
      </c>
      <c r="N276" s="21" t="str">
        <f>IF(L276="Fastmoss 500","Sim",IF(ISNA(_xlfn.XLOOKUP(_xlfn.XLOOKUP(C276,'Same Seller Hist'!E:E,'Same Seller Hist'!H:H),'Fastmoss 500'!D:D,'Fastmoss 500'!D:D)),"Não","Sim"))</f>
        <v>Sim</v>
      </c>
      <c r="O276" s="21" t="str">
        <f>IF(AND(M276="Sim",N276="Sim"),"Sim","Não")</f>
        <v>Não</v>
      </c>
      <c r="P276" s="21" t="str">
        <f>IF(I276&gt;K276,"Sim","Não")</f>
        <v>Não</v>
      </c>
      <c r="Q276" s="21">
        <f>COUNTIFS(C:C,C276)</f>
        <v>1</v>
      </c>
    </row>
    <row r="277" spans="3:17" x14ac:dyDescent="0.35">
      <c r="C277" s="5">
        <f>_xlfn.XLOOKUP(F277,'Same Seller Hist'!H:H,'Same Seller Hist'!E:E)</f>
        <v>1114645438</v>
      </c>
      <c r="D277" s="5" t="str">
        <f>_xlfn.XLOOKUP(F277,'Same Seller Hist'!H:H,'Same Seller Hist'!D:D)</f>
        <v>BETTDOW-Projetor</v>
      </c>
      <c r="E277" s="5">
        <f>_xlfn.XLOOKUP(F277,'Same Seller Hist'!H:H,'Same Seller Hist'!I:I)</f>
        <v>7.49419466673229E+18</v>
      </c>
      <c r="F277" s="5" t="s">
        <v>852</v>
      </c>
      <c r="G277" s="5" t="str">
        <f>_xlfn.XLOOKUP(C277,'Same Seller Hist'!E:E,'Same Seller Hist'!F:F)</f>
        <v>ELHA</v>
      </c>
      <c r="H277" s="19">
        <f>_xlfn.IFNA(_xlfn.XLOOKUP(C277,'Shp 500'!D:D,'Shp 500'!I:I),0)</f>
        <v>0</v>
      </c>
      <c r="I277" s="19">
        <f>_xlfn.IFNA(_xlfn.XLOOKUP(C277,'Shp 500'!D:D,'Shp 500'!J:J),0)</f>
        <v>0</v>
      </c>
      <c r="J277" s="19">
        <v>203.2258064516129</v>
      </c>
      <c r="K277" s="19">
        <v>21651.612903225807</v>
      </c>
      <c r="L277" s="21" t="s">
        <v>2530</v>
      </c>
      <c r="M277" s="21" t="str">
        <f>IF(L277="Shp 500","Sim",IF(ISNA(_xlfn.XLOOKUP(C277,'Shp 500'!D:D,'Shp 500'!D:D)),"Não","Sim"))</f>
        <v>Não</v>
      </c>
      <c r="N277" s="21" t="str">
        <f>IF(L277="Fastmoss 500","Sim",IF(ISNA(_xlfn.XLOOKUP(_xlfn.XLOOKUP(C277,'Same Seller Hist'!E:E,'Same Seller Hist'!H:H),'Fastmoss 500'!D:D,'Fastmoss 500'!D:D)),"Não","Sim"))</f>
        <v>Sim</v>
      </c>
      <c r="O277" s="21" t="str">
        <f>IF(AND(M277="Sim",N277="Sim"),"Sim","Não")</f>
        <v>Não</v>
      </c>
      <c r="P277" s="21" t="str">
        <f>IF(I277&gt;K277,"Sim","Não")</f>
        <v>Não</v>
      </c>
      <c r="Q277" s="21">
        <f>COUNTIFS(C:C,C277)</f>
        <v>2</v>
      </c>
    </row>
    <row r="278" spans="3:17" x14ac:dyDescent="0.35">
      <c r="C278" s="5">
        <v>1171273264</v>
      </c>
      <c r="D278" s="5" t="s">
        <v>1529</v>
      </c>
      <c r="E278" s="5">
        <f>_xlfn.XLOOKUP(C278,'Same Seller Hist'!E:E,'Same Seller Hist'!I:I)</f>
        <v>7.49616355422434E+18</v>
      </c>
      <c r="F278" s="5" t="str">
        <f>_xlfn.XLOOKUP(C278,'Same Seller Hist'!E:E,'Same Seller Hist'!H:H)</f>
        <v>Monica Fashion Brasil</v>
      </c>
      <c r="G278" s="5" t="s">
        <v>1734</v>
      </c>
      <c r="H278" s="19">
        <v>1134.0322580645161</v>
      </c>
      <c r="I278" s="19">
        <v>3686.8094674805161</v>
      </c>
      <c r="J278" s="19">
        <f>_xlfn.IFNA(_xlfn.XLOOKUP(F278,'Fastmoss 500'!D:D,'Fastmoss 500'!O:O),0)</f>
        <v>1254.8387096774193</v>
      </c>
      <c r="K278" s="19">
        <f>_xlfn.IFNA(_xlfn.XLOOKUP(F278,'Fastmoss 500'!D:D,'Fastmoss 500'!N:N),0)</f>
        <v>17438.709677419356</v>
      </c>
      <c r="L278" s="21" t="s">
        <v>2528</v>
      </c>
      <c r="M278" s="21" t="str">
        <f>IF(L278="Shp 500","Sim",IF(ISNA(_xlfn.XLOOKUP(C278,'Shp 500'!D:D,'Shp 500'!D:D)),"Não","Sim"))</f>
        <v>Sim</v>
      </c>
      <c r="N278" s="21" t="str">
        <f>IF(L278="Fastmoss 500","Sim",IF(ISNA(_xlfn.XLOOKUP(_xlfn.XLOOKUP(C278,'Same Seller Hist'!E:E,'Same Seller Hist'!H:H),'Fastmoss 500'!D:D,'Fastmoss 500'!D:D)),"Não","Sim"))</f>
        <v>Sim</v>
      </c>
      <c r="O278" s="21" t="str">
        <f>IF(AND(M278="Sim",N278="Sim"),"Sim","Não")</f>
        <v>Sim</v>
      </c>
      <c r="P278" s="21" t="str">
        <f>IF(I278&gt;K278,"Sim","Não")</f>
        <v>Não</v>
      </c>
      <c r="Q278" s="21">
        <f>COUNTIFS(C:C,C278)</f>
        <v>2</v>
      </c>
    </row>
    <row r="279" spans="3:17" hidden="1" x14ac:dyDescent="0.35">
      <c r="C279" s="5">
        <f>_xlfn.XLOOKUP(F279,'Same Seller Hist'!H:H,'Same Seller Hist'!E:E)</f>
        <v>1553752047</v>
      </c>
      <c r="D279" s="5" t="str">
        <f>_xlfn.XLOOKUP(F279,'Same Seller Hist'!H:H,'Same Seller Hist'!D:D)</f>
        <v>Dibea.store</v>
      </c>
      <c r="E279" s="5">
        <f>_xlfn.XLOOKUP(F279,'Same Seller Hist'!H:H,'Same Seller Hist'!I:I)</f>
        <v>7.4962065042038098E+18</v>
      </c>
      <c r="F279" s="5" t="s">
        <v>860</v>
      </c>
      <c r="G279" s="5">
        <f>_xlfn.XLOOKUP(C279,'Same Seller Hist'!E:E,'Same Seller Hist'!F:F)</f>
        <v>0</v>
      </c>
      <c r="H279" s="19">
        <f>_xlfn.IFNA(_xlfn.XLOOKUP(C279,'Shp 500'!D:D,'Shp 500'!I:I),0)</f>
        <v>0</v>
      </c>
      <c r="I279" s="19">
        <f>_xlfn.IFNA(_xlfn.XLOOKUP(C279,'Shp 500'!D:D,'Shp 500'!J:J),0)</f>
        <v>0</v>
      </c>
      <c r="J279" s="19">
        <v>377.41935483870969</v>
      </c>
      <c r="K279" s="19">
        <v>16654.838709677417</v>
      </c>
      <c r="L279" s="21" t="s">
        <v>2530</v>
      </c>
      <c r="M279" s="21" t="str">
        <f>IF(L279="Shp 500","Sim",IF(ISNA(_xlfn.XLOOKUP(C279,'Shp 500'!D:D,'Shp 500'!D:D)),"Não","Sim"))</f>
        <v>Não</v>
      </c>
      <c r="N279" s="21" t="str">
        <f>IF(L279="Fastmoss 500","Sim",IF(ISNA(_xlfn.XLOOKUP(_xlfn.XLOOKUP(C279,'Same Seller Hist'!E:E,'Same Seller Hist'!H:H),'Fastmoss 500'!D:D,'Fastmoss 500'!D:D)),"Não","Sim"))</f>
        <v>Sim</v>
      </c>
      <c r="O279" s="21" t="str">
        <f>IF(AND(M279="Sim",N279="Sim"),"Sim","Não")</f>
        <v>Não</v>
      </c>
      <c r="P279" s="21" t="str">
        <f>IF(I279&gt;K279,"Sim","Não")</f>
        <v>Não</v>
      </c>
      <c r="Q279" s="21">
        <f>COUNTIFS(C:C,C279)</f>
        <v>1</v>
      </c>
    </row>
    <row r="280" spans="3:17" hidden="1" x14ac:dyDescent="0.35">
      <c r="C280" s="5">
        <f>_xlfn.XLOOKUP(F280,'Same Seller Hist'!H:H,'Same Seller Hist'!E:E)</f>
        <v>651304190</v>
      </c>
      <c r="D280" s="5" t="str">
        <f>_xlfn.XLOOKUP(F280,'Same Seller Hist'!H:H,'Same Seller Hist'!D:D)</f>
        <v>Fast Star Store</v>
      </c>
      <c r="E280" s="5">
        <f>_xlfn.XLOOKUP(F280,'Same Seller Hist'!H:H,'Same Seller Hist'!I:I)</f>
        <v>7.4961625155517501E+18</v>
      </c>
      <c r="F280" s="5" t="s">
        <v>660</v>
      </c>
      <c r="G280" s="5" t="str">
        <f>_xlfn.XLOOKUP(C280,'Same Seller Hist'!E:E,'Same Seller Hist'!F:F)</f>
        <v>ELHA</v>
      </c>
      <c r="H280" s="19">
        <f>_xlfn.IFNA(_xlfn.XLOOKUP(C280,'Shp 500'!D:D,'Shp 500'!I:I),0)</f>
        <v>0</v>
      </c>
      <c r="I280" s="19">
        <f>_xlfn.IFNA(_xlfn.XLOOKUP(C280,'Shp 500'!D:D,'Shp 500'!J:J),0)</f>
        <v>0</v>
      </c>
      <c r="J280" s="19">
        <v>377.41935483870969</v>
      </c>
      <c r="K280" s="19">
        <v>17780.645161290322</v>
      </c>
      <c r="L280" s="21" t="s">
        <v>2530</v>
      </c>
      <c r="M280" s="21" t="str">
        <f>IF(L280="Shp 500","Sim",IF(ISNA(_xlfn.XLOOKUP(C280,'Shp 500'!D:D,'Shp 500'!D:D)),"Não","Sim"))</f>
        <v>Não</v>
      </c>
      <c r="N280" s="21" t="str">
        <f>IF(L280="Fastmoss 500","Sim",IF(ISNA(_xlfn.XLOOKUP(_xlfn.XLOOKUP(C280,'Same Seller Hist'!E:E,'Same Seller Hist'!H:H),'Fastmoss 500'!D:D,'Fastmoss 500'!D:D)),"Não","Sim"))</f>
        <v>Sim</v>
      </c>
      <c r="O280" s="21" t="str">
        <f>IF(AND(M280="Sim",N280="Sim"),"Sim","Não")</f>
        <v>Não</v>
      </c>
      <c r="P280" s="21" t="str">
        <f>IF(I280&gt;K280,"Sim","Não")</f>
        <v>Não</v>
      </c>
      <c r="Q280" s="21">
        <f>COUNTIFS(C:C,C280)</f>
        <v>1</v>
      </c>
    </row>
    <row r="281" spans="3:17" hidden="1" x14ac:dyDescent="0.35">
      <c r="C281" s="5">
        <f>_xlfn.XLOOKUP(F281,'Same Seller Hist'!H:H,'Same Seller Hist'!E:E)</f>
        <v>1494995608</v>
      </c>
      <c r="D281" s="5" t="str">
        <f>_xlfn.XLOOKUP(F281,'Same Seller Hist'!H:H,'Same Seller Hist'!D:D)</f>
        <v>HUAAWEI</v>
      </c>
      <c r="E281" s="5">
        <f>_xlfn.XLOOKUP(F281,'Same Seller Hist'!H:H,'Same Seller Hist'!I:I)</f>
        <v>7.4941303619913902E+18</v>
      </c>
      <c r="F281" s="5" t="s">
        <v>865</v>
      </c>
      <c r="G281" s="5">
        <f>_xlfn.XLOOKUP(C281,'Same Seller Hist'!E:E,'Same Seller Hist'!F:F)</f>
        <v>0</v>
      </c>
      <c r="H281" s="19">
        <f>_xlfn.IFNA(_xlfn.XLOOKUP(C281,'Shp 500'!D:D,'Shp 500'!I:I),0)</f>
        <v>0</v>
      </c>
      <c r="I281" s="19">
        <f>_xlfn.IFNA(_xlfn.XLOOKUP(C281,'Shp 500'!D:D,'Shp 500'!J:J),0)</f>
        <v>0</v>
      </c>
      <c r="J281" s="19">
        <v>377.41935483870969</v>
      </c>
      <c r="K281" s="19">
        <v>35483.870967741932</v>
      </c>
      <c r="L281" s="21" t="s">
        <v>2530</v>
      </c>
      <c r="M281" s="21" t="str">
        <f>IF(L281="Shp 500","Sim",IF(ISNA(_xlfn.XLOOKUP(C281,'Shp 500'!D:D,'Shp 500'!D:D)),"Não","Sim"))</f>
        <v>Não</v>
      </c>
      <c r="N281" s="21" t="str">
        <f>IF(L281="Fastmoss 500","Sim",IF(ISNA(_xlfn.XLOOKUP(_xlfn.XLOOKUP(C281,'Same Seller Hist'!E:E,'Same Seller Hist'!H:H),'Fastmoss 500'!D:D,'Fastmoss 500'!D:D)),"Não","Sim"))</f>
        <v>Sim</v>
      </c>
      <c r="O281" s="21" t="str">
        <f>IF(AND(M281="Sim",N281="Sim"),"Sim","Não")</f>
        <v>Não</v>
      </c>
      <c r="P281" s="21" t="str">
        <f>IF(I281&gt;K281,"Sim","Não")</f>
        <v>Não</v>
      </c>
      <c r="Q281" s="21">
        <f>COUNTIFS(C:C,C281)</f>
        <v>1</v>
      </c>
    </row>
    <row r="282" spans="3:17" hidden="1" x14ac:dyDescent="0.35">
      <c r="C282" s="5">
        <f>_xlfn.XLOOKUP(F282,'Same Seller Hist'!H:H,'Same Seller Hist'!E:E)</f>
        <v>662618933</v>
      </c>
      <c r="D282" s="5" t="str">
        <f>_xlfn.XLOOKUP(F282,'Same Seller Hist'!H:H,'Same Seller Hist'!D:D)</f>
        <v>Fit House</v>
      </c>
      <c r="E282" s="5">
        <f>_xlfn.XLOOKUP(F282,'Same Seller Hist'!H:H,'Same Seller Hist'!I:I)</f>
        <v>7.4961823029968497E+18</v>
      </c>
      <c r="F282" s="5" t="s">
        <v>667</v>
      </c>
      <c r="G282" s="5" t="str">
        <f>_xlfn.XLOOKUP(C282,'Same Seller Hist'!E:E,'Same Seller Hist'!F:F)</f>
        <v>Fashion</v>
      </c>
      <c r="H282" s="19">
        <f>_xlfn.IFNA(_xlfn.XLOOKUP(C282,'Shp 500'!D:D,'Shp 500'!I:I),0)</f>
        <v>0</v>
      </c>
      <c r="I282" s="19">
        <f>_xlfn.IFNA(_xlfn.XLOOKUP(C282,'Shp 500'!D:D,'Shp 500'!J:J),0)</f>
        <v>0</v>
      </c>
      <c r="J282" s="19">
        <v>374.19354838709677</v>
      </c>
      <c r="K282" s="19">
        <v>25306.451612903227</v>
      </c>
      <c r="L282" s="21" t="s">
        <v>2530</v>
      </c>
      <c r="M282" s="21" t="str">
        <f>IF(L282="Shp 500","Sim",IF(ISNA(_xlfn.XLOOKUP(C282,'Shp 500'!D:D,'Shp 500'!D:D)),"Não","Sim"))</f>
        <v>Não</v>
      </c>
      <c r="N282" s="21" t="str">
        <f>IF(L282="Fastmoss 500","Sim",IF(ISNA(_xlfn.XLOOKUP(_xlfn.XLOOKUP(C282,'Same Seller Hist'!E:E,'Same Seller Hist'!H:H),'Fastmoss 500'!D:D,'Fastmoss 500'!D:D)),"Não","Sim"))</f>
        <v>Sim</v>
      </c>
      <c r="O282" s="21" t="str">
        <f>IF(AND(M282="Sim",N282="Sim"),"Sim","Não")</f>
        <v>Não</v>
      </c>
      <c r="P282" s="21" t="str">
        <f>IF(I282&gt;K282,"Sim","Não")</f>
        <v>Não</v>
      </c>
      <c r="Q282" s="21">
        <f>COUNTIFS(C:C,C282)</f>
        <v>1</v>
      </c>
    </row>
    <row r="283" spans="3:17" x14ac:dyDescent="0.35">
      <c r="C283" s="5">
        <f>_xlfn.XLOOKUP(F283,'Same Seller Hist'!H:H,'Same Seller Hist'!E:E)</f>
        <v>1171273264</v>
      </c>
      <c r="D283" s="5" t="str">
        <f>_xlfn.XLOOKUP(F283,'Same Seller Hist'!H:H,'Same Seller Hist'!D:D)</f>
        <v>Monica Fashion Brasil</v>
      </c>
      <c r="E283" s="5">
        <f>_xlfn.XLOOKUP(F283,'Same Seller Hist'!H:H,'Same Seller Hist'!I:I)</f>
        <v>7.49616355422434E+18</v>
      </c>
      <c r="F283" s="5" t="s">
        <v>136</v>
      </c>
      <c r="G283" s="5" t="str">
        <f>_xlfn.XLOOKUP(C283,'Same Seller Hist'!E:E,'Same Seller Hist'!F:F)</f>
        <v>FMCG</v>
      </c>
      <c r="H283" s="19">
        <f>_xlfn.IFNA(_xlfn.XLOOKUP(C283,'Shp 500'!D:D,'Shp 500'!I:I),0)</f>
        <v>1134.0322580645161</v>
      </c>
      <c r="I283" s="19">
        <f>_xlfn.IFNA(_xlfn.XLOOKUP(C283,'Shp 500'!D:D,'Shp 500'!J:J),0)</f>
        <v>3686.8094674805161</v>
      </c>
      <c r="J283" s="19">
        <v>1254.8387096774193</v>
      </c>
      <c r="K283" s="19">
        <v>17438.709677419356</v>
      </c>
      <c r="L283" s="21" t="s">
        <v>2530</v>
      </c>
      <c r="M283" s="21" t="str">
        <f>IF(L283="Shp 500","Sim",IF(ISNA(_xlfn.XLOOKUP(C283,'Shp 500'!D:D,'Shp 500'!D:D)),"Não","Sim"))</f>
        <v>Sim</v>
      </c>
      <c r="N283" s="21" t="str">
        <f>IF(L283="Fastmoss 500","Sim",IF(ISNA(_xlfn.XLOOKUP(_xlfn.XLOOKUP(C283,'Same Seller Hist'!E:E,'Same Seller Hist'!H:H),'Fastmoss 500'!D:D,'Fastmoss 500'!D:D)),"Não","Sim"))</f>
        <v>Sim</v>
      </c>
      <c r="O283" s="21" t="str">
        <f>IF(AND(M283="Sim",N283="Sim"),"Sim","Não")</f>
        <v>Sim</v>
      </c>
      <c r="P283" s="21" t="str">
        <f>IF(I283&gt;K283,"Sim","Não")</f>
        <v>Não</v>
      </c>
      <c r="Q283" s="21">
        <f>COUNTIFS(C:C,C283)</f>
        <v>2</v>
      </c>
    </row>
    <row r="284" spans="3:17" hidden="1" x14ac:dyDescent="0.35">
      <c r="C284" s="5">
        <f>_xlfn.XLOOKUP(F284,'Same Seller Hist'!H:H,'Same Seller Hist'!E:E)</f>
        <v>1021246116</v>
      </c>
      <c r="D284" s="5" t="str">
        <f>_xlfn.XLOOKUP(F284,'Same Seller Hist'!H:H,'Same Seller Hist'!D:D)</f>
        <v>AimiCosmeticos</v>
      </c>
      <c r="E284" s="5">
        <f>_xlfn.XLOOKUP(F284,'Same Seller Hist'!H:H,'Same Seller Hist'!I:I)</f>
        <v>7.4942508158863596E+18</v>
      </c>
      <c r="F284" s="5" t="s">
        <v>847</v>
      </c>
      <c r="G284" s="5">
        <f>_xlfn.XLOOKUP(C284,'Same Seller Hist'!E:E,'Same Seller Hist'!F:F)</f>
        <v>0</v>
      </c>
      <c r="H284" s="19">
        <f>_xlfn.IFNA(_xlfn.XLOOKUP(C284,'Shp 500'!D:D,'Shp 500'!I:I),0)</f>
        <v>0</v>
      </c>
      <c r="I284" s="19">
        <f>_xlfn.IFNA(_xlfn.XLOOKUP(C284,'Shp 500'!D:D,'Shp 500'!J:J),0)</f>
        <v>0</v>
      </c>
      <c r="J284" s="19">
        <v>374.19354838709677</v>
      </c>
      <c r="K284" s="19">
        <v>5558.0645161290322</v>
      </c>
      <c r="L284" s="21" t="s">
        <v>2530</v>
      </c>
      <c r="M284" s="21" t="str">
        <f>IF(L284="Shp 500","Sim",IF(ISNA(_xlfn.XLOOKUP(C284,'Shp 500'!D:D,'Shp 500'!D:D)),"Não","Sim"))</f>
        <v>Não</v>
      </c>
      <c r="N284" s="21" t="str">
        <f>IF(L284="Fastmoss 500","Sim",IF(ISNA(_xlfn.XLOOKUP(_xlfn.XLOOKUP(C284,'Same Seller Hist'!E:E,'Same Seller Hist'!H:H),'Fastmoss 500'!D:D,'Fastmoss 500'!D:D)),"Não","Sim"))</f>
        <v>Sim</v>
      </c>
      <c r="O284" s="21" t="str">
        <f>IF(AND(M284="Sim",N284="Sim"),"Sim","Não")</f>
        <v>Não</v>
      </c>
      <c r="P284" s="21" t="str">
        <f>IF(I284&gt;K284,"Sim","Não")</f>
        <v>Não</v>
      </c>
      <c r="Q284" s="21">
        <f>COUNTIFS(C:C,C284)</f>
        <v>1</v>
      </c>
    </row>
    <row r="285" spans="3:17" hidden="1" x14ac:dyDescent="0.35">
      <c r="C285" s="5">
        <f>_xlfn.XLOOKUP(F285,'Same Seller Hist'!H:H,'Same Seller Hist'!E:E)</f>
        <v>1512229821</v>
      </c>
      <c r="D285" s="5" t="str">
        <f>_xlfn.XLOOKUP(F285,'Same Seller Hist'!H:H,'Same Seller Hist'!D:D)</f>
        <v>miseenscene.brasil</v>
      </c>
      <c r="E285" s="5">
        <f>_xlfn.XLOOKUP(F285,'Same Seller Hist'!H:H,'Same Seller Hist'!I:I)</f>
        <v>7.4962621320563599E+18</v>
      </c>
      <c r="F285" s="5" t="s">
        <v>297</v>
      </c>
      <c r="G285" s="5" t="str">
        <f>_xlfn.XLOOKUP(C285,'Same Seller Hist'!E:E,'Same Seller Hist'!F:F)</f>
        <v>FMCG</v>
      </c>
      <c r="H285" s="19">
        <f>_xlfn.IFNA(_xlfn.XLOOKUP(C285,'Shp 500'!D:D,'Shp 500'!I:I),0)</f>
        <v>0</v>
      </c>
      <c r="I285" s="19">
        <f>_xlfn.IFNA(_xlfn.XLOOKUP(C285,'Shp 500'!D:D,'Shp 500'!J:J),0)</f>
        <v>0</v>
      </c>
      <c r="J285" s="19">
        <v>367.74193548387098</v>
      </c>
      <c r="K285" s="19">
        <v>48387.096774193546</v>
      </c>
      <c r="L285" s="21" t="s">
        <v>2530</v>
      </c>
      <c r="M285" s="21" t="str">
        <f>IF(L285="Shp 500","Sim",IF(ISNA(_xlfn.XLOOKUP(C285,'Shp 500'!D:D,'Shp 500'!D:D)),"Não","Sim"))</f>
        <v>Não</v>
      </c>
      <c r="N285" s="21" t="str">
        <f>IF(L285="Fastmoss 500","Sim",IF(ISNA(_xlfn.XLOOKUP(_xlfn.XLOOKUP(C285,'Same Seller Hist'!E:E,'Same Seller Hist'!H:H),'Fastmoss 500'!D:D,'Fastmoss 500'!D:D)),"Não","Sim"))</f>
        <v>Sim</v>
      </c>
      <c r="O285" s="21" t="str">
        <f>IF(AND(M285="Sim",N285="Sim"),"Sim","Não")</f>
        <v>Não</v>
      </c>
      <c r="P285" s="21" t="str">
        <f>IF(I285&gt;K285,"Sim","Não")</f>
        <v>Não</v>
      </c>
      <c r="Q285" s="21">
        <f>COUNTIFS(C:C,C285)</f>
        <v>1</v>
      </c>
    </row>
    <row r="286" spans="3:17" hidden="1" x14ac:dyDescent="0.35">
      <c r="C286" s="5">
        <f>_xlfn.XLOOKUP(F286,'Same Seller Hist'!H:H,'Same Seller Hist'!E:E)</f>
        <v>290919980</v>
      </c>
      <c r="D286" s="5" t="str">
        <f>_xlfn.XLOOKUP(F286,'Same Seller Hist'!H:H,'Same Seller Hist'!D:D)</f>
        <v>Cationi Modas</v>
      </c>
      <c r="E286" s="5">
        <f>_xlfn.XLOOKUP(F286,'Same Seller Hist'!H:H,'Same Seller Hist'!I:I)</f>
        <v>7.4941005461281495E+18</v>
      </c>
      <c r="F286" s="5" t="s">
        <v>377</v>
      </c>
      <c r="G286" s="5" t="str">
        <f>_xlfn.XLOOKUP(C286,'Same Seller Hist'!E:E,'Same Seller Hist'!F:F)</f>
        <v>Fashion</v>
      </c>
      <c r="H286" s="19">
        <f>_xlfn.IFNA(_xlfn.XLOOKUP(C286,'Shp 500'!D:D,'Shp 500'!I:I),0)</f>
        <v>0</v>
      </c>
      <c r="I286" s="19">
        <f>_xlfn.IFNA(_xlfn.XLOOKUP(C286,'Shp 500'!D:D,'Shp 500'!J:J),0)</f>
        <v>0</v>
      </c>
      <c r="J286" s="19">
        <v>364.51612903225805</v>
      </c>
      <c r="K286" s="19">
        <v>13841.935483870968</v>
      </c>
      <c r="L286" s="21" t="s">
        <v>2530</v>
      </c>
      <c r="M286" s="21" t="str">
        <f>IF(L286="Shp 500","Sim",IF(ISNA(_xlfn.XLOOKUP(C286,'Shp 500'!D:D,'Shp 500'!D:D)),"Não","Sim"))</f>
        <v>Não</v>
      </c>
      <c r="N286" s="21" t="str">
        <f>IF(L286="Fastmoss 500","Sim",IF(ISNA(_xlfn.XLOOKUP(_xlfn.XLOOKUP(C286,'Same Seller Hist'!E:E,'Same Seller Hist'!H:H),'Fastmoss 500'!D:D,'Fastmoss 500'!D:D)),"Não","Sim"))</f>
        <v>Sim</v>
      </c>
      <c r="O286" s="21" t="str">
        <f>IF(AND(M286="Sim",N286="Sim"),"Sim","Não")</f>
        <v>Não</v>
      </c>
      <c r="P286" s="21" t="str">
        <f>IF(I286&gt;K286,"Sim","Não")</f>
        <v>Não</v>
      </c>
      <c r="Q286" s="21">
        <f>COUNTIFS(C:C,C286)</f>
        <v>1</v>
      </c>
    </row>
    <row r="287" spans="3:17" x14ac:dyDescent="0.35">
      <c r="C287" s="5">
        <v>1177319319</v>
      </c>
      <c r="D287" s="5" t="s">
        <v>1308</v>
      </c>
      <c r="E287" s="5">
        <f>_xlfn.XLOOKUP(C287,'Same Seller Hist'!E:E,'Same Seller Hist'!I:I)</f>
        <v>7.4961626035106898E+18</v>
      </c>
      <c r="F287" s="5" t="str">
        <f>_xlfn.XLOOKUP(C287,'Same Seller Hist'!E:E,'Same Seller Hist'!H:H)</f>
        <v>CARPEI</v>
      </c>
      <c r="G287" s="5" t="s">
        <v>1734</v>
      </c>
      <c r="H287" s="19">
        <v>2768.4516129032259</v>
      </c>
      <c r="I287" s="19">
        <v>11635.882039454258</v>
      </c>
      <c r="J287" s="19">
        <f>_xlfn.IFNA(_xlfn.XLOOKUP(F287,'Fastmoss 500'!D:D,'Fastmoss 500'!O:O),0)</f>
        <v>1116.1290322580646</v>
      </c>
      <c r="K287" s="19">
        <f>_xlfn.IFNA(_xlfn.XLOOKUP(F287,'Fastmoss 500'!D:D,'Fastmoss 500'!N:N),0)</f>
        <v>27932.258064516129</v>
      </c>
      <c r="L287" s="21" t="s">
        <v>2528</v>
      </c>
      <c r="M287" s="21" t="str">
        <f>IF(L287="Shp 500","Sim",IF(ISNA(_xlfn.XLOOKUP(C287,'Shp 500'!D:D,'Shp 500'!D:D)),"Não","Sim"))</f>
        <v>Sim</v>
      </c>
      <c r="N287" s="21" t="str">
        <f>IF(L287="Fastmoss 500","Sim",IF(ISNA(_xlfn.XLOOKUP(_xlfn.XLOOKUP(C287,'Same Seller Hist'!E:E,'Same Seller Hist'!H:H),'Fastmoss 500'!D:D,'Fastmoss 500'!D:D)),"Não","Sim"))</f>
        <v>Sim</v>
      </c>
      <c r="O287" s="21" t="str">
        <f>IF(AND(M287="Sim",N287="Sim"),"Sim","Não")</f>
        <v>Sim</v>
      </c>
      <c r="P287" s="21" t="str">
        <f>IF(I287&gt;K287,"Sim","Não")</f>
        <v>Não</v>
      </c>
      <c r="Q287" s="21">
        <f>COUNTIFS(C:C,C287)</f>
        <v>2</v>
      </c>
    </row>
    <row r="288" spans="3:17" x14ac:dyDescent="0.35">
      <c r="C288" s="5">
        <f>_xlfn.XLOOKUP(F288,'Same Seller Hist'!H:H,'Same Seller Hist'!E:E)</f>
        <v>1177319319</v>
      </c>
      <c r="D288" s="5" t="str">
        <f>_xlfn.XLOOKUP(F288,'Same Seller Hist'!H:H,'Same Seller Hist'!D:D)</f>
        <v>CARPEI</v>
      </c>
      <c r="E288" s="5">
        <f>_xlfn.XLOOKUP(F288,'Same Seller Hist'!H:H,'Same Seller Hist'!I:I)</f>
        <v>7.4961626035106898E+18</v>
      </c>
      <c r="F288" s="5" t="s">
        <v>139</v>
      </c>
      <c r="G288" s="5" t="str">
        <f>_xlfn.XLOOKUP(C288,'Same Seller Hist'!E:E,'Same Seller Hist'!F:F)</f>
        <v>Auto &amp; Moto</v>
      </c>
      <c r="H288" s="19">
        <f>_xlfn.IFNA(_xlfn.XLOOKUP(C288,'Shp 500'!D:D,'Shp 500'!I:I),0)</f>
        <v>2768.4516129032259</v>
      </c>
      <c r="I288" s="19">
        <f>_xlfn.IFNA(_xlfn.XLOOKUP(C288,'Shp 500'!D:D,'Shp 500'!J:J),0)</f>
        <v>11635.882039454258</v>
      </c>
      <c r="J288" s="19">
        <v>1116.1290322580646</v>
      </c>
      <c r="K288" s="19">
        <v>27932.258064516129</v>
      </c>
      <c r="L288" s="21" t="s">
        <v>2530</v>
      </c>
      <c r="M288" s="21" t="str">
        <f>IF(L288="Shp 500","Sim",IF(ISNA(_xlfn.XLOOKUP(C288,'Shp 500'!D:D,'Shp 500'!D:D)),"Não","Sim"))</f>
        <v>Sim</v>
      </c>
      <c r="N288" s="21" t="str">
        <f>IF(L288="Fastmoss 500","Sim",IF(ISNA(_xlfn.XLOOKUP(_xlfn.XLOOKUP(C288,'Same Seller Hist'!E:E,'Same Seller Hist'!H:H),'Fastmoss 500'!D:D,'Fastmoss 500'!D:D)),"Não","Sim"))</f>
        <v>Sim</v>
      </c>
      <c r="O288" s="21" t="str">
        <f>IF(AND(M288="Sim",N288="Sim"),"Sim","Não")</f>
        <v>Sim</v>
      </c>
      <c r="P288" s="21" t="str">
        <f>IF(I288&gt;K288,"Sim","Não")</f>
        <v>Não</v>
      </c>
      <c r="Q288" s="21">
        <f>COUNTIFS(C:C,C288)</f>
        <v>2</v>
      </c>
    </row>
    <row r="289" spans="3:17" hidden="1" x14ac:dyDescent="0.35">
      <c r="C289" s="5">
        <f>_xlfn.XLOOKUP(F289,'Same Seller Hist'!H:H,'Same Seller Hist'!E:E)</f>
        <v>276244678</v>
      </c>
      <c r="D289" s="5" t="str">
        <f>_xlfn.XLOOKUP(F289,'Same Seller Hist'!H:H,'Same Seller Hist'!D:D)</f>
        <v>NUTRU Nutrition</v>
      </c>
      <c r="E289" s="5">
        <f>_xlfn.XLOOKUP(F289,'Same Seller Hist'!H:H,'Same Seller Hist'!I:I)</f>
        <v>7.4962124517099704E+18</v>
      </c>
      <c r="F289" s="5" t="s">
        <v>363</v>
      </c>
      <c r="G289" s="5" t="str">
        <f>_xlfn.XLOOKUP(C289,'Same Seller Hist'!E:E,'Same Seller Hist'!F:F)</f>
        <v>FMCG</v>
      </c>
      <c r="H289" s="19">
        <f>_xlfn.IFNA(_xlfn.XLOOKUP(C289,'Shp 500'!D:D,'Shp 500'!I:I),0)</f>
        <v>0</v>
      </c>
      <c r="I289" s="19">
        <f>_xlfn.IFNA(_xlfn.XLOOKUP(C289,'Shp 500'!D:D,'Shp 500'!J:J),0)</f>
        <v>0</v>
      </c>
      <c r="J289" s="19">
        <v>351.61290322580646</v>
      </c>
      <c r="K289" s="19">
        <v>11206.451612903225</v>
      </c>
      <c r="L289" s="21" t="s">
        <v>2530</v>
      </c>
      <c r="M289" s="21" t="str">
        <f>IF(L289="Shp 500","Sim",IF(ISNA(_xlfn.XLOOKUP(C289,'Shp 500'!D:D,'Shp 500'!D:D)),"Não","Sim"))</f>
        <v>Não</v>
      </c>
      <c r="N289" s="21" t="str">
        <f>IF(L289="Fastmoss 500","Sim",IF(ISNA(_xlfn.XLOOKUP(_xlfn.XLOOKUP(C289,'Same Seller Hist'!E:E,'Same Seller Hist'!H:H),'Fastmoss 500'!D:D,'Fastmoss 500'!D:D)),"Não","Sim"))</f>
        <v>Sim</v>
      </c>
      <c r="O289" s="21" t="str">
        <f>IF(AND(M289="Sim",N289="Sim"),"Sim","Não")</f>
        <v>Não</v>
      </c>
      <c r="P289" s="21" t="str">
        <f>IF(I289&gt;K289,"Sim","Não")</f>
        <v>Não</v>
      </c>
      <c r="Q289" s="21">
        <f>COUNTIFS(C:C,C289)</f>
        <v>1</v>
      </c>
    </row>
    <row r="290" spans="3:17" hidden="1" x14ac:dyDescent="0.35">
      <c r="C290" s="5">
        <f>_xlfn.XLOOKUP(F290,'Same Seller Hist'!H:H,'Same Seller Hist'!E:E)</f>
        <v>426565286</v>
      </c>
      <c r="D290" s="5" t="str">
        <f>_xlfn.XLOOKUP(F290,'Same Seller Hist'!H:H,'Same Seller Hist'!D:D)</f>
        <v>Z&amp;D LINGERIE SHOP</v>
      </c>
      <c r="E290" s="5">
        <f>_xlfn.XLOOKUP(F290,'Same Seller Hist'!H:H,'Same Seller Hist'!I:I)</f>
        <v>7.4962401699688899E+18</v>
      </c>
      <c r="F290" s="5" t="s">
        <v>562</v>
      </c>
      <c r="G290" s="5" t="str">
        <f>_xlfn.XLOOKUP(C290,'Same Seller Hist'!E:E,'Same Seller Hist'!F:F)</f>
        <v>Fashion</v>
      </c>
      <c r="H290" s="19">
        <f>_xlfn.IFNA(_xlfn.XLOOKUP(C290,'Shp 500'!D:D,'Shp 500'!I:I),0)</f>
        <v>0</v>
      </c>
      <c r="I290" s="19">
        <f>_xlfn.IFNA(_xlfn.XLOOKUP(C290,'Shp 500'!D:D,'Shp 500'!J:J),0)</f>
        <v>0</v>
      </c>
      <c r="J290" s="19">
        <v>348.38709677419354</v>
      </c>
      <c r="K290" s="19">
        <v>12370.967741935483</v>
      </c>
      <c r="L290" s="21" t="s">
        <v>2530</v>
      </c>
      <c r="M290" s="21" t="str">
        <f>IF(L290="Shp 500","Sim",IF(ISNA(_xlfn.XLOOKUP(C290,'Shp 500'!D:D,'Shp 500'!D:D)),"Não","Sim"))</f>
        <v>Não</v>
      </c>
      <c r="N290" s="21" t="str">
        <f>IF(L290="Fastmoss 500","Sim",IF(ISNA(_xlfn.XLOOKUP(_xlfn.XLOOKUP(C290,'Same Seller Hist'!E:E,'Same Seller Hist'!H:H),'Fastmoss 500'!D:D,'Fastmoss 500'!D:D)),"Não","Sim"))</f>
        <v>Sim</v>
      </c>
      <c r="O290" s="21" t="str">
        <f>IF(AND(M290="Sim",N290="Sim"),"Sim","Não")</f>
        <v>Não</v>
      </c>
      <c r="P290" s="21" t="str">
        <f>IF(I290&gt;K290,"Sim","Não")</f>
        <v>Não</v>
      </c>
      <c r="Q290" s="21">
        <f>COUNTIFS(C:C,C290)</f>
        <v>1</v>
      </c>
    </row>
    <row r="291" spans="3:17" x14ac:dyDescent="0.35">
      <c r="C291" s="5">
        <v>1177903362</v>
      </c>
      <c r="D291" s="5" t="s">
        <v>1301</v>
      </c>
      <c r="E291" s="5">
        <f>_xlfn.XLOOKUP(C291,'Same Seller Hist'!E:E,'Same Seller Hist'!I:I)</f>
        <v>7.4961519207800801E+18</v>
      </c>
      <c r="F291" s="5" t="str">
        <f>_xlfn.XLOOKUP(C291,'Same Seller Hist'!E:E,'Same Seller Hist'!H:H)</f>
        <v>Loja Coala</v>
      </c>
      <c r="G291" s="5" t="s">
        <v>906</v>
      </c>
      <c r="H291" s="19">
        <v>3130.3548387096776</v>
      </c>
      <c r="I291" s="19">
        <v>23406.528794378486</v>
      </c>
      <c r="J291" s="19">
        <f>_xlfn.IFNA(_xlfn.XLOOKUP(F291,'Fastmoss 500'!D:D,'Fastmoss 500'!O:O),0)</f>
        <v>858.06451612903231</v>
      </c>
      <c r="K291" s="19">
        <f>_xlfn.IFNA(_xlfn.XLOOKUP(F291,'Fastmoss 500'!D:D,'Fastmoss 500'!N:N),0)</f>
        <v>35483.870967741932</v>
      </c>
      <c r="L291" s="21" t="s">
        <v>2528</v>
      </c>
      <c r="M291" s="21" t="str">
        <f>IF(L291="Shp 500","Sim",IF(ISNA(_xlfn.XLOOKUP(C291,'Shp 500'!D:D,'Shp 500'!D:D)),"Não","Sim"))</f>
        <v>Sim</v>
      </c>
      <c r="N291" s="21" t="str">
        <f>IF(L291="Fastmoss 500","Sim",IF(ISNA(_xlfn.XLOOKUP(_xlfn.XLOOKUP(C291,'Same Seller Hist'!E:E,'Same Seller Hist'!H:H),'Fastmoss 500'!D:D,'Fastmoss 500'!D:D)),"Não","Sim"))</f>
        <v>Sim</v>
      </c>
      <c r="O291" s="21" t="str">
        <f>IF(AND(M291="Sim",N291="Sim"),"Sim","Não")</f>
        <v>Sim</v>
      </c>
      <c r="P291" s="21" t="str">
        <f>IF(I291&gt;K291,"Sim","Não")</f>
        <v>Não</v>
      </c>
      <c r="Q291" s="21">
        <f>COUNTIFS(C:C,C291)</f>
        <v>2</v>
      </c>
    </row>
    <row r="292" spans="3:17" hidden="1" x14ac:dyDescent="0.35">
      <c r="C292" s="5">
        <f>_xlfn.XLOOKUP(F292,'Same Seller Hist'!H:H,'Same Seller Hist'!E:E)</f>
        <v>1021128939</v>
      </c>
      <c r="D292" s="5" t="str">
        <f>_xlfn.XLOOKUP(F292,'Same Seller Hist'!H:H,'Same Seller Hist'!D:D)</f>
        <v>CASA MANIA</v>
      </c>
      <c r="E292" s="5">
        <f>_xlfn.XLOOKUP(F292,'Same Seller Hist'!H:H,'Same Seller Hist'!I:I)</f>
        <v>7.4961622731198597E+18</v>
      </c>
      <c r="F292" s="5" t="s">
        <v>55</v>
      </c>
      <c r="G292" s="5" t="str">
        <f>_xlfn.XLOOKUP(C292,'Same Seller Hist'!E:E,'Same Seller Hist'!F:F)</f>
        <v>Lifestyle</v>
      </c>
      <c r="H292" s="19">
        <f>_xlfn.IFNA(_xlfn.XLOOKUP(C292,'Shp 500'!D:D,'Shp 500'!I:I),0)</f>
        <v>0</v>
      </c>
      <c r="I292" s="19">
        <f>_xlfn.IFNA(_xlfn.XLOOKUP(C292,'Shp 500'!D:D,'Shp 500'!J:J),0)</f>
        <v>0</v>
      </c>
      <c r="J292" s="19">
        <v>348.38709677419354</v>
      </c>
      <c r="K292" s="19">
        <v>12200</v>
      </c>
      <c r="L292" s="21" t="s">
        <v>2530</v>
      </c>
      <c r="M292" s="21" t="str">
        <f>IF(L292="Shp 500","Sim",IF(ISNA(_xlfn.XLOOKUP(C292,'Shp 500'!D:D,'Shp 500'!D:D)),"Não","Sim"))</f>
        <v>Não</v>
      </c>
      <c r="N292" s="21" t="str">
        <f>IF(L292="Fastmoss 500","Sim",IF(ISNA(_xlfn.XLOOKUP(_xlfn.XLOOKUP(C292,'Same Seller Hist'!E:E,'Same Seller Hist'!H:H),'Fastmoss 500'!D:D,'Fastmoss 500'!D:D)),"Não","Sim"))</f>
        <v>Sim</v>
      </c>
      <c r="O292" s="21" t="str">
        <f>IF(AND(M292="Sim",N292="Sim"),"Sim","Não")</f>
        <v>Não</v>
      </c>
      <c r="P292" s="21" t="str">
        <f>IF(I292&gt;K292,"Sim","Não")</f>
        <v>Não</v>
      </c>
      <c r="Q292" s="21">
        <f>COUNTIFS(C:C,C292)</f>
        <v>1</v>
      </c>
    </row>
    <row r="293" spans="3:17" hidden="1" x14ac:dyDescent="0.35">
      <c r="C293" s="5">
        <f>_xlfn.XLOOKUP(F293,'Same Seller Hist'!H:H,'Same Seller Hist'!E:E)</f>
        <v>1206343082</v>
      </c>
      <c r="D293" s="5" t="str">
        <f>_xlfn.XLOOKUP(F293,'Same Seller Hist'!H:H,'Same Seller Hist'!D:D)</f>
        <v>ALUBEN A</v>
      </c>
      <c r="E293" s="5">
        <f>_xlfn.XLOOKUP(F293,'Same Seller Hist'!H:H,'Same Seller Hist'!I:I)</f>
        <v>7.4961818016536003E+18</v>
      </c>
      <c r="F293" s="5" t="s">
        <v>151</v>
      </c>
      <c r="G293" s="5" t="str">
        <f>_xlfn.XLOOKUP(C293,'Same Seller Hist'!E:E,'Same Seller Hist'!F:F)</f>
        <v>ELHA</v>
      </c>
      <c r="H293" s="19">
        <f>_xlfn.IFNA(_xlfn.XLOOKUP(C293,'Shp 500'!D:D,'Shp 500'!I:I),0)</f>
        <v>0</v>
      </c>
      <c r="I293" s="19">
        <f>_xlfn.IFNA(_xlfn.XLOOKUP(C293,'Shp 500'!D:D,'Shp 500'!J:J),0)</f>
        <v>0</v>
      </c>
      <c r="J293" s="19">
        <v>338.70967741935482</v>
      </c>
      <c r="K293" s="19">
        <v>7422.5806451612907</v>
      </c>
      <c r="L293" s="21" t="s">
        <v>2530</v>
      </c>
      <c r="M293" s="21" t="str">
        <f>IF(L293="Shp 500","Sim",IF(ISNA(_xlfn.XLOOKUP(C293,'Shp 500'!D:D,'Shp 500'!D:D)),"Não","Sim"))</f>
        <v>Não</v>
      </c>
      <c r="N293" s="21" t="str">
        <f>IF(L293="Fastmoss 500","Sim",IF(ISNA(_xlfn.XLOOKUP(_xlfn.XLOOKUP(C293,'Same Seller Hist'!E:E,'Same Seller Hist'!H:H),'Fastmoss 500'!D:D,'Fastmoss 500'!D:D)),"Não","Sim"))</f>
        <v>Sim</v>
      </c>
      <c r="O293" s="21" t="str">
        <f>IF(AND(M293="Sim",N293="Sim"),"Sim","Não")</f>
        <v>Não</v>
      </c>
      <c r="P293" s="21" t="str">
        <f>IF(I293&gt;K293,"Sim","Não")</f>
        <v>Não</v>
      </c>
      <c r="Q293" s="21">
        <f>COUNTIFS(C:C,C293)</f>
        <v>1</v>
      </c>
    </row>
    <row r="294" spans="3:17" x14ac:dyDescent="0.35">
      <c r="C294" s="5">
        <f>_xlfn.XLOOKUP(F294,'Same Seller Hist'!H:H,'Same Seller Hist'!E:E)</f>
        <v>1177903362</v>
      </c>
      <c r="D294" s="5" t="str">
        <f>_xlfn.XLOOKUP(F294,'Same Seller Hist'!H:H,'Same Seller Hist'!D:D)</f>
        <v>Loja Coala</v>
      </c>
      <c r="E294" s="5">
        <f>_xlfn.XLOOKUP(F294,'Same Seller Hist'!H:H,'Same Seller Hist'!I:I)</f>
        <v>7.4961519207800801E+18</v>
      </c>
      <c r="F294" s="5" t="s">
        <v>140</v>
      </c>
      <c r="G294" s="5" t="str">
        <f>_xlfn.XLOOKUP(C294,'Same Seller Hist'!E:E,'Same Seller Hist'!F:F)</f>
        <v>FMCG</v>
      </c>
      <c r="H294" s="19">
        <f>_xlfn.IFNA(_xlfn.XLOOKUP(C294,'Shp 500'!D:D,'Shp 500'!I:I),0)</f>
        <v>3130.3548387096776</v>
      </c>
      <c r="I294" s="19">
        <f>_xlfn.IFNA(_xlfn.XLOOKUP(C294,'Shp 500'!D:D,'Shp 500'!J:J),0)</f>
        <v>23406.528794378486</v>
      </c>
      <c r="J294" s="19">
        <v>858.06451612903231</v>
      </c>
      <c r="K294" s="19">
        <v>35483.870967741932</v>
      </c>
      <c r="L294" s="21" t="s">
        <v>2530</v>
      </c>
      <c r="M294" s="21" t="str">
        <f>IF(L294="Shp 500","Sim",IF(ISNA(_xlfn.XLOOKUP(C294,'Shp 500'!D:D,'Shp 500'!D:D)),"Não","Sim"))</f>
        <v>Sim</v>
      </c>
      <c r="N294" s="21" t="str">
        <f>IF(L294="Fastmoss 500","Sim",IF(ISNA(_xlfn.XLOOKUP(_xlfn.XLOOKUP(C294,'Same Seller Hist'!E:E,'Same Seller Hist'!H:H),'Fastmoss 500'!D:D,'Fastmoss 500'!D:D)),"Não","Sim"))</f>
        <v>Sim</v>
      </c>
      <c r="O294" s="21" t="str">
        <f>IF(AND(M294="Sim",N294="Sim"),"Sim","Não")</f>
        <v>Sim</v>
      </c>
      <c r="P294" s="21" t="str">
        <f>IF(I294&gt;K294,"Sim","Não")</f>
        <v>Não</v>
      </c>
      <c r="Q294" s="21">
        <f>COUNTIFS(C:C,C294)</f>
        <v>2</v>
      </c>
    </row>
    <row r="295" spans="3:17" hidden="1" x14ac:dyDescent="0.35">
      <c r="C295" s="5">
        <f>_xlfn.XLOOKUP(F295,'Same Seller Hist'!H:H,'Same Seller Hist'!E:E)</f>
        <v>336137394</v>
      </c>
      <c r="D295" s="5" t="str">
        <f>_xlfn.XLOOKUP(F295,'Same Seller Hist'!H:H,'Same Seller Hist'!D:D)</f>
        <v>BENSTAR</v>
      </c>
      <c r="E295" s="5">
        <f>_xlfn.XLOOKUP(F295,'Same Seller Hist'!H:H,'Same Seller Hist'!I:I)</f>
        <v>7.4961625224868301E+18</v>
      </c>
      <c r="F295" s="5" t="s">
        <v>442</v>
      </c>
      <c r="G295" s="5" t="str">
        <f>_xlfn.XLOOKUP(C295,'Same Seller Hist'!E:E,'Same Seller Hist'!F:F)</f>
        <v>Lifestyle</v>
      </c>
      <c r="H295" s="19">
        <f>_xlfn.IFNA(_xlfn.XLOOKUP(C295,'Shp 500'!D:D,'Shp 500'!I:I),0)</f>
        <v>0</v>
      </c>
      <c r="I295" s="19">
        <f>_xlfn.IFNA(_xlfn.XLOOKUP(C295,'Shp 500'!D:D,'Shp 500'!J:J),0)</f>
        <v>0</v>
      </c>
      <c r="J295" s="19">
        <v>332.25806451612902</v>
      </c>
      <c r="K295" s="19">
        <v>12658.064516129032</v>
      </c>
      <c r="L295" s="21" t="s">
        <v>2530</v>
      </c>
      <c r="M295" s="21" t="str">
        <f>IF(L295="Shp 500","Sim",IF(ISNA(_xlfn.XLOOKUP(C295,'Shp 500'!D:D,'Shp 500'!D:D)),"Não","Sim"))</f>
        <v>Não</v>
      </c>
      <c r="N295" s="21" t="str">
        <f>IF(L295="Fastmoss 500","Sim",IF(ISNA(_xlfn.XLOOKUP(_xlfn.XLOOKUP(C295,'Same Seller Hist'!E:E,'Same Seller Hist'!H:H),'Fastmoss 500'!D:D,'Fastmoss 500'!D:D)),"Não","Sim"))</f>
        <v>Sim</v>
      </c>
      <c r="O295" s="21" t="str">
        <f>IF(AND(M295="Sim",N295="Sim"),"Sim","Não")</f>
        <v>Não</v>
      </c>
      <c r="P295" s="21" t="str">
        <f>IF(I295&gt;K295,"Sim","Não")</f>
        <v>Não</v>
      </c>
      <c r="Q295" s="21">
        <f>COUNTIFS(C:C,C295)</f>
        <v>1</v>
      </c>
    </row>
    <row r="296" spans="3:17" x14ac:dyDescent="0.35">
      <c r="C296" s="5">
        <v>1220163366</v>
      </c>
      <c r="D296" s="5" t="s">
        <v>155</v>
      </c>
      <c r="E296" s="5">
        <f>_xlfn.XLOOKUP(C296,'Same Seller Hist'!E:E,'Same Seller Hist'!I:I)</f>
        <v>7.4961799266974095E+18</v>
      </c>
      <c r="F296" s="5" t="str">
        <f>_xlfn.XLOOKUP(C296,'Same Seller Hist'!E:E,'Same Seller Hist'!H:H)</f>
        <v>Belifou shop</v>
      </c>
      <c r="G296" s="5" t="s">
        <v>1734</v>
      </c>
      <c r="H296" s="19">
        <v>1114.2903225806419</v>
      </c>
      <c r="I296" s="19">
        <v>9683.502954858388</v>
      </c>
      <c r="J296" s="19">
        <f>_xlfn.IFNA(_xlfn.XLOOKUP(F296,'Fastmoss 500'!D:D,'Fastmoss 500'!O:O),0)</f>
        <v>322.58064516129031</v>
      </c>
      <c r="K296" s="19">
        <f>_xlfn.IFNA(_xlfn.XLOOKUP(F296,'Fastmoss 500'!D:D,'Fastmoss 500'!N:N),0)</f>
        <v>16448.387096774193</v>
      </c>
      <c r="L296" s="21" t="s">
        <v>2528</v>
      </c>
      <c r="M296" s="21" t="str">
        <f>IF(L296="Shp 500","Sim",IF(ISNA(_xlfn.XLOOKUP(C296,'Shp 500'!D:D,'Shp 500'!D:D)),"Não","Sim"))</f>
        <v>Sim</v>
      </c>
      <c r="N296" s="21" t="str">
        <f>IF(L296="Fastmoss 500","Sim",IF(ISNA(_xlfn.XLOOKUP(_xlfn.XLOOKUP(C296,'Same Seller Hist'!E:E,'Same Seller Hist'!H:H),'Fastmoss 500'!D:D,'Fastmoss 500'!D:D)),"Não","Sim"))</f>
        <v>Sim</v>
      </c>
      <c r="O296" s="21" t="str">
        <f>IF(AND(M296="Sim",N296="Sim"),"Sim","Não")</f>
        <v>Sim</v>
      </c>
      <c r="P296" s="21" t="str">
        <f>IF(I296&gt;K296,"Sim","Não")</f>
        <v>Não</v>
      </c>
      <c r="Q296" s="21">
        <f>COUNTIFS(C:C,C296)</f>
        <v>2</v>
      </c>
    </row>
    <row r="297" spans="3:17" hidden="1" x14ac:dyDescent="0.35">
      <c r="C297" s="5">
        <f>_xlfn.XLOOKUP(F297,'Same Seller Hist'!H:H,'Same Seller Hist'!E:E)</f>
        <v>360601185</v>
      </c>
      <c r="D297" s="5" t="str">
        <f>_xlfn.XLOOKUP(F297,'Same Seller Hist'!H:H,'Same Seller Hist'!D:D)</f>
        <v>reidasbiblias</v>
      </c>
      <c r="E297" s="5">
        <f>_xlfn.XLOOKUP(F297,'Same Seller Hist'!H:H,'Same Seller Hist'!I:I)</f>
        <v>7.4962102048274801E+18</v>
      </c>
      <c r="F297" s="5" t="s">
        <v>466</v>
      </c>
      <c r="G297" s="5" t="str">
        <f>_xlfn.XLOOKUP(C297,'Same Seller Hist'!E:E,'Same Seller Hist'!F:F)</f>
        <v>FMCG</v>
      </c>
      <c r="H297" s="19">
        <f>_xlfn.IFNA(_xlfn.XLOOKUP(C297,'Shp 500'!D:D,'Shp 500'!I:I),0)</f>
        <v>0</v>
      </c>
      <c r="I297" s="19">
        <f>_xlfn.IFNA(_xlfn.XLOOKUP(C297,'Shp 500'!D:D,'Shp 500'!J:J),0)</f>
        <v>0</v>
      </c>
      <c r="J297" s="19">
        <v>332.25806451612902</v>
      </c>
      <c r="K297" s="19">
        <v>18025.806451612902</v>
      </c>
      <c r="L297" s="21" t="s">
        <v>2530</v>
      </c>
      <c r="M297" s="21" t="str">
        <f>IF(L297="Shp 500","Sim",IF(ISNA(_xlfn.XLOOKUP(C297,'Shp 500'!D:D,'Shp 500'!D:D)),"Não","Sim"))</f>
        <v>Não</v>
      </c>
      <c r="N297" s="21" t="str">
        <f>IF(L297="Fastmoss 500","Sim",IF(ISNA(_xlfn.XLOOKUP(_xlfn.XLOOKUP(C297,'Same Seller Hist'!E:E,'Same Seller Hist'!H:H),'Fastmoss 500'!D:D,'Fastmoss 500'!D:D)),"Não","Sim"))</f>
        <v>Sim</v>
      </c>
      <c r="O297" s="21" t="str">
        <f>IF(AND(M297="Sim",N297="Sim"),"Sim","Não")</f>
        <v>Não</v>
      </c>
      <c r="P297" s="21" t="str">
        <f>IF(I297&gt;K297,"Sim","Não")</f>
        <v>Não</v>
      </c>
      <c r="Q297" s="21">
        <f>COUNTIFS(C:C,C297)</f>
        <v>1</v>
      </c>
    </row>
    <row r="298" spans="3:17" hidden="1" x14ac:dyDescent="0.35">
      <c r="C298" s="5">
        <f>_xlfn.XLOOKUP(F298,'Same Seller Hist'!H:H,'Same Seller Hist'!E:E)</f>
        <v>214802433</v>
      </c>
      <c r="D298" s="5" t="str">
        <f>_xlfn.XLOOKUP(F298,'Same Seller Hist'!H:H,'Same Seller Hist'!D:D)</f>
        <v>Aik Amor Brasil</v>
      </c>
      <c r="E298" s="5">
        <f>_xlfn.XLOOKUP(F298,'Same Seller Hist'!H:H,'Same Seller Hist'!I:I)</f>
        <v>7.4961882398937201E+18</v>
      </c>
      <c r="F298" s="5" t="s">
        <v>351</v>
      </c>
      <c r="G298" s="5" t="str">
        <f>_xlfn.XLOOKUP(C298,'Same Seller Hist'!E:E,'Same Seller Hist'!F:F)</f>
        <v>Fashion</v>
      </c>
      <c r="H298" s="19">
        <f>_xlfn.IFNA(_xlfn.XLOOKUP(C298,'Shp 500'!D:D,'Shp 500'!I:I),0)</f>
        <v>0</v>
      </c>
      <c r="I298" s="19">
        <f>_xlfn.IFNA(_xlfn.XLOOKUP(C298,'Shp 500'!D:D,'Shp 500'!J:J),0)</f>
        <v>0</v>
      </c>
      <c r="J298" s="19">
        <v>329.03225806451616</v>
      </c>
      <c r="K298" s="19">
        <v>11367.741935483871</v>
      </c>
      <c r="L298" s="21" t="s">
        <v>2530</v>
      </c>
      <c r="M298" s="21" t="str">
        <f>IF(L298="Shp 500","Sim",IF(ISNA(_xlfn.XLOOKUP(C298,'Shp 500'!D:D,'Shp 500'!D:D)),"Não","Sim"))</f>
        <v>Não</v>
      </c>
      <c r="N298" s="21" t="str">
        <f>IF(L298="Fastmoss 500","Sim",IF(ISNA(_xlfn.XLOOKUP(_xlfn.XLOOKUP(C298,'Same Seller Hist'!E:E,'Same Seller Hist'!H:H),'Fastmoss 500'!D:D,'Fastmoss 500'!D:D)),"Não","Sim"))</f>
        <v>Sim</v>
      </c>
      <c r="O298" s="21" t="str">
        <f>IF(AND(M298="Sim",N298="Sim"),"Sim","Não")</f>
        <v>Não</v>
      </c>
      <c r="P298" s="21" t="str">
        <f>IF(I298&gt;K298,"Sim","Não")</f>
        <v>Não</v>
      </c>
      <c r="Q298" s="21">
        <f>COUNTIFS(C:C,C298)</f>
        <v>1</v>
      </c>
    </row>
    <row r="299" spans="3:17" x14ac:dyDescent="0.35">
      <c r="C299" s="5">
        <f>_xlfn.XLOOKUP(F299,'Same Seller Hist'!H:H,'Same Seller Hist'!E:E)</f>
        <v>1220163366</v>
      </c>
      <c r="D299" s="5" t="str">
        <f>_xlfn.XLOOKUP(F299,'Same Seller Hist'!H:H,'Same Seller Hist'!D:D)</f>
        <v>Belifou shop</v>
      </c>
      <c r="E299" s="5">
        <f>_xlfn.XLOOKUP(F299,'Same Seller Hist'!H:H,'Same Seller Hist'!I:I)</f>
        <v>7.4961799266974095E+18</v>
      </c>
      <c r="F299" s="5" t="s">
        <v>154</v>
      </c>
      <c r="G299" s="5" t="str">
        <f>_xlfn.XLOOKUP(C299,'Same Seller Hist'!E:E,'Same Seller Hist'!F:F)</f>
        <v>FMCG</v>
      </c>
      <c r="H299" s="19">
        <f>_xlfn.IFNA(_xlfn.XLOOKUP(C299,'Shp 500'!D:D,'Shp 500'!I:I),0)</f>
        <v>1114.2903225806419</v>
      </c>
      <c r="I299" s="19">
        <f>_xlfn.IFNA(_xlfn.XLOOKUP(C299,'Shp 500'!D:D,'Shp 500'!J:J),0)</f>
        <v>9683.502954858388</v>
      </c>
      <c r="J299" s="19">
        <v>322.58064516129031</v>
      </c>
      <c r="K299" s="19">
        <v>16448.387096774193</v>
      </c>
      <c r="L299" s="21" t="s">
        <v>2530</v>
      </c>
      <c r="M299" s="21" t="str">
        <f>IF(L299="Shp 500","Sim",IF(ISNA(_xlfn.XLOOKUP(C299,'Shp 500'!D:D,'Shp 500'!D:D)),"Não","Sim"))</f>
        <v>Sim</v>
      </c>
      <c r="N299" s="21" t="str">
        <f>IF(L299="Fastmoss 500","Sim",IF(ISNA(_xlfn.XLOOKUP(_xlfn.XLOOKUP(C299,'Same Seller Hist'!E:E,'Same Seller Hist'!H:H),'Fastmoss 500'!D:D,'Fastmoss 500'!D:D)),"Não","Sim"))</f>
        <v>Sim</v>
      </c>
      <c r="O299" s="21" t="str">
        <f>IF(AND(M299="Sim",N299="Sim"),"Sim","Não")</f>
        <v>Sim</v>
      </c>
      <c r="P299" s="21" t="str">
        <f>IF(I299&gt;K299,"Sim","Não")</f>
        <v>Não</v>
      </c>
      <c r="Q299" s="21">
        <f>COUNTIFS(C:C,C299)</f>
        <v>2</v>
      </c>
    </row>
    <row r="300" spans="3:17" hidden="1" x14ac:dyDescent="0.35">
      <c r="C300" s="5">
        <f>_xlfn.XLOOKUP(F300,'Same Seller Hist'!H:H,'Same Seller Hist'!E:E)</f>
        <v>344585949</v>
      </c>
      <c r="D300" s="5" t="str">
        <f>_xlfn.XLOOKUP(F300,'Same Seller Hist'!H:H,'Same Seller Hist'!D:D)</f>
        <v>Lookli BR</v>
      </c>
      <c r="E300" s="5">
        <f>_xlfn.XLOOKUP(F300,'Same Seller Hist'!H:H,'Same Seller Hist'!I:I)</f>
        <v>7.4962202388271903E+18</v>
      </c>
      <c r="F300" s="5" t="s">
        <v>454</v>
      </c>
      <c r="G300" s="5" t="str">
        <f>_xlfn.XLOOKUP(C300,'Same Seller Hist'!E:E,'Same Seller Hist'!F:F)</f>
        <v>ELHA</v>
      </c>
      <c r="H300" s="19">
        <f>_xlfn.IFNA(_xlfn.XLOOKUP(C300,'Shp 500'!D:D,'Shp 500'!I:I),0)</f>
        <v>0</v>
      </c>
      <c r="I300" s="19">
        <f>_xlfn.IFNA(_xlfn.XLOOKUP(C300,'Shp 500'!D:D,'Shp 500'!J:J),0)</f>
        <v>0</v>
      </c>
      <c r="J300" s="19">
        <v>325.80645161290323</v>
      </c>
      <c r="K300" s="19">
        <v>3516.1290322580644</v>
      </c>
      <c r="L300" s="21" t="s">
        <v>2530</v>
      </c>
      <c r="M300" s="21" t="str">
        <f>IF(L300="Shp 500","Sim",IF(ISNA(_xlfn.XLOOKUP(C300,'Shp 500'!D:D,'Shp 500'!D:D)),"Não","Sim"))</f>
        <v>Não</v>
      </c>
      <c r="N300" s="21" t="str">
        <f>IF(L300="Fastmoss 500","Sim",IF(ISNA(_xlfn.XLOOKUP(_xlfn.XLOOKUP(C300,'Same Seller Hist'!E:E,'Same Seller Hist'!H:H),'Fastmoss 500'!D:D,'Fastmoss 500'!D:D)),"Não","Sim"))</f>
        <v>Sim</v>
      </c>
      <c r="O300" s="21" t="str">
        <f>IF(AND(M300="Sim",N300="Sim"),"Sim","Não")</f>
        <v>Não</v>
      </c>
      <c r="P300" s="21" t="str">
        <f>IF(I300&gt;K300,"Sim","Não")</f>
        <v>Não</v>
      </c>
      <c r="Q300" s="21">
        <f>COUNTIFS(C:C,C300)</f>
        <v>1</v>
      </c>
    </row>
    <row r="301" spans="3:17" hidden="1" x14ac:dyDescent="0.35">
      <c r="C301" s="5">
        <f>_xlfn.XLOOKUP(F301,'Same Seller Hist'!H:H,'Same Seller Hist'!E:E)</f>
        <v>1462786458</v>
      </c>
      <c r="D301" s="5" t="str">
        <f>_xlfn.XLOOKUP(F301,'Same Seller Hist'!H:H,'Same Seller Hist'!D:D)</f>
        <v>JOHNNY HOME STORE LTDA</v>
      </c>
      <c r="E301" s="5">
        <f>_xlfn.XLOOKUP(F301,'Same Seller Hist'!H:H,'Same Seller Hist'!I:I)</f>
        <v>7.4961797548867195E+18</v>
      </c>
      <c r="F301" s="5" t="s">
        <v>273</v>
      </c>
      <c r="G301" s="5" t="str">
        <f>_xlfn.XLOOKUP(C301,'Same Seller Hist'!E:E,'Same Seller Hist'!F:F)</f>
        <v>Lifestyle</v>
      </c>
      <c r="H301" s="19">
        <f>_xlfn.IFNA(_xlfn.XLOOKUP(C301,'Shp 500'!D:D,'Shp 500'!I:I),0)</f>
        <v>0</v>
      </c>
      <c r="I301" s="19">
        <f>_xlfn.IFNA(_xlfn.XLOOKUP(C301,'Shp 500'!D:D,'Shp 500'!J:J),0)</f>
        <v>0</v>
      </c>
      <c r="J301" s="19">
        <v>325.80645161290323</v>
      </c>
      <c r="K301" s="19">
        <v>12287.096774193549</v>
      </c>
      <c r="L301" s="21" t="s">
        <v>2530</v>
      </c>
      <c r="M301" s="21" t="str">
        <f>IF(L301="Shp 500","Sim",IF(ISNA(_xlfn.XLOOKUP(C301,'Shp 500'!D:D,'Shp 500'!D:D)),"Não","Sim"))</f>
        <v>Não</v>
      </c>
      <c r="N301" s="21" t="str">
        <f>IF(L301="Fastmoss 500","Sim",IF(ISNA(_xlfn.XLOOKUP(_xlfn.XLOOKUP(C301,'Same Seller Hist'!E:E,'Same Seller Hist'!H:H),'Fastmoss 500'!D:D,'Fastmoss 500'!D:D)),"Não","Sim"))</f>
        <v>Sim</v>
      </c>
      <c r="O301" s="21" t="str">
        <f>IF(AND(M301="Sim",N301="Sim"),"Sim","Não")</f>
        <v>Não</v>
      </c>
      <c r="P301" s="21" t="str">
        <f>IF(I301&gt;K301,"Sim","Não")</f>
        <v>Não</v>
      </c>
      <c r="Q301" s="21">
        <f>COUNTIFS(C:C,C301)</f>
        <v>1</v>
      </c>
    </row>
    <row r="302" spans="3:17" x14ac:dyDescent="0.35">
      <c r="C302" s="5">
        <v>1222999175</v>
      </c>
      <c r="D302" s="5" t="s">
        <v>1709</v>
      </c>
      <c r="E302" s="5">
        <f>_xlfn.XLOOKUP(C302,'Same Seller Hist'!E:E,'Same Seller Hist'!I:I)</f>
        <v>7.49618636074978E+18</v>
      </c>
      <c r="F302" s="5" t="str">
        <f>_xlfn.XLOOKUP(C302,'Same Seller Hist'!E:E,'Same Seller Hist'!H:H)</f>
        <v>Mazur Cosméticos</v>
      </c>
      <c r="G302" s="5" t="s">
        <v>906</v>
      </c>
      <c r="H302" s="19">
        <v>831.83870967741939</v>
      </c>
      <c r="I302" s="19">
        <v>3159.6700536737517</v>
      </c>
      <c r="J302" s="19">
        <f>_xlfn.IFNA(_xlfn.XLOOKUP(F302,'Fastmoss 500'!D:D,'Fastmoss 500'!O:O),0)</f>
        <v>912.90322580645159</v>
      </c>
      <c r="K302" s="19">
        <f>_xlfn.IFNA(_xlfn.XLOOKUP(F302,'Fastmoss 500'!D:D,'Fastmoss 500'!N:N),0)</f>
        <v>23787.096774193549</v>
      </c>
      <c r="L302" s="21" t="s">
        <v>2528</v>
      </c>
      <c r="M302" s="21" t="str">
        <f>IF(L302="Shp 500","Sim",IF(ISNA(_xlfn.XLOOKUP(C302,'Shp 500'!D:D,'Shp 500'!D:D)),"Não","Sim"))</f>
        <v>Sim</v>
      </c>
      <c r="N302" s="21" t="str">
        <f>IF(L302="Fastmoss 500","Sim",IF(ISNA(_xlfn.XLOOKUP(_xlfn.XLOOKUP(C302,'Same Seller Hist'!E:E,'Same Seller Hist'!H:H),'Fastmoss 500'!D:D,'Fastmoss 500'!D:D)),"Não","Sim"))</f>
        <v>Sim</v>
      </c>
      <c r="O302" s="21" t="str">
        <f>IF(AND(M302="Sim",N302="Sim"),"Sim","Não")</f>
        <v>Sim</v>
      </c>
      <c r="P302" s="21" t="str">
        <f>IF(I302&gt;K302,"Sim","Não")</f>
        <v>Não</v>
      </c>
      <c r="Q302" s="21">
        <f>COUNTIFS(C:C,C302)</f>
        <v>2</v>
      </c>
    </row>
    <row r="303" spans="3:17" hidden="1" x14ac:dyDescent="0.35">
      <c r="C303" s="5">
        <f>_xlfn.XLOOKUP(F303,'Same Seller Hist'!H:H,'Same Seller Hist'!E:E)</f>
        <v>1050793987</v>
      </c>
      <c r="D303" s="5" t="str">
        <f>_xlfn.XLOOKUP(F303,'Same Seller Hist'!H:H,'Same Seller Hist'!D:D)</f>
        <v>RAEGA MODA FEMININA</v>
      </c>
      <c r="E303" s="5">
        <f>_xlfn.XLOOKUP(F303,'Same Seller Hist'!H:H,'Same Seller Hist'!I:I)</f>
        <v>7.4961890154595297E+18</v>
      </c>
      <c r="F303" s="5" t="s">
        <v>77</v>
      </c>
      <c r="G303" s="5" t="str">
        <f>_xlfn.XLOOKUP(C303,'Same Seller Hist'!E:E,'Same Seller Hist'!F:F)</f>
        <v>Fashion</v>
      </c>
      <c r="H303" s="19">
        <f>_xlfn.IFNA(_xlfn.XLOOKUP(C303,'Shp 500'!D:D,'Shp 500'!I:I),0)</f>
        <v>0</v>
      </c>
      <c r="I303" s="19">
        <f>_xlfn.IFNA(_xlfn.XLOOKUP(C303,'Shp 500'!D:D,'Shp 500'!J:J),0)</f>
        <v>0</v>
      </c>
      <c r="J303" s="19">
        <v>322.58064516129031</v>
      </c>
      <c r="K303" s="19">
        <v>16958.064516129034</v>
      </c>
      <c r="L303" s="21" t="s">
        <v>2530</v>
      </c>
      <c r="M303" s="21" t="str">
        <f>IF(L303="Shp 500","Sim",IF(ISNA(_xlfn.XLOOKUP(C303,'Shp 500'!D:D,'Shp 500'!D:D)),"Não","Sim"))</f>
        <v>Não</v>
      </c>
      <c r="N303" s="21" t="str">
        <f>IF(L303="Fastmoss 500","Sim",IF(ISNA(_xlfn.XLOOKUP(_xlfn.XLOOKUP(C303,'Same Seller Hist'!E:E,'Same Seller Hist'!H:H),'Fastmoss 500'!D:D,'Fastmoss 500'!D:D)),"Não","Sim"))</f>
        <v>Sim</v>
      </c>
      <c r="O303" s="21" t="str">
        <f>IF(AND(M303="Sim",N303="Sim"),"Sim","Não")</f>
        <v>Não</v>
      </c>
      <c r="P303" s="21" t="str">
        <f>IF(I303&gt;K303,"Sim","Não")</f>
        <v>Não</v>
      </c>
      <c r="Q303" s="21">
        <f>COUNTIFS(C:C,C303)</f>
        <v>1</v>
      </c>
    </row>
    <row r="304" spans="3:17" x14ac:dyDescent="0.35">
      <c r="C304" s="5">
        <f>_xlfn.XLOOKUP(F304,'Same Seller Hist'!H:H,'Same Seller Hist'!E:E)</f>
        <v>1222999175</v>
      </c>
      <c r="D304" s="5" t="str">
        <f>_xlfn.XLOOKUP(F304,'Same Seller Hist'!H:H,'Same Seller Hist'!D:D)</f>
        <v>Mazur Cosméticos</v>
      </c>
      <c r="E304" s="5">
        <f>_xlfn.XLOOKUP(F304,'Same Seller Hist'!H:H,'Same Seller Hist'!I:I)</f>
        <v>7.49618636074978E+18</v>
      </c>
      <c r="F304" s="5" t="s">
        <v>158</v>
      </c>
      <c r="G304" s="5" t="str">
        <f>_xlfn.XLOOKUP(C304,'Same Seller Hist'!E:E,'Same Seller Hist'!F:F)</f>
        <v>FMCG</v>
      </c>
      <c r="H304" s="19">
        <f>_xlfn.IFNA(_xlfn.XLOOKUP(C304,'Shp 500'!D:D,'Shp 500'!I:I),0)</f>
        <v>831.83870967741939</v>
      </c>
      <c r="I304" s="19">
        <f>_xlfn.IFNA(_xlfn.XLOOKUP(C304,'Shp 500'!D:D,'Shp 500'!J:J),0)</f>
        <v>3159.6700536737517</v>
      </c>
      <c r="J304" s="19">
        <v>912.90322580645159</v>
      </c>
      <c r="K304" s="19">
        <v>23787.096774193549</v>
      </c>
      <c r="L304" s="21" t="s">
        <v>2530</v>
      </c>
      <c r="M304" s="21" t="str">
        <f>IF(L304="Shp 500","Sim",IF(ISNA(_xlfn.XLOOKUP(C304,'Shp 500'!D:D,'Shp 500'!D:D)),"Não","Sim"))</f>
        <v>Sim</v>
      </c>
      <c r="N304" s="21" t="str">
        <f>IF(L304="Fastmoss 500","Sim",IF(ISNA(_xlfn.XLOOKUP(_xlfn.XLOOKUP(C304,'Same Seller Hist'!E:E,'Same Seller Hist'!H:H),'Fastmoss 500'!D:D,'Fastmoss 500'!D:D)),"Não","Sim"))</f>
        <v>Sim</v>
      </c>
      <c r="O304" s="21" t="str">
        <f>IF(AND(M304="Sim",N304="Sim"),"Sim","Não")</f>
        <v>Sim</v>
      </c>
      <c r="P304" s="21" t="str">
        <f>IF(I304&gt;K304,"Sim","Não")</f>
        <v>Não</v>
      </c>
      <c r="Q304" s="21">
        <f>COUNTIFS(C:C,C304)</f>
        <v>2</v>
      </c>
    </row>
    <row r="305" spans="3:17" hidden="1" x14ac:dyDescent="0.35">
      <c r="C305" s="5">
        <f>_xlfn.XLOOKUP(F305,'Same Seller Hist'!H:H,'Same Seller Hist'!E:E)</f>
        <v>1485858575</v>
      </c>
      <c r="D305" s="5" t="str">
        <f>_xlfn.XLOOKUP(F305,'Same Seller Hist'!H:H,'Same Seller Hist'!D:D)</f>
        <v>QUARXERY SKINCARE BR</v>
      </c>
      <c r="E305" s="5">
        <f>_xlfn.XLOOKUP(F305,'Same Seller Hist'!H:H,'Same Seller Hist'!I:I)</f>
        <v>7.4962000047939604E+18</v>
      </c>
      <c r="F305" s="5" t="s">
        <v>281</v>
      </c>
      <c r="G305" s="5" t="str">
        <f>_xlfn.XLOOKUP(C305,'Same Seller Hist'!E:E,'Same Seller Hist'!F:F)</f>
        <v>FMCG</v>
      </c>
      <c r="H305" s="19">
        <f>_xlfn.IFNA(_xlfn.XLOOKUP(C305,'Shp 500'!D:D,'Shp 500'!I:I),0)</f>
        <v>0</v>
      </c>
      <c r="I305" s="19">
        <f>_xlfn.IFNA(_xlfn.XLOOKUP(C305,'Shp 500'!D:D,'Shp 500'!J:J),0)</f>
        <v>0</v>
      </c>
      <c r="J305" s="19">
        <v>319.35483870967744</v>
      </c>
      <c r="K305" s="19">
        <v>13829.032258064517</v>
      </c>
      <c r="L305" s="21" t="s">
        <v>2530</v>
      </c>
      <c r="M305" s="21" t="str">
        <f>IF(L305="Shp 500","Sim",IF(ISNA(_xlfn.XLOOKUP(C305,'Shp 500'!D:D,'Shp 500'!D:D)),"Não","Sim"))</f>
        <v>Não</v>
      </c>
      <c r="N305" s="21" t="str">
        <f>IF(L305="Fastmoss 500","Sim",IF(ISNA(_xlfn.XLOOKUP(_xlfn.XLOOKUP(C305,'Same Seller Hist'!E:E,'Same Seller Hist'!H:H),'Fastmoss 500'!D:D,'Fastmoss 500'!D:D)),"Não","Sim"))</f>
        <v>Sim</v>
      </c>
      <c r="O305" s="21" t="str">
        <f>IF(AND(M305="Sim",N305="Sim"),"Sim","Não")</f>
        <v>Não</v>
      </c>
      <c r="P305" s="21" t="str">
        <f>IF(I305&gt;K305,"Sim","Não")</f>
        <v>Não</v>
      </c>
      <c r="Q305" s="21">
        <f>COUNTIFS(C:C,C305)</f>
        <v>1</v>
      </c>
    </row>
    <row r="306" spans="3:17" x14ac:dyDescent="0.35">
      <c r="C306" s="5">
        <v>1224363395</v>
      </c>
      <c r="D306" s="5" t="s">
        <v>1410</v>
      </c>
      <c r="E306" s="5">
        <f>_xlfn.XLOOKUP(C306,'Same Seller Hist'!E:E,'Same Seller Hist'!I:I)</f>
        <v>7.4961704307732296E+18</v>
      </c>
      <c r="F306" s="5" t="str">
        <f>_xlfn.XLOOKUP(C306,'Same Seller Hist'!E:E,'Same Seller Hist'!H:H)</f>
        <v>Belifou</v>
      </c>
      <c r="G306" s="5" t="s">
        <v>1734</v>
      </c>
      <c r="H306" s="19">
        <v>1553.8709677419322</v>
      </c>
      <c r="I306" s="19">
        <v>12363.34933900258</v>
      </c>
      <c r="J306" s="19">
        <f>_xlfn.IFNA(_xlfn.XLOOKUP(F306,'Fastmoss 500'!D:D,'Fastmoss 500'!O:O),0)</f>
        <v>380.64516129032256</v>
      </c>
      <c r="K306" s="19">
        <f>_xlfn.IFNA(_xlfn.XLOOKUP(F306,'Fastmoss 500'!D:D,'Fastmoss 500'!N:N),0)</f>
        <v>28587.096774193549</v>
      </c>
      <c r="L306" s="21" t="s">
        <v>2528</v>
      </c>
      <c r="M306" s="21" t="str">
        <f>IF(L306="Shp 500","Sim",IF(ISNA(_xlfn.XLOOKUP(C306,'Shp 500'!D:D,'Shp 500'!D:D)),"Não","Sim"))</f>
        <v>Sim</v>
      </c>
      <c r="N306" s="21" t="str">
        <f>IF(L306="Fastmoss 500","Sim",IF(ISNA(_xlfn.XLOOKUP(_xlfn.XLOOKUP(C306,'Same Seller Hist'!E:E,'Same Seller Hist'!H:H),'Fastmoss 500'!D:D,'Fastmoss 500'!D:D)),"Não","Sim"))</f>
        <v>Sim</v>
      </c>
      <c r="O306" s="21" t="str">
        <f>IF(AND(M306="Sim",N306="Sim"),"Sim","Não")</f>
        <v>Sim</v>
      </c>
      <c r="P306" s="21" t="str">
        <f>IF(I306&gt;K306,"Sim","Não")</f>
        <v>Não</v>
      </c>
      <c r="Q306" s="21">
        <f>COUNTIFS(C:C,C306)</f>
        <v>2</v>
      </c>
    </row>
    <row r="307" spans="3:17" hidden="1" x14ac:dyDescent="0.35">
      <c r="C307" s="5">
        <f>_xlfn.XLOOKUP(F307,'Same Seller Hist'!H:H,'Same Seller Hist'!E:E)</f>
        <v>1649593273</v>
      </c>
      <c r="D307" s="5" t="str">
        <f>_xlfn.XLOOKUP(F307,'Same Seller Hist'!H:H,'Same Seller Hist'!D:D)</f>
        <v>SC TECH STORE</v>
      </c>
      <c r="E307" s="5">
        <f>_xlfn.XLOOKUP(F307,'Same Seller Hist'!H:H,'Same Seller Hist'!I:I)</f>
        <v>7.4961623008435497E+18</v>
      </c>
      <c r="F307" s="5" t="s">
        <v>781</v>
      </c>
      <c r="G307" s="5" t="str">
        <f>_xlfn.XLOOKUP(C307,'Same Seller Hist'!E:E,'Same Seller Hist'!F:F)</f>
        <v>FMCG</v>
      </c>
      <c r="H307" s="19">
        <f>_xlfn.IFNA(_xlfn.XLOOKUP(C307,'Shp 500'!D:D,'Shp 500'!I:I),0)</f>
        <v>0</v>
      </c>
      <c r="I307" s="19">
        <f>_xlfn.IFNA(_xlfn.XLOOKUP(C307,'Shp 500'!D:D,'Shp 500'!J:J),0)</f>
        <v>0</v>
      </c>
      <c r="J307" s="19">
        <v>316.12903225806451</v>
      </c>
      <c r="K307" s="19">
        <v>9767.7419354838712</v>
      </c>
      <c r="L307" s="21" t="s">
        <v>2530</v>
      </c>
      <c r="M307" s="21" t="str">
        <f>IF(L307="Shp 500","Sim",IF(ISNA(_xlfn.XLOOKUP(C307,'Shp 500'!D:D,'Shp 500'!D:D)),"Não","Sim"))</f>
        <v>Não</v>
      </c>
      <c r="N307" s="21" t="str">
        <f>IF(L307="Fastmoss 500","Sim",IF(ISNA(_xlfn.XLOOKUP(_xlfn.XLOOKUP(C307,'Same Seller Hist'!E:E,'Same Seller Hist'!H:H),'Fastmoss 500'!D:D,'Fastmoss 500'!D:D)),"Não","Sim"))</f>
        <v>Sim</v>
      </c>
      <c r="O307" s="21" t="str">
        <f>IF(AND(M307="Sim",N307="Sim"),"Sim","Não")</f>
        <v>Não</v>
      </c>
      <c r="P307" s="21" t="str">
        <f>IF(I307&gt;K307,"Sim","Não")</f>
        <v>Não</v>
      </c>
      <c r="Q307" s="21">
        <f>COUNTIFS(C:C,C307)</f>
        <v>1</v>
      </c>
    </row>
    <row r="308" spans="3:17" x14ac:dyDescent="0.35">
      <c r="C308" s="5">
        <f>_xlfn.XLOOKUP(F308,'Same Seller Hist'!H:H,'Same Seller Hist'!E:E)</f>
        <v>1224363395</v>
      </c>
      <c r="D308" s="5" t="str">
        <f>_xlfn.XLOOKUP(F308,'Same Seller Hist'!H:H,'Same Seller Hist'!D:D)</f>
        <v>Belifou</v>
      </c>
      <c r="E308" s="5">
        <f>_xlfn.XLOOKUP(F308,'Same Seller Hist'!H:H,'Same Seller Hist'!I:I)</f>
        <v>7.4961704307732296E+18</v>
      </c>
      <c r="F308" s="5" t="s">
        <v>155</v>
      </c>
      <c r="G308" s="5" t="str">
        <f>_xlfn.XLOOKUP(C308,'Same Seller Hist'!E:E,'Same Seller Hist'!F:F)</f>
        <v>Lifestyle</v>
      </c>
      <c r="H308" s="19">
        <f>_xlfn.IFNA(_xlfn.XLOOKUP(C308,'Shp 500'!D:D,'Shp 500'!I:I),0)</f>
        <v>1553.8709677419322</v>
      </c>
      <c r="I308" s="19">
        <f>_xlfn.IFNA(_xlfn.XLOOKUP(C308,'Shp 500'!D:D,'Shp 500'!J:J),0)</f>
        <v>12363.34933900258</v>
      </c>
      <c r="J308" s="19">
        <v>380.64516129032256</v>
      </c>
      <c r="K308" s="19">
        <v>28587.096774193549</v>
      </c>
      <c r="L308" s="21" t="s">
        <v>2530</v>
      </c>
      <c r="M308" s="21" t="str">
        <f>IF(L308="Shp 500","Sim",IF(ISNA(_xlfn.XLOOKUP(C308,'Shp 500'!D:D,'Shp 500'!D:D)),"Não","Sim"))</f>
        <v>Sim</v>
      </c>
      <c r="N308" s="21" t="str">
        <f>IF(L308="Fastmoss 500","Sim",IF(ISNA(_xlfn.XLOOKUP(_xlfn.XLOOKUP(C308,'Same Seller Hist'!E:E,'Same Seller Hist'!H:H),'Fastmoss 500'!D:D,'Fastmoss 500'!D:D)),"Não","Sim"))</f>
        <v>Sim</v>
      </c>
      <c r="O308" s="21" t="str">
        <f>IF(AND(M308="Sim",N308="Sim"),"Sim","Não")</f>
        <v>Sim</v>
      </c>
      <c r="P308" s="21" t="str">
        <f>IF(I308&gt;K308,"Sim","Não")</f>
        <v>Não</v>
      </c>
      <c r="Q308" s="21">
        <f>COUNTIFS(C:C,C308)</f>
        <v>2</v>
      </c>
    </row>
    <row r="309" spans="3:17" hidden="1" x14ac:dyDescent="0.35">
      <c r="C309" s="5">
        <f>_xlfn.XLOOKUP(F309,'Same Seller Hist'!H:H,'Same Seller Hist'!E:E)</f>
        <v>1229047031</v>
      </c>
      <c r="D309" s="5" t="str">
        <f>_xlfn.XLOOKUP(F309,'Same Seller Hist'!H:H,'Same Seller Hist'!D:D)</f>
        <v>Unibom.store</v>
      </c>
      <c r="E309" s="5">
        <f>_xlfn.XLOOKUP(F309,'Same Seller Hist'!H:H,'Same Seller Hist'!I:I)</f>
        <v>7.4961760417134295E+18</v>
      </c>
      <c r="F309" s="5" t="s">
        <v>833</v>
      </c>
      <c r="G309" s="5">
        <f>_xlfn.XLOOKUP(C309,'Same Seller Hist'!E:E,'Same Seller Hist'!F:F)</f>
        <v>0</v>
      </c>
      <c r="H309" s="19">
        <f>_xlfn.IFNA(_xlfn.XLOOKUP(C309,'Shp 500'!D:D,'Shp 500'!I:I),0)</f>
        <v>0</v>
      </c>
      <c r="I309" s="19">
        <f>_xlfn.IFNA(_xlfn.XLOOKUP(C309,'Shp 500'!D:D,'Shp 500'!J:J),0)</f>
        <v>0</v>
      </c>
      <c r="J309" s="19">
        <v>316.12903225806451</v>
      </c>
      <c r="K309" s="19">
        <v>19938.709677419356</v>
      </c>
      <c r="L309" s="21" t="s">
        <v>2530</v>
      </c>
      <c r="M309" s="21" t="str">
        <f>IF(L309="Shp 500","Sim",IF(ISNA(_xlfn.XLOOKUP(C309,'Shp 500'!D:D,'Shp 500'!D:D)),"Não","Sim"))</f>
        <v>Não</v>
      </c>
      <c r="N309" s="21" t="str">
        <f>IF(L309="Fastmoss 500","Sim",IF(ISNA(_xlfn.XLOOKUP(_xlfn.XLOOKUP(C309,'Same Seller Hist'!E:E,'Same Seller Hist'!H:H),'Fastmoss 500'!D:D,'Fastmoss 500'!D:D)),"Não","Sim"))</f>
        <v>Sim</v>
      </c>
      <c r="O309" s="21" t="str">
        <f>IF(AND(M309="Sim",N309="Sim"),"Sim","Não")</f>
        <v>Não</v>
      </c>
      <c r="P309" s="21" t="str">
        <f>IF(I309&gt;K309,"Sim","Não")</f>
        <v>Não</v>
      </c>
      <c r="Q309" s="21">
        <f>COUNTIFS(C:C,C309)</f>
        <v>1</v>
      </c>
    </row>
    <row r="310" spans="3:17" hidden="1" x14ac:dyDescent="0.35">
      <c r="C310" s="5">
        <f>_xlfn.XLOOKUP(F310,'Same Seller Hist'!H:H,'Same Seller Hist'!E:E)</f>
        <v>1577747933</v>
      </c>
      <c r="D310" s="5" t="str">
        <f>_xlfn.XLOOKUP(F310,'Same Seller Hist'!H:H,'Same Seller Hist'!D:D)</f>
        <v>TOYA ORALCARE</v>
      </c>
      <c r="E310" s="5">
        <f>_xlfn.XLOOKUP(F310,'Same Seller Hist'!H:H,'Same Seller Hist'!I:I)</f>
        <v>7.4941888444645704E+18</v>
      </c>
      <c r="F310" s="5" t="s">
        <v>898</v>
      </c>
      <c r="G310" s="5" t="str">
        <f>_xlfn.XLOOKUP(C310,'Same Seller Hist'!E:E,'Same Seller Hist'!F:F)</f>
        <v>FMCG</v>
      </c>
      <c r="H310" s="19">
        <f>_xlfn.IFNA(_xlfn.XLOOKUP(C310,'Shp 500'!D:D,'Shp 500'!I:I),0)</f>
        <v>0</v>
      </c>
      <c r="I310" s="19">
        <f>_xlfn.IFNA(_xlfn.XLOOKUP(C310,'Shp 500'!D:D,'Shp 500'!J:J),0)</f>
        <v>0</v>
      </c>
      <c r="J310" s="19">
        <v>312.90322580645159</v>
      </c>
      <c r="K310" s="19">
        <v>7841.9354838709678</v>
      </c>
      <c r="L310" s="21" t="s">
        <v>2530</v>
      </c>
      <c r="M310" s="21" t="str">
        <f>IF(L310="Shp 500","Sim",IF(ISNA(_xlfn.XLOOKUP(C310,'Shp 500'!D:D,'Shp 500'!D:D)),"Não","Sim"))</f>
        <v>Não</v>
      </c>
      <c r="N310" s="21" t="str">
        <f>IF(L310="Fastmoss 500","Sim",IF(ISNA(_xlfn.XLOOKUP(_xlfn.XLOOKUP(C310,'Same Seller Hist'!E:E,'Same Seller Hist'!H:H),'Fastmoss 500'!D:D,'Fastmoss 500'!D:D)),"Não","Sim"))</f>
        <v>Sim</v>
      </c>
      <c r="O310" s="21" t="str">
        <f>IF(AND(M310="Sim",N310="Sim"),"Sim","Não")</f>
        <v>Não</v>
      </c>
      <c r="P310" s="21" t="str">
        <f>IF(I310&gt;K310,"Sim","Não")</f>
        <v>Não</v>
      </c>
      <c r="Q310" s="21">
        <f>COUNTIFS(C:C,C310)</f>
        <v>1</v>
      </c>
    </row>
    <row r="311" spans="3:17" hidden="1" x14ac:dyDescent="0.35">
      <c r="C311" s="5">
        <f>_xlfn.XLOOKUP(F311,'Same Seller Hist'!H:H,'Same Seller Hist'!E:E)</f>
        <v>449186740</v>
      </c>
      <c r="D311" s="5" t="str">
        <f>_xlfn.XLOOKUP(F311,'Same Seller Hist'!H:H,'Same Seller Hist'!D:D)</f>
        <v>mi-loja-feminina</v>
      </c>
      <c r="E311" s="5">
        <f>_xlfn.XLOOKUP(F311,'Same Seller Hist'!H:H,'Same Seller Hist'!I:I)</f>
        <v>7.4961818255450102E+18</v>
      </c>
      <c r="F311" s="5" t="s">
        <v>881</v>
      </c>
      <c r="G311" s="5">
        <f>_xlfn.XLOOKUP(C311,'Same Seller Hist'!E:E,'Same Seller Hist'!F:F)</f>
        <v>0</v>
      </c>
      <c r="H311" s="19">
        <f>_xlfn.IFNA(_xlfn.XLOOKUP(C311,'Shp 500'!D:D,'Shp 500'!I:I),0)</f>
        <v>0</v>
      </c>
      <c r="I311" s="19">
        <f>_xlfn.IFNA(_xlfn.XLOOKUP(C311,'Shp 500'!D:D,'Shp 500'!J:J),0)</f>
        <v>0</v>
      </c>
      <c r="J311" s="19">
        <v>309.67741935483872</v>
      </c>
      <c r="K311" s="19">
        <v>24132.258064516129</v>
      </c>
      <c r="L311" s="21" t="s">
        <v>2530</v>
      </c>
      <c r="M311" s="21" t="str">
        <f>IF(L311="Shp 500","Sim",IF(ISNA(_xlfn.XLOOKUP(C311,'Shp 500'!D:D,'Shp 500'!D:D)),"Não","Sim"))</f>
        <v>Não</v>
      </c>
      <c r="N311" s="21" t="str">
        <f>IF(L311="Fastmoss 500","Sim",IF(ISNA(_xlfn.XLOOKUP(_xlfn.XLOOKUP(C311,'Same Seller Hist'!E:E,'Same Seller Hist'!H:H),'Fastmoss 500'!D:D,'Fastmoss 500'!D:D)),"Não","Sim"))</f>
        <v>Sim</v>
      </c>
      <c r="O311" s="21" t="str">
        <f>IF(AND(M311="Sim",N311="Sim"),"Sim","Não")</f>
        <v>Não</v>
      </c>
      <c r="P311" s="21" t="str">
        <f>IF(I311&gt;K311,"Sim","Não")</f>
        <v>Não</v>
      </c>
      <c r="Q311" s="21">
        <f>COUNTIFS(C:C,C311)</f>
        <v>1</v>
      </c>
    </row>
    <row r="312" spans="3:17" hidden="1" x14ac:dyDescent="0.35">
      <c r="C312" s="5">
        <f>_xlfn.XLOOKUP(F312,'Same Seller Hist'!H:H,'Same Seller Hist'!E:E)</f>
        <v>346391109</v>
      </c>
      <c r="D312" s="5" t="str">
        <f>_xlfn.XLOOKUP(F312,'Same Seller Hist'!H:H,'Same Seller Hist'!D:D)</f>
        <v>RF DECOR</v>
      </c>
      <c r="E312" s="5">
        <f>_xlfn.XLOOKUP(F312,'Same Seller Hist'!H:H,'Same Seller Hist'!I:I)</f>
        <v>7.4941172784110899E+18</v>
      </c>
      <c r="F312" s="5" t="s">
        <v>895</v>
      </c>
      <c r="G312" s="5">
        <f>_xlfn.XLOOKUP(C312,'Same Seller Hist'!E:E,'Same Seller Hist'!F:F)</f>
        <v>0</v>
      </c>
      <c r="H312" s="19">
        <f>_xlfn.IFNA(_xlfn.XLOOKUP(C312,'Shp 500'!D:D,'Shp 500'!I:I),0)</f>
        <v>0</v>
      </c>
      <c r="I312" s="19">
        <f>_xlfn.IFNA(_xlfn.XLOOKUP(C312,'Shp 500'!D:D,'Shp 500'!J:J),0)</f>
        <v>0</v>
      </c>
      <c r="J312" s="19">
        <v>309.67741935483872</v>
      </c>
      <c r="K312" s="19">
        <v>20590.322580645163</v>
      </c>
      <c r="L312" s="21" t="s">
        <v>2530</v>
      </c>
      <c r="M312" s="21" t="str">
        <f>IF(L312="Shp 500","Sim",IF(ISNA(_xlfn.XLOOKUP(C312,'Shp 500'!D:D,'Shp 500'!D:D)),"Não","Sim"))</f>
        <v>Não</v>
      </c>
      <c r="N312" s="21" t="str">
        <f>IF(L312="Fastmoss 500","Sim",IF(ISNA(_xlfn.XLOOKUP(_xlfn.XLOOKUP(C312,'Same Seller Hist'!E:E,'Same Seller Hist'!H:H),'Fastmoss 500'!D:D,'Fastmoss 500'!D:D)),"Não","Sim"))</f>
        <v>Sim</v>
      </c>
      <c r="O312" s="21" t="str">
        <f>IF(AND(M312="Sim",N312="Sim"),"Sim","Não")</f>
        <v>Não</v>
      </c>
      <c r="P312" s="21" t="str">
        <f>IF(I312&gt;K312,"Sim","Não")</f>
        <v>Não</v>
      </c>
      <c r="Q312" s="21">
        <f>COUNTIFS(C:C,C312)</f>
        <v>1</v>
      </c>
    </row>
    <row r="313" spans="3:17" hidden="1" x14ac:dyDescent="0.35">
      <c r="C313" s="5">
        <f>_xlfn.XLOOKUP(F313,'Same Seller Hist'!H:H,'Same Seller Hist'!E:E)</f>
        <v>630468467</v>
      </c>
      <c r="D313" s="5" t="str">
        <f>_xlfn.XLOOKUP(F313,'Same Seller Hist'!H:H,'Same Seller Hist'!D:D)</f>
        <v>Pijamas São Pedro</v>
      </c>
      <c r="E313" s="5">
        <f>_xlfn.XLOOKUP(F313,'Same Seller Hist'!H:H,'Same Seller Hist'!I:I)</f>
        <v>7.49615496154641E+18</v>
      </c>
      <c r="F313" s="5" t="s">
        <v>893</v>
      </c>
      <c r="G313" s="5">
        <f>_xlfn.XLOOKUP(C313,'Same Seller Hist'!E:E,'Same Seller Hist'!F:F)</f>
        <v>0</v>
      </c>
      <c r="H313" s="19">
        <f>_xlfn.IFNA(_xlfn.XLOOKUP(C313,'Shp 500'!D:D,'Shp 500'!I:I),0)</f>
        <v>0</v>
      </c>
      <c r="I313" s="19">
        <f>_xlfn.IFNA(_xlfn.XLOOKUP(C313,'Shp 500'!D:D,'Shp 500'!J:J),0)</f>
        <v>0</v>
      </c>
      <c r="J313" s="19">
        <v>309.67741935483872</v>
      </c>
      <c r="K313" s="19">
        <v>9993.5483870967746</v>
      </c>
      <c r="L313" s="21" t="s">
        <v>2530</v>
      </c>
      <c r="M313" s="21" t="str">
        <f>IF(L313="Shp 500","Sim",IF(ISNA(_xlfn.XLOOKUP(C313,'Shp 500'!D:D,'Shp 500'!D:D)),"Não","Sim"))</f>
        <v>Não</v>
      </c>
      <c r="N313" s="21" t="str">
        <f>IF(L313="Fastmoss 500","Sim",IF(ISNA(_xlfn.XLOOKUP(_xlfn.XLOOKUP(C313,'Same Seller Hist'!E:E,'Same Seller Hist'!H:H),'Fastmoss 500'!D:D,'Fastmoss 500'!D:D)),"Não","Sim"))</f>
        <v>Sim</v>
      </c>
      <c r="O313" s="21" t="str">
        <f>IF(AND(M313="Sim",N313="Sim"),"Sim","Não")</f>
        <v>Não</v>
      </c>
      <c r="P313" s="21" t="str">
        <f>IF(I313&gt;K313,"Sim","Não")</f>
        <v>Não</v>
      </c>
      <c r="Q313" s="21">
        <f>COUNTIFS(C:C,C313)</f>
        <v>1</v>
      </c>
    </row>
    <row r="314" spans="3:17" hidden="1" x14ac:dyDescent="0.35">
      <c r="C314" s="5">
        <f>_xlfn.XLOOKUP(F314,'Same Seller Hist'!H:H,'Same Seller Hist'!E:E)</f>
        <v>505370631</v>
      </c>
      <c r="D314" s="5" t="str">
        <f>_xlfn.XLOOKUP(F314,'Same Seller Hist'!H:H,'Same Seller Hist'!D:D)</f>
        <v>ENCANTO LINGERIE BRAS</v>
      </c>
      <c r="E314" s="5">
        <f>_xlfn.XLOOKUP(F314,'Same Seller Hist'!H:H,'Same Seller Hist'!I:I)</f>
        <v>7.49421973035106E+18</v>
      </c>
      <c r="F314" s="5" t="s">
        <v>861</v>
      </c>
      <c r="G314" s="5">
        <f>_xlfn.XLOOKUP(C314,'Same Seller Hist'!E:E,'Same Seller Hist'!F:F)</f>
        <v>0</v>
      </c>
      <c r="H314" s="19">
        <f>_xlfn.IFNA(_xlfn.XLOOKUP(C314,'Shp 500'!D:D,'Shp 500'!I:I),0)</f>
        <v>0</v>
      </c>
      <c r="I314" s="19">
        <f>_xlfn.IFNA(_xlfn.XLOOKUP(C314,'Shp 500'!D:D,'Shp 500'!J:J),0)</f>
        <v>0</v>
      </c>
      <c r="J314" s="19">
        <v>309.67741935483872</v>
      </c>
      <c r="K314" s="19">
        <v>14038.709677419354</v>
      </c>
      <c r="L314" s="21" t="s">
        <v>2530</v>
      </c>
      <c r="M314" s="21" t="str">
        <f>IF(L314="Shp 500","Sim",IF(ISNA(_xlfn.XLOOKUP(C314,'Shp 500'!D:D,'Shp 500'!D:D)),"Não","Sim"))</f>
        <v>Não</v>
      </c>
      <c r="N314" s="21" t="str">
        <f>IF(L314="Fastmoss 500","Sim",IF(ISNA(_xlfn.XLOOKUP(_xlfn.XLOOKUP(C314,'Same Seller Hist'!E:E,'Same Seller Hist'!H:H),'Fastmoss 500'!D:D,'Fastmoss 500'!D:D)),"Não","Sim"))</f>
        <v>Sim</v>
      </c>
      <c r="O314" s="21" t="str">
        <f>IF(AND(M314="Sim",N314="Sim"),"Sim","Não")</f>
        <v>Não</v>
      </c>
      <c r="P314" s="21" t="str">
        <f>IF(I314&gt;K314,"Sim","Não")</f>
        <v>Não</v>
      </c>
      <c r="Q314" s="21">
        <f>COUNTIFS(C:C,C314)</f>
        <v>1</v>
      </c>
    </row>
    <row r="315" spans="3:17" hidden="1" x14ac:dyDescent="0.35">
      <c r="C315" s="5">
        <f>_xlfn.XLOOKUP(F315,'Same Seller Hist'!H:H,'Same Seller Hist'!E:E)</f>
        <v>908267517</v>
      </c>
      <c r="D315" s="5" t="str">
        <f>_xlfn.XLOOKUP(F315,'Same Seller Hist'!H:H,'Same Seller Hist'!D:D)</f>
        <v>smile label</v>
      </c>
      <c r="E315" s="5">
        <f>_xlfn.XLOOKUP(F315,'Same Seller Hist'!H:H,'Same Seller Hist'!I:I)</f>
        <v>7.4961823981627904E+18</v>
      </c>
      <c r="F315" s="5" t="s">
        <v>745</v>
      </c>
      <c r="G315" s="5" t="str">
        <f>_xlfn.XLOOKUP(C315,'Same Seller Hist'!E:E,'Same Seller Hist'!F:F)</f>
        <v>Fashion</v>
      </c>
      <c r="H315" s="19">
        <f>_xlfn.IFNA(_xlfn.XLOOKUP(C315,'Shp 500'!D:D,'Shp 500'!I:I),0)</f>
        <v>0</v>
      </c>
      <c r="I315" s="19">
        <f>_xlfn.IFNA(_xlfn.XLOOKUP(C315,'Shp 500'!D:D,'Shp 500'!J:J),0)</f>
        <v>0</v>
      </c>
      <c r="J315" s="19">
        <v>303.22580645161293</v>
      </c>
      <c r="K315" s="19">
        <v>38709.677419354841</v>
      </c>
      <c r="L315" s="21" t="s">
        <v>2530</v>
      </c>
      <c r="M315" s="21" t="str">
        <f>IF(L315="Shp 500","Sim",IF(ISNA(_xlfn.XLOOKUP(C315,'Shp 500'!D:D,'Shp 500'!D:D)),"Não","Sim"))</f>
        <v>Não</v>
      </c>
      <c r="N315" s="21" t="str">
        <f>IF(L315="Fastmoss 500","Sim",IF(ISNA(_xlfn.XLOOKUP(_xlfn.XLOOKUP(C315,'Same Seller Hist'!E:E,'Same Seller Hist'!H:H),'Fastmoss 500'!D:D,'Fastmoss 500'!D:D)),"Não","Sim"))</f>
        <v>Sim</v>
      </c>
      <c r="O315" s="21" t="str">
        <f>IF(AND(M315="Sim",N315="Sim"),"Sim","Não")</f>
        <v>Não</v>
      </c>
      <c r="P315" s="21" t="str">
        <f>IF(I315&gt;K315,"Sim","Não")</f>
        <v>Não</v>
      </c>
      <c r="Q315" s="21">
        <f>COUNTIFS(C:C,C315)</f>
        <v>1</v>
      </c>
    </row>
    <row r="316" spans="3:17" hidden="1" x14ac:dyDescent="0.35">
      <c r="C316" s="5">
        <f>_xlfn.XLOOKUP(F316,'Same Seller Hist'!H:H,'Same Seller Hist'!E:E)</f>
        <v>378519055</v>
      </c>
      <c r="D316" s="5" t="str">
        <f>_xlfn.XLOOKUP(F316,'Same Seller Hist'!H:H,'Same Seller Hist'!D:D)</f>
        <v>EusouMiguel</v>
      </c>
      <c r="E316" s="5">
        <f>_xlfn.XLOOKUP(F316,'Same Seller Hist'!H:H,'Same Seller Hist'!I:I)</f>
        <v>7.4962401866415104E+18</v>
      </c>
      <c r="F316" s="5" t="s">
        <v>493</v>
      </c>
      <c r="G316" s="5" t="str">
        <f>_xlfn.XLOOKUP(C316,'Same Seller Hist'!E:E,'Same Seller Hist'!F:F)</f>
        <v>Fashion</v>
      </c>
      <c r="H316" s="19">
        <f>_xlfn.IFNA(_xlfn.XLOOKUP(C316,'Shp 500'!D:D,'Shp 500'!I:I),0)</f>
        <v>0</v>
      </c>
      <c r="I316" s="19">
        <f>_xlfn.IFNA(_xlfn.XLOOKUP(C316,'Shp 500'!D:D,'Shp 500'!J:J),0)</f>
        <v>0</v>
      </c>
      <c r="J316" s="19">
        <v>303.22580645161293</v>
      </c>
      <c r="K316" s="19">
        <v>12429.032258064517</v>
      </c>
      <c r="L316" s="21" t="s">
        <v>2530</v>
      </c>
      <c r="M316" s="21" t="str">
        <f>IF(L316="Shp 500","Sim",IF(ISNA(_xlfn.XLOOKUP(C316,'Shp 500'!D:D,'Shp 500'!D:D)),"Não","Sim"))</f>
        <v>Não</v>
      </c>
      <c r="N316" s="21" t="str">
        <f>IF(L316="Fastmoss 500","Sim",IF(ISNA(_xlfn.XLOOKUP(_xlfn.XLOOKUP(C316,'Same Seller Hist'!E:E,'Same Seller Hist'!H:H),'Fastmoss 500'!D:D,'Fastmoss 500'!D:D)),"Não","Sim"))</f>
        <v>Sim</v>
      </c>
      <c r="O316" s="21" t="str">
        <f>IF(AND(M316="Sim",N316="Sim"),"Sim","Não")</f>
        <v>Não</v>
      </c>
      <c r="P316" s="21" t="str">
        <f>IF(I316&gt;K316,"Sim","Não")</f>
        <v>Não</v>
      </c>
      <c r="Q316" s="21">
        <f>COUNTIFS(C:C,C316)</f>
        <v>1</v>
      </c>
    </row>
    <row r="317" spans="3:17" x14ac:dyDescent="0.35">
      <c r="C317" s="5">
        <v>1242044379</v>
      </c>
      <c r="D317" s="5" t="s">
        <v>1579</v>
      </c>
      <c r="E317" s="5">
        <f>_xlfn.XLOOKUP(C317,'Same Seller Hist'!E:E,'Same Seller Hist'!I:I)</f>
        <v>7.4950922247513395E+18</v>
      </c>
      <c r="F317" s="5" t="str">
        <f>_xlfn.XLOOKUP(C317,'Same Seller Hist'!E:E,'Same Seller Hist'!H:H)</f>
        <v>Dark Lab</v>
      </c>
      <c r="G317" s="5" t="s">
        <v>903</v>
      </c>
      <c r="H317" s="19">
        <v>1016.2258064516129</v>
      </c>
      <c r="I317" s="19">
        <v>12150.095874346711</v>
      </c>
      <c r="J317" s="19">
        <f>_xlfn.IFNA(_xlfn.XLOOKUP(F317,'Fastmoss 500'!D:D,'Fastmoss 500'!O:O),0)</f>
        <v>916.12903225806451</v>
      </c>
      <c r="K317" s="19">
        <f>_xlfn.IFNA(_xlfn.XLOOKUP(F317,'Fastmoss 500'!D:D,'Fastmoss 500'!N:N),0)</f>
        <v>54838.709677419356</v>
      </c>
      <c r="L317" s="21" t="s">
        <v>2528</v>
      </c>
      <c r="M317" s="21" t="str">
        <f>IF(L317="Shp 500","Sim",IF(ISNA(_xlfn.XLOOKUP(C317,'Shp 500'!D:D,'Shp 500'!D:D)),"Não","Sim"))</f>
        <v>Sim</v>
      </c>
      <c r="N317" s="21" t="str">
        <f>IF(L317="Fastmoss 500","Sim",IF(ISNA(_xlfn.XLOOKUP(_xlfn.XLOOKUP(C317,'Same Seller Hist'!E:E,'Same Seller Hist'!H:H),'Fastmoss 500'!D:D,'Fastmoss 500'!D:D)),"Não","Sim"))</f>
        <v>Sim</v>
      </c>
      <c r="O317" s="21" t="str">
        <f>IF(AND(M317="Sim",N317="Sim"),"Sim","Não")</f>
        <v>Sim</v>
      </c>
      <c r="P317" s="21" t="str">
        <f>IF(I317&gt;K317,"Sim","Não")</f>
        <v>Não</v>
      </c>
      <c r="Q317" s="21">
        <f>COUNTIFS(C:C,C317)</f>
        <v>2</v>
      </c>
    </row>
    <row r="318" spans="3:17" hidden="1" x14ac:dyDescent="0.35">
      <c r="C318" s="5">
        <f>_xlfn.XLOOKUP(F318,'Same Seller Hist'!H:H,'Same Seller Hist'!E:E)</f>
        <v>998725688</v>
      </c>
      <c r="D318" s="5" t="str">
        <f>_xlfn.XLOOKUP(F318,'Same Seller Hist'!H:H,'Same Seller Hist'!D:D)</f>
        <v>IBUKI.BR</v>
      </c>
      <c r="E318" s="5">
        <f>_xlfn.XLOOKUP(F318,'Same Seller Hist'!H:H,'Same Seller Hist'!I:I)</f>
        <v>7.4942361005892905E+18</v>
      </c>
      <c r="F318" s="5" t="s">
        <v>866</v>
      </c>
      <c r="G318" s="5">
        <f>_xlfn.XLOOKUP(C318,'Same Seller Hist'!E:E,'Same Seller Hist'!F:F)</f>
        <v>0</v>
      </c>
      <c r="H318" s="19">
        <f>_xlfn.IFNA(_xlfn.XLOOKUP(C318,'Shp 500'!D:D,'Shp 500'!I:I),0)</f>
        <v>0</v>
      </c>
      <c r="I318" s="19">
        <f>_xlfn.IFNA(_xlfn.XLOOKUP(C318,'Shp 500'!D:D,'Shp 500'!J:J),0)</f>
        <v>0</v>
      </c>
      <c r="J318" s="19">
        <v>296.77419354838707</v>
      </c>
      <c r="K318" s="19">
        <v>4603.2258064516127</v>
      </c>
      <c r="L318" s="21" t="s">
        <v>2530</v>
      </c>
      <c r="M318" s="21" t="str">
        <f>IF(L318="Shp 500","Sim",IF(ISNA(_xlfn.XLOOKUP(C318,'Shp 500'!D:D,'Shp 500'!D:D)),"Não","Sim"))</f>
        <v>Não</v>
      </c>
      <c r="N318" s="21" t="str">
        <f>IF(L318="Fastmoss 500","Sim",IF(ISNA(_xlfn.XLOOKUP(_xlfn.XLOOKUP(C318,'Same Seller Hist'!E:E,'Same Seller Hist'!H:H),'Fastmoss 500'!D:D,'Fastmoss 500'!D:D)),"Não","Sim"))</f>
        <v>Sim</v>
      </c>
      <c r="O318" s="21" t="str">
        <f>IF(AND(M318="Sim",N318="Sim"),"Sim","Não")</f>
        <v>Não</v>
      </c>
      <c r="P318" s="21" t="str">
        <f>IF(I318&gt;K318,"Sim","Não")</f>
        <v>Não</v>
      </c>
      <c r="Q318" s="21">
        <f>COUNTIFS(C:C,C318)</f>
        <v>1</v>
      </c>
    </row>
    <row r="319" spans="3:17" hidden="1" x14ac:dyDescent="0.35">
      <c r="C319" s="5">
        <f>_xlfn.XLOOKUP(F319,'Same Seller Hist'!H:H,'Same Seller Hist'!E:E)</f>
        <v>843263540</v>
      </c>
      <c r="D319" s="5" t="str">
        <f>_xlfn.XLOOKUP(F319,'Same Seller Hist'!H:H,'Same Seller Hist'!D:D)</f>
        <v>Gummy Original</v>
      </c>
      <c r="E319" s="5">
        <f>_xlfn.XLOOKUP(F319,'Same Seller Hist'!H:H,'Same Seller Hist'!I:I)</f>
        <v>7.4961621943153101E+18</v>
      </c>
      <c r="F319" s="5" t="s">
        <v>729</v>
      </c>
      <c r="G319" s="5" t="str">
        <f>_xlfn.XLOOKUP(C319,'Same Seller Hist'!E:E,'Same Seller Hist'!F:F)</f>
        <v>FMCG</v>
      </c>
      <c r="H319" s="19">
        <f>_xlfn.IFNA(_xlfn.XLOOKUP(C319,'Shp 500'!D:D,'Shp 500'!I:I),0)</f>
        <v>0</v>
      </c>
      <c r="I319" s="19">
        <f>_xlfn.IFNA(_xlfn.XLOOKUP(C319,'Shp 500'!D:D,'Shp 500'!J:J),0)</f>
        <v>0</v>
      </c>
      <c r="J319" s="19">
        <v>296.77419354838707</v>
      </c>
      <c r="K319" s="19">
        <v>30670.967741935485</v>
      </c>
      <c r="L319" s="21" t="s">
        <v>2530</v>
      </c>
      <c r="M319" s="21" t="str">
        <f>IF(L319="Shp 500","Sim",IF(ISNA(_xlfn.XLOOKUP(C319,'Shp 500'!D:D,'Shp 500'!D:D)),"Não","Sim"))</f>
        <v>Não</v>
      </c>
      <c r="N319" s="21" t="str">
        <f>IF(L319="Fastmoss 500","Sim",IF(ISNA(_xlfn.XLOOKUP(_xlfn.XLOOKUP(C319,'Same Seller Hist'!E:E,'Same Seller Hist'!H:H),'Fastmoss 500'!D:D,'Fastmoss 500'!D:D)),"Não","Sim"))</f>
        <v>Sim</v>
      </c>
      <c r="O319" s="21" t="str">
        <f>IF(AND(M319="Sim",N319="Sim"),"Sim","Não")</f>
        <v>Não</v>
      </c>
      <c r="P319" s="21" t="str">
        <f>IF(I319&gt;K319,"Sim","Não")</f>
        <v>Não</v>
      </c>
      <c r="Q319" s="21">
        <f>COUNTIFS(C:C,C319)</f>
        <v>1</v>
      </c>
    </row>
    <row r="320" spans="3:17" hidden="1" x14ac:dyDescent="0.35">
      <c r="C320" s="5">
        <f>_xlfn.XLOOKUP(F320,'Same Seller Hist'!H:H,'Same Seller Hist'!E:E)</f>
        <v>950793915</v>
      </c>
      <c r="D320" s="5" t="str">
        <f>_xlfn.XLOOKUP(F320,'Same Seller Hist'!H:H,'Same Seller Hist'!D:D)</f>
        <v>confeccoes universo khader</v>
      </c>
      <c r="E320" s="5">
        <f>_xlfn.XLOOKUP(F320,'Same Seller Hist'!H:H,'Same Seller Hist'!I:I)</f>
        <v>7.4941800091293696E+18</v>
      </c>
      <c r="F320" s="5" t="s">
        <v>856</v>
      </c>
      <c r="G320" s="5">
        <f>_xlfn.XLOOKUP(C320,'Same Seller Hist'!E:E,'Same Seller Hist'!F:F)</f>
        <v>0</v>
      </c>
      <c r="H320" s="19">
        <f>_xlfn.IFNA(_xlfn.XLOOKUP(C320,'Shp 500'!D:D,'Shp 500'!I:I),0)</f>
        <v>0</v>
      </c>
      <c r="I320" s="19">
        <f>_xlfn.IFNA(_xlfn.XLOOKUP(C320,'Shp 500'!D:D,'Shp 500'!J:J),0)</f>
        <v>0</v>
      </c>
      <c r="J320" s="19">
        <v>293.54838709677421</v>
      </c>
      <c r="K320" s="19">
        <v>14196.774193548386</v>
      </c>
      <c r="L320" s="21" t="s">
        <v>2530</v>
      </c>
      <c r="M320" s="21" t="str">
        <f>IF(L320="Shp 500","Sim",IF(ISNA(_xlfn.XLOOKUP(C320,'Shp 500'!D:D,'Shp 500'!D:D)),"Não","Sim"))</f>
        <v>Não</v>
      </c>
      <c r="N320" s="21" t="str">
        <f>IF(L320="Fastmoss 500","Sim",IF(ISNA(_xlfn.XLOOKUP(_xlfn.XLOOKUP(C320,'Same Seller Hist'!E:E,'Same Seller Hist'!H:H),'Fastmoss 500'!D:D,'Fastmoss 500'!D:D)),"Não","Sim"))</f>
        <v>Sim</v>
      </c>
      <c r="O320" s="21" t="str">
        <f>IF(AND(M320="Sim",N320="Sim"),"Sim","Não")</f>
        <v>Não</v>
      </c>
      <c r="P320" s="21" t="str">
        <f>IF(I320&gt;K320,"Sim","Não")</f>
        <v>Não</v>
      </c>
      <c r="Q320" s="21">
        <f>COUNTIFS(C:C,C320)</f>
        <v>1</v>
      </c>
    </row>
    <row r="321" spans="3:17" hidden="1" x14ac:dyDescent="0.35">
      <c r="C321" s="5">
        <f>_xlfn.XLOOKUP(F321,'Same Seller Hist'!H:H,'Same Seller Hist'!E:E)</f>
        <v>380728205</v>
      </c>
      <c r="D321" s="5" t="str">
        <f>_xlfn.XLOOKUP(F321,'Same Seller Hist'!H:H,'Same Seller Hist'!D:D)</f>
        <v>Apenas Ouse Lingerie</v>
      </c>
      <c r="E321" s="5">
        <f>_xlfn.XLOOKUP(F321,'Same Seller Hist'!H:H,'Same Seller Hist'!I:I)</f>
        <v>7.4962298546193295E+18</v>
      </c>
      <c r="F321" s="5" t="s">
        <v>500</v>
      </c>
      <c r="G321" s="5" t="str">
        <f>_xlfn.XLOOKUP(C321,'Same Seller Hist'!E:E,'Same Seller Hist'!F:F)</f>
        <v>Fashion</v>
      </c>
      <c r="H321" s="19">
        <f>_xlfn.IFNA(_xlfn.XLOOKUP(C321,'Shp 500'!D:D,'Shp 500'!I:I),0)</f>
        <v>0</v>
      </c>
      <c r="I321" s="19">
        <f>_xlfn.IFNA(_xlfn.XLOOKUP(C321,'Shp 500'!D:D,'Shp 500'!J:J),0)</f>
        <v>0</v>
      </c>
      <c r="J321" s="19">
        <v>293.54838709677421</v>
      </c>
      <c r="K321" s="19">
        <v>9787.0967741935492</v>
      </c>
      <c r="L321" s="21" t="s">
        <v>2530</v>
      </c>
      <c r="M321" s="21" t="str">
        <f>IF(L321="Shp 500","Sim",IF(ISNA(_xlfn.XLOOKUP(C321,'Shp 500'!D:D,'Shp 500'!D:D)),"Não","Sim"))</f>
        <v>Não</v>
      </c>
      <c r="N321" s="21" t="str">
        <f>IF(L321="Fastmoss 500","Sim",IF(ISNA(_xlfn.XLOOKUP(_xlfn.XLOOKUP(C321,'Same Seller Hist'!E:E,'Same Seller Hist'!H:H),'Fastmoss 500'!D:D,'Fastmoss 500'!D:D)),"Não","Sim"))</f>
        <v>Sim</v>
      </c>
      <c r="O321" s="21" t="str">
        <f>IF(AND(M321="Sim",N321="Sim"),"Sim","Não")</f>
        <v>Não</v>
      </c>
      <c r="P321" s="21" t="str">
        <f>IF(I321&gt;K321,"Sim","Não")</f>
        <v>Não</v>
      </c>
      <c r="Q321" s="21">
        <f>COUNTIFS(C:C,C321)</f>
        <v>1</v>
      </c>
    </row>
    <row r="322" spans="3:17" hidden="1" x14ac:dyDescent="0.35">
      <c r="C322" s="5">
        <f>_xlfn.XLOOKUP(F322,'Same Seller Hist'!H:H,'Same Seller Hist'!E:E)</f>
        <v>283145548</v>
      </c>
      <c r="D322" s="5" t="str">
        <f>_xlfn.XLOOKUP(F322,'Same Seller Hist'!H:H,'Same Seller Hist'!D:D)</f>
        <v>MAIS MAKE BRASIL</v>
      </c>
      <c r="E322" s="5">
        <f>_xlfn.XLOOKUP(F322,'Same Seller Hist'!H:H,'Same Seller Hist'!I:I)</f>
        <v>7.4941461101765898E+18</v>
      </c>
      <c r="F322" s="5" t="s">
        <v>878</v>
      </c>
      <c r="G322" s="5">
        <f>_xlfn.XLOOKUP(C322,'Same Seller Hist'!E:E,'Same Seller Hist'!F:F)</f>
        <v>0</v>
      </c>
      <c r="H322" s="19">
        <f>_xlfn.IFNA(_xlfn.XLOOKUP(C322,'Shp 500'!D:D,'Shp 500'!I:I),0)</f>
        <v>0</v>
      </c>
      <c r="I322" s="19">
        <f>_xlfn.IFNA(_xlfn.XLOOKUP(C322,'Shp 500'!D:D,'Shp 500'!J:J),0)</f>
        <v>0</v>
      </c>
      <c r="J322" s="19">
        <v>293.54838709677421</v>
      </c>
      <c r="K322" s="19">
        <v>14948.387096774193</v>
      </c>
      <c r="L322" s="21" t="s">
        <v>2530</v>
      </c>
      <c r="M322" s="21" t="str">
        <f>IF(L322="Shp 500","Sim",IF(ISNA(_xlfn.XLOOKUP(C322,'Shp 500'!D:D,'Shp 500'!D:D)),"Não","Sim"))</f>
        <v>Não</v>
      </c>
      <c r="N322" s="21" t="str">
        <f>IF(L322="Fastmoss 500","Sim",IF(ISNA(_xlfn.XLOOKUP(_xlfn.XLOOKUP(C322,'Same Seller Hist'!E:E,'Same Seller Hist'!H:H),'Fastmoss 500'!D:D,'Fastmoss 500'!D:D)),"Não","Sim"))</f>
        <v>Sim</v>
      </c>
      <c r="O322" s="21" t="str">
        <f>IF(AND(M322="Sim",N322="Sim"),"Sim","Não")</f>
        <v>Não</v>
      </c>
      <c r="P322" s="21" t="str">
        <f>IF(I322&gt;K322,"Sim","Não")</f>
        <v>Não</v>
      </c>
      <c r="Q322" s="21">
        <f>COUNTIFS(C:C,C322)</f>
        <v>1</v>
      </c>
    </row>
    <row r="323" spans="3:17" hidden="1" x14ac:dyDescent="0.35">
      <c r="C323" s="5">
        <f>_xlfn.XLOOKUP(F323,'Same Seller Hist'!H:H,'Same Seller Hist'!E:E)</f>
        <v>1467221745</v>
      </c>
      <c r="D323" s="5" t="str">
        <f>_xlfn.XLOOKUP(F323,'Same Seller Hist'!H:H,'Same Seller Hist'!D:D)</f>
        <v>Mizzil</v>
      </c>
      <c r="E323" s="5">
        <f>_xlfn.XLOOKUP(F323,'Same Seller Hist'!H:H,'Same Seller Hist'!I:I)</f>
        <v>7.4941550915097999E+18</v>
      </c>
      <c r="F323" s="5" t="s">
        <v>884</v>
      </c>
      <c r="G323" s="5">
        <f>_xlfn.XLOOKUP(C323,'Same Seller Hist'!E:E,'Same Seller Hist'!F:F)</f>
        <v>0</v>
      </c>
      <c r="H323" s="19">
        <f>_xlfn.IFNA(_xlfn.XLOOKUP(C323,'Shp 500'!D:D,'Shp 500'!I:I),0)</f>
        <v>0</v>
      </c>
      <c r="I323" s="19">
        <f>_xlfn.IFNA(_xlfn.XLOOKUP(C323,'Shp 500'!D:D,'Shp 500'!J:J),0)</f>
        <v>0</v>
      </c>
      <c r="J323" s="19">
        <v>290.32258064516128</v>
      </c>
      <c r="K323" s="19">
        <v>10722.58064516129</v>
      </c>
      <c r="L323" s="21" t="s">
        <v>2530</v>
      </c>
      <c r="M323" s="21" t="str">
        <f>IF(L323="Shp 500","Sim",IF(ISNA(_xlfn.XLOOKUP(C323,'Shp 500'!D:D,'Shp 500'!D:D)),"Não","Sim"))</f>
        <v>Não</v>
      </c>
      <c r="N323" s="21" t="str">
        <f>IF(L323="Fastmoss 500","Sim",IF(ISNA(_xlfn.XLOOKUP(_xlfn.XLOOKUP(C323,'Same Seller Hist'!E:E,'Same Seller Hist'!H:H),'Fastmoss 500'!D:D,'Fastmoss 500'!D:D)),"Não","Sim"))</f>
        <v>Sim</v>
      </c>
      <c r="O323" s="21" t="str">
        <f>IF(AND(M323="Sim",N323="Sim"),"Sim","Não")</f>
        <v>Não</v>
      </c>
      <c r="P323" s="21" t="str">
        <f>IF(I323&gt;K323,"Sim","Não")</f>
        <v>Não</v>
      </c>
      <c r="Q323" s="21">
        <f>COUNTIFS(C:C,C323)</f>
        <v>1</v>
      </c>
    </row>
    <row r="324" spans="3:17" hidden="1" x14ac:dyDescent="0.35">
      <c r="C324" s="5">
        <f>_xlfn.XLOOKUP(F324,'Same Seller Hist'!H:H,'Same Seller Hist'!E:E)</f>
        <v>1344835721</v>
      </c>
      <c r="D324" s="5" t="str">
        <f>_xlfn.XLOOKUP(F324,'Same Seller Hist'!H:H,'Same Seller Hist'!D:D)</f>
        <v>MEGGAFLEX</v>
      </c>
      <c r="E324" s="5">
        <f>_xlfn.XLOOKUP(F324,'Same Seller Hist'!H:H,'Same Seller Hist'!I:I)</f>
        <v>7.4962286813403197E+18</v>
      </c>
      <c r="F324" s="5" t="s">
        <v>212</v>
      </c>
      <c r="G324" s="5" t="str">
        <f>_xlfn.XLOOKUP(C324,'Same Seller Hist'!E:E,'Same Seller Hist'!F:F)</f>
        <v>Lifestyle</v>
      </c>
      <c r="H324" s="19">
        <f>_xlfn.IFNA(_xlfn.XLOOKUP(C324,'Shp 500'!D:D,'Shp 500'!I:I),0)</f>
        <v>0</v>
      </c>
      <c r="I324" s="19">
        <f>_xlfn.IFNA(_xlfn.XLOOKUP(C324,'Shp 500'!D:D,'Shp 500'!J:J),0)</f>
        <v>0</v>
      </c>
      <c r="J324" s="19">
        <v>290.32258064516128</v>
      </c>
      <c r="K324" s="19">
        <v>32258.064516129034</v>
      </c>
      <c r="L324" s="21" t="s">
        <v>2530</v>
      </c>
      <c r="M324" s="21" t="str">
        <f>IF(L324="Shp 500","Sim",IF(ISNA(_xlfn.XLOOKUP(C324,'Shp 500'!D:D,'Shp 500'!D:D)),"Não","Sim"))</f>
        <v>Não</v>
      </c>
      <c r="N324" s="21" t="str">
        <f>IF(L324="Fastmoss 500","Sim",IF(ISNA(_xlfn.XLOOKUP(_xlfn.XLOOKUP(C324,'Same Seller Hist'!E:E,'Same Seller Hist'!H:H),'Fastmoss 500'!D:D,'Fastmoss 500'!D:D)),"Não","Sim"))</f>
        <v>Sim</v>
      </c>
      <c r="O324" s="21" t="str">
        <f>IF(AND(M324="Sim",N324="Sim"),"Sim","Não")</f>
        <v>Não</v>
      </c>
      <c r="P324" s="21" t="str">
        <f>IF(I324&gt;K324,"Sim","Não")</f>
        <v>Não</v>
      </c>
      <c r="Q324" s="21">
        <f>COUNTIFS(C:C,C324)</f>
        <v>1</v>
      </c>
    </row>
    <row r="325" spans="3:17" hidden="1" x14ac:dyDescent="0.35">
      <c r="C325" s="5">
        <f>_xlfn.XLOOKUP(F325,'Same Seller Hist'!H:H,'Same Seller Hist'!E:E)</f>
        <v>1620515295</v>
      </c>
      <c r="D325" s="5" t="str">
        <f>_xlfn.XLOOKUP(F325,'Same Seller Hist'!H:H,'Same Seller Hist'!D:D)</f>
        <v>Manyoo BRSHOP</v>
      </c>
      <c r="E325" s="5">
        <f>_xlfn.XLOOKUP(F325,'Same Seller Hist'!H:H,'Same Seller Hist'!I:I)</f>
        <v>7.4942685548423096E+18</v>
      </c>
      <c r="F325" s="5" t="s">
        <v>879</v>
      </c>
      <c r="G325" s="5" t="str">
        <f>_xlfn.XLOOKUP(C325,'Same Seller Hist'!E:E,'Same Seller Hist'!F:F)</f>
        <v>Fashion</v>
      </c>
      <c r="H325" s="19">
        <f>_xlfn.IFNA(_xlfn.XLOOKUP(C325,'Shp 500'!D:D,'Shp 500'!I:I),0)</f>
        <v>0</v>
      </c>
      <c r="I325" s="19">
        <f>_xlfn.IFNA(_xlfn.XLOOKUP(C325,'Shp 500'!D:D,'Shp 500'!J:J),0)</f>
        <v>0</v>
      </c>
      <c r="J325" s="19">
        <v>287.09677419354841</v>
      </c>
      <c r="K325" s="19">
        <v>14380.645161290322</v>
      </c>
      <c r="L325" s="21" t="s">
        <v>2530</v>
      </c>
      <c r="M325" s="21" t="str">
        <f>IF(L325="Shp 500","Sim",IF(ISNA(_xlfn.XLOOKUP(C325,'Shp 500'!D:D,'Shp 500'!D:D)),"Não","Sim"))</f>
        <v>Não</v>
      </c>
      <c r="N325" s="21" t="str">
        <f>IF(L325="Fastmoss 500","Sim",IF(ISNA(_xlfn.XLOOKUP(_xlfn.XLOOKUP(C325,'Same Seller Hist'!E:E,'Same Seller Hist'!H:H),'Fastmoss 500'!D:D,'Fastmoss 500'!D:D)),"Não","Sim"))</f>
        <v>Sim</v>
      </c>
      <c r="O325" s="21" t="str">
        <f>IF(AND(M325="Sim",N325="Sim"),"Sim","Não")</f>
        <v>Não</v>
      </c>
      <c r="P325" s="21" t="str">
        <f>IF(I325&gt;K325,"Sim","Não")</f>
        <v>Não</v>
      </c>
      <c r="Q325" s="21">
        <f>COUNTIFS(C:C,C325)</f>
        <v>1</v>
      </c>
    </row>
    <row r="326" spans="3:17" hidden="1" x14ac:dyDescent="0.35">
      <c r="C326" s="5">
        <f>_xlfn.XLOOKUP(F326,'Same Seller Hist'!H:H,'Same Seller Hist'!E:E)</f>
        <v>329201119</v>
      </c>
      <c r="D326" s="5" t="str">
        <f>_xlfn.XLOOKUP(F326,'Same Seller Hist'!H:H,'Same Seller Hist'!D:D)</f>
        <v>VirtualShopsp</v>
      </c>
      <c r="E326" s="5">
        <f>_xlfn.XLOOKUP(F326,'Same Seller Hist'!H:H,'Same Seller Hist'!I:I)</f>
        <v>7.4940938608383396E+18</v>
      </c>
      <c r="F326" s="5" t="s">
        <v>901</v>
      </c>
      <c r="G326" s="5">
        <f>_xlfn.XLOOKUP(C326,'Same Seller Hist'!E:E,'Same Seller Hist'!F:F)</f>
        <v>0</v>
      </c>
      <c r="H326" s="19">
        <f>_xlfn.IFNA(_xlfn.XLOOKUP(C326,'Shp 500'!D:D,'Shp 500'!I:I),0)</f>
        <v>0</v>
      </c>
      <c r="I326" s="19">
        <f>_xlfn.IFNA(_xlfn.XLOOKUP(C326,'Shp 500'!D:D,'Shp 500'!J:J),0)</f>
        <v>0</v>
      </c>
      <c r="J326" s="19">
        <v>287.09677419354841</v>
      </c>
      <c r="K326" s="19">
        <v>9658.0645161290322</v>
      </c>
      <c r="L326" s="21" t="s">
        <v>2530</v>
      </c>
      <c r="M326" s="21" t="str">
        <f>IF(L326="Shp 500","Sim",IF(ISNA(_xlfn.XLOOKUP(C326,'Shp 500'!D:D,'Shp 500'!D:D)),"Não","Sim"))</f>
        <v>Não</v>
      </c>
      <c r="N326" s="21" t="str">
        <f>IF(L326="Fastmoss 500","Sim",IF(ISNA(_xlfn.XLOOKUP(_xlfn.XLOOKUP(C326,'Same Seller Hist'!E:E,'Same Seller Hist'!H:H),'Fastmoss 500'!D:D,'Fastmoss 500'!D:D)),"Não","Sim"))</f>
        <v>Sim</v>
      </c>
      <c r="O326" s="21" t="str">
        <f>IF(AND(M326="Sim",N326="Sim"),"Sim","Não")</f>
        <v>Não</v>
      </c>
      <c r="P326" s="21" t="str">
        <f>IF(I326&gt;K326,"Sim","Não")</f>
        <v>Não</v>
      </c>
      <c r="Q326" s="21">
        <f>COUNTIFS(C:C,C326)</f>
        <v>1</v>
      </c>
    </row>
    <row r="327" spans="3:17" x14ac:dyDescent="0.35">
      <c r="C327" s="5">
        <f>_xlfn.XLOOKUP(F327,'Same Seller Hist'!H:H,'Same Seller Hist'!E:E)</f>
        <v>1242044379</v>
      </c>
      <c r="D327" s="5" t="str">
        <f>_xlfn.XLOOKUP(F327,'Same Seller Hist'!H:H,'Same Seller Hist'!D:D)</f>
        <v>Dark Lab</v>
      </c>
      <c r="E327" s="5">
        <f>_xlfn.XLOOKUP(F327,'Same Seller Hist'!H:H,'Same Seller Hist'!I:I)</f>
        <v>7.4950922247513395E+18</v>
      </c>
      <c r="F327" s="5" t="s">
        <v>166</v>
      </c>
      <c r="G327" s="5" t="str">
        <f>_xlfn.XLOOKUP(C327,'Same Seller Hist'!E:E,'Same Seller Hist'!F:F)</f>
        <v>Fashion</v>
      </c>
      <c r="H327" s="19">
        <f>_xlfn.IFNA(_xlfn.XLOOKUP(C327,'Shp 500'!D:D,'Shp 500'!I:I),0)</f>
        <v>1016.2258064516129</v>
      </c>
      <c r="I327" s="19">
        <f>_xlfn.IFNA(_xlfn.XLOOKUP(C327,'Shp 500'!D:D,'Shp 500'!J:J),0)</f>
        <v>12150.095874346711</v>
      </c>
      <c r="J327" s="19">
        <v>916.12903225806451</v>
      </c>
      <c r="K327" s="19">
        <v>54838.709677419356</v>
      </c>
      <c r="L327" s="21" t="s">
        <v>2530</v>
      </c>
      <c r="M327" s="21" t="str">
        <f>IF(L327="Shp 500","Sim",IF(ISNA(_xlfn.XLOOKUP(C327,'Shp 500'!D:D,'Shp 500'!D:D)),"Não","Sim"))</f>
        <v>Sim</v>
      </c>
      <c r="N327" s="21" t="str">
        <f>IF(L327="Fastmoss 500","Sim",IF(ISNA(_xlfn.XLOOKUP(_xlfn.XLOOKUP(C327,'Same Seller Hist'!E:E,'Same Seller Hist'!H:H),'Fastmoss 500'!D:D,'Fastmoss 500'!D:D)),"Não","Sim"))</f>
        <v>Sim</v>
      </c>
      <c r="O327" s="21" t="str">
        <f>IF(AND(M327="Sim",N327="Sim"),"Sim","Não")</f>
        <v>Sim</v>
      </c>
      <c r="P327" s="21" t="str">
        <f>IF(I327&gt;K327,"Sim","Não")</f>
        <v>Não</v>
      </c>
      <c r="Q327" s="21">
        <f>COUNTIFS(C:C,C327)</f>
        <v>2</v>
      </c>
    </row>
    <row r="328" spans="3:17" hidden="1" x14ac:dyDescent="0.35">
      <c r="C328" s="5">
        <f>_xlfn.XLOOKUP(F328,'Same Seller Hist'!H:H,'Same Seller Hist'!E:E)</f>
        <v>378093609</v>
      </c>
      <c r="D328" s="5" t="str">
        <f>_xlfn.XLOOKUP(F328,'Same Seller Hist'!H:H,'Same Seller Hist'!D:D)</f>
        <v>Misuli.tk</v>
      </c>
      <c r="E328" s="5">
        <f>_xlfn.XLOOKUP(F328,'Same Seller Hist'!H:H,'Same Seller Hist'!I:I)</f>
        <v>7.4961811741606195E+18</v>
      </c>
      <c r="F328" s="5" t="s">
        <v>883</v>
      </c>
      <c r="G328" s="5">
        <f>_xlfn.XLOOKUP(C328,'Same Seller Hist'!E:E,'Same Seller Hist'!F:F)</f>
        <v>0</v>
      </c>
      <c r="H328" s="19">
        <f>_xlfn.IFNA(_xlfn.XLOOKUP(C328,'Shp 500'!D:D,'Shp 500'!I:I),0)</f>
        <v>0</v>
      </c>
      <c r="I328" s="19">
        <f>_xlfn.IFNA(_xlfn.XLOOKUP(C328,'Shp 500'!D:D,'Shp 500'!J:J),0)</f>
        <v>0</v>
      </c>
      <c r="J328" s="19">
        <v>283.87096774193549</v>
      </c>
      <c r="K328" s="19">
        <v>10267.741935483871</v>
      </c>
      <c r="L328" s="21" t="s">
        <v>2530</v>
      </c>
      <c r="M328" s="21" t="str">
        <f>IF(L328="Shp 500","Sim",IF(ISNA(_xlfn.XLOOKUP(C328,'Shp 500'!D:D,'Shp 500'!D:D)),"Não","Sim"))</f>
        <v>Não</v>
      </c>
      <c r="N328" s="21" t="str">
        <f>IF(L328="Fastmoss 500","Sim",IF(ISNA(_xlfn.XLOOKUP(_xlfn.XLOOKUP(C328,'Same Seller Hist'!E:E,'Same Seller Hist'!H:H),'Fastmoss 500'!D:D,'Fastmoss 500'!D:D)),"Não","Sim"))</f>
        <v>Sim</v>
      </c>
      <c r="O328" s="21" t="str">
        <f>IF(AND(M328="Sim",N328="Sim"),"Sim","Não")</f>
        <v>Não</v>
      </c>
      <c r="P328" s="21" t="str">
        <f>IF(I328&gt;K328,"Sim","Não")</f>
        <v>Não</v>
      </c>
      <c r="Q328" s="21">
        <f>COUNTIFS(C:C,C328)</f>
        <v>1</v>
      </c>
    </row>
    <row r="329" spans="3:17" hidden="1" x14ac:dyDescent="0.35">
      <c r="C329" s="5">
        <f>_xlfn.XLOOKUP(F329,'Same Seller Hist'!H:H,'Same Seller Hist'!E:E)</f>
        <v>1484181071</v>
      </c>
      <c r="D329" s="5" t="str">
        <f>_xlfn.XLOOKUP(F329,'Same Seller Hist'!H:H,'Same Seller Hist'!D:D)</f>
        <v>JY Fitness BR</v>
      </c>
      <c r="E329" s="5">
        <f>_xlfn.XLOOKUP(F329,'Same Seller Hist'!H:H,'Same Seller Hist'!I:I)</f>
        <v>7.4961616565350902E+18</v>
      </c>
      <c r="F329" s="5" t="s">
        <v>279</v>
      </c>
      <c r="G329" s="5" t="str">
        <f>_xlfn.XLOOKUP(C329,'Same Seller Hist'!E:E,'Same Seller Hist'!F:F)</f>
        <v>Fashion</v>
      </c>
      <c r="H329" s="19">
        <f>_xlfn.IFNA(_xlfn.XLOOKUP(C329,'Shp 500'!D:D,'Shp 500'!I:I),0)</f>
        <v>0</v>
      </c>
      <c r="I329" s="19">
        <f>_xlfn.IFNA(_xlfn.XLOOKUP(C329,'Shp 500'!D:D,'Shp 500'!J:J),0)</f>
        <v>0</v>
      </c>
      <c r="J329" s="19">
        <v>283.87096774193549</v>
      </c>
      <c r="K329" s="19">
        <v>11345.161290322581</v>
      </c>
      <c r="L329" s="21" t="s">
        <v>2530</v>
      </c>
      <c r="M329" s="21" t="str">
        <f>IF(L329="Shp 500","Sim",IF(ISNA(_xlfn.XLOOKUP(C329,'Shp 500'!D:D,'Shp 500'!D:D)),"Não","Sim"))</f>
        <v>Não</v>
      </c>
      <c r="N329" s="21" t="str">
        <f>IF(L329="Fastmoss 500","Sim",IF(ISNA(_xlfn.XLOOKUP(_xlfn.XLOOKUP(C329,'Same Seller Hist'!E:E,'Same Seller Hist'!H:H),'Fastmoss 500'!D:D,'Fastmoss 500'!D:D)),"Não","Sim"))</f>
        <v>Sim</v>
      </c>
      <c r="O329" s="21" t="str">
        <f>IF(AND(M329="Sim",N329="Sim"),"Sim","Não")</f>
        <v>Não</v>
      </c>
      <c r="P329" s="21" t="str">
        <f>IF(I329&gt;K329,"Sim","Não")</f>
        <v>Não</v>
      </c>
      <c r="Q329" s="21">
        <f>COUNTIFS(C:C,C329)</f>
        <v>1</v>
      </c>
    </row>
    <row r="330" spans="3:17" x14ac:dyDescent="0.35">
      <c r="C330" s="5">
        <v>1264631014</v>
      </c>
      <c r="D330" s="5" t="s">
        <v>1606</v>
      </c>
      <c r="E330" s="5">
        <f>_xlfn.XLOOKUP(C330,'Same Seller Hist'!E:E,'Same Seller Hist'!I:I)</f>
        <v>7.4961616106136197E+18</v>
      </c>
      <c r="F330" s="5" t="str">
        <f>_xlfn.XLOOKUP(C330,'Same Seller Hist'!E:E,'Same Seller Hist'!H:H)</f>
        <v>TOP VIDA BRASIL</v>
      </c>
      <c r="G330" s="5" t="s">
        <v>1734</v>
      </c>
      <c r="H330" s="19">
        <v>974.32258064515815</v>
      </c>
      <c r="I330" s="19">
        <v>7077.4793647981296</v>
      </c>
      <c r="J330" s="19">
        <f>_xlfn.IFNA(_xlfn.XLOOKUP(F330,'Fastmoss 500'!D:D,'Fastmoss 500'!O:O),0)</f>
        <v>1083.8709677419354</v>
      </c>
      <c r="K330" s="19">
        <f>_xlfn.IFNA(_xlfn.XLOOKUP(F330,'Fastmoss 500'!D:D,'Fastmoss 500'!N:N),0)</f>
        <v>45161.290322580644</v>
      </c>
      <c r="L330" s="21" t="s">
        <v>2528</v>
      </c>
      <c r="M330" s="21" t="str">
        <f>IF(L330="Shp 500","Sim",IF(ISNA(_xlfn.XLOOKUP(C330,'Shp 500'!D:D,'Shp 500'!D:D)),"Não","Sim"))</f>
        <v>Sim</v>
      </c>
      <c r="N330" s="21" t="str">
        <f>IF(L330="Fastmoss 500","Sim",IF(ISNA(_xlfn.XLOOKUP(_xlfn.XLOOKUP(C330,'Same Seller Hist'!E:E,'Same Seller Hist'!H:H),'Fastmoss 500'!D:D,'Fastmoss 500'!D:D)),"Não","Sim"))</f>
        <v>Sim</v>
      </c>
      <c r="O330" s="21" t="str">
        <f>IF(AND(M330="Sim",N330="Sim"),"Sim","Não")</f>
        <v>Sim</v>
      </c>
      <c r="P330" s="21" t="str">
        <f>IF(I330&gt;K330,"Sim","Não")</f>
        <v>Não</v>
      </c>
      <c r="Q330" s="21">
        <f>COUNTIFS(C:C,C330)</f>
        <v>2</v>
      </c>
    </row>
    <row r="331" spans="3:17" hidden="1" x14ac:dyDescent="0.35">
      <c r="C331" s="5">
        <f>_xlfn.XLOOKUP(F331,'Same Seller Hist'!H:H,'Same Seller Hist'!E:E)</f>
        <v>1356910862</v>
      </c>
      <c r="D331" s="5" t="str">
        <f>_xlfn.XLOOKUP(F331,'Same Seller Hist'!H:H,'Same Seller Hist'!D:D)</f>
        <v>novo comecio</v>
      </c>
      <c r="E331" s="5">
        <f>_xlfn.XLOOKUP(F331,'Same Seller Hist'!H:H,'Same Seller Hist'!I:I)</f>
        <v>7.4962128284029102E+18</v>
      </c>
      <c r="F331" s="5" t="s">
        <v>214</v>
      </c>
      <c r="G331" s="5" t="str">
        <f>_xlfn.XLOOKUP(C331,'Same Seller Hist'!E:E,'Same Seller Hist'!F:F)</f>
        <v>ELHA</v>
      </c>
      <c r="H331" s="19">
        <f>_xlfn.IFNA(_xlfn.XLOOKUP(C331,'Shp 500'!D:D,'Shp 500'!I:I),0)</f>
        <v>0</v>
      </c>
      <c r="I331" s="19">
        <f>_xlfn.IFNA(_xlfn.XLOOKUP(C331,'Shp 500'!D:D,'Shp 500'!J:J),0)</f>
        <v>0</v>
      </c>
      <c r="J331" s="19">
        <v>280.64516129032256</v>
      </c>
      <c r="K331" s="19">
        <v>13951.612903225807</v>
      </c>
      <c r="L331" s="21" t="s">
        <v>2530</v>
      </c>
      <c r="M331" s="21" t="str">
        <f>IF(L331="Shp 500","Sim",IF(ISNA(_xlfn.XLOOKUP(C331,'Shp 500'!D:D,'Shp 500'!D:D)),"Não","Sim"))</f>
        <v>Não</v>
      </c>
      <c r="N331" s="21" t="str">
        <f>IF(L331="Fastmoss 500","Sim",IF(ISNA(_xlfn.XLOOKUP(_xlfn.XLOOKUP(C331,'Same Seller Hist'!E:E,'Same Seller Hist'!H:H),'Fastmoss 500'!D:D,'Fastmoss 500'!D:D)),"Não","Sim"))</f>
        <v>Sim</v>
      </c>
      <c r="O331" s="21" t="str">
        <f>IF(AND(M331="Sim",N331="Sim"),"Sim","Não")</f>
        <v>Não</v>
      </c>
      <c r="P331" s="21" t="str">
        <f>IF(I331&gt;K331,"Sim","Não")</f>
        <v>Não</v>
      </c>
      <c r="Q331" s="21">
        <f>COUNTIFS(C:C,C331)</f>
        <v>1</v>
      </c>
    </row>
    <row r="332" spans="3:17" x14ac:dyDescent="0.35">
      <c r="C332" s="5">
        <f>_xlfn.XLOOKUP(F332,'Same Seller Hist'!H:H,'Same Seller Hist'!E:E)</f>
        <v>1264631014</v>
      </c>
      <c r="D332" s="5" t="str">
        <f>_xlfn.XLOOKUP(F332,'Same Seller Hist'!H:H,'Same Seller Hist'!D:D)</f>
        <v>TOP VIDA BRASIL</v>
      </c>
      <c r="E332" s="5">
        <f>_xlfn.XLOOKUP(F332,'Same Seller Hist'!H:H,'Same Seller Hist'!I:I)</f>
        <v>7.4961616106136197E+18</v>
      </c>
      <c r="F332" s="5" t="s">
        <v>181</v>
      </c>
      <c r="G332" s="5" t="str">
        <f>_xlfn.XLOOKUP(C332,'Same Seller Hist'!E:E,'Same Seller Hist'!F:F)</f>
        <v>Lifestyle</v>
      </c>
      <c r="H332" s="19">
        <f>_xlfn.IFNA(_xlfn.XLOOKUP(C332,'Shp 500'!D:D,'Shp 500'!I:I),0)</f>
        <v>974.32258064515815</v>
      </c>
      <c r="I332" s="19">
        <f>_xlfn.IFNA(_xlfn.XLOOKUP(C332,'Shp 500'!D:D,'Shp 500'!J:J),0)</f>
        <v>7077.4793647981296</v>
      </c>
      <c r="J332" s="19">
        <v>1083.8709677419354</v>
      </c>
      <c r="K332" s="19">
        <v>45161.290322580644</v>
      </c>
      <c r="L332" s="21" t="s">
        <v>2530</v>
      </c>
      <c r="M332" s="21" t="str">
        <f>IF(L332="Shp 500","Sim",IF(ISNA(_xlfn.XLOOKUP(C332,'Shp 500'!D:D,'Shp 500'!D:D)),"Não","Sim"))</f>
        <v>Sim</v>
      </c>
      <c r="N332" s="21" t="str">
        <f>IF(L332="Fastmoss 500","Sim",IF(ISNA(_xlfn.XLOOKUP(_xlfn.XLOOKUP(C332,'Same Seller Hist'!E:E,'Same Seller Hist'!H:H),'Fastmoss 500'!D:D,'Fastmoss 500'!D:D)),"Não","Sim"))</f>
        <v>Sim</v>
      </c>
      <c r="O332" s="21" t="str">
        <f>IF(AND(M332="Sim",N332="Sim"),"Sim","Não")</f>
        <v>Sim</v>
      </c>
      <c r="P332" s="21" t="str">
        <f>IF(I332&gt;K332,"Sim","Não")</f>
        <v>Não</v>
      </c>
      <c r="Q332" s="21">
        <f>COUNTIFS(C:C,C332)</f>
        <v>2</v>
      </c>
    </row>
    <row r="333" spans="3:17" hidden="1" x14ac:dyDescent="0.35">
      <c r="C333" s="5">
        <f>_xlfn.XLOOKUP(F333,'Same Seller Hist'!H:H,'Same Seller Hist'!E:E)</f>
        <v>421577530</v>
      </c>
      <c r="D333" s="5" t="str">
        <f>_xlfn.XLOOKUP(F333,'Same Seller Hist'!H:H,'Same Seller Hist'!D:D)</f>
        <v>ZIZZI MODA</v>
      </c>
      <c r="E333" s="5">
        <f>_xlfn.XLOOKUP(F333,'Same Seller Hist'!H:H,'Same Seller Hist'!I:I)</f>
        <v>7.4941325565380803E+18</v>
      </c>
      <c r="F333" s="5" t="s">
        <v>902</v>
      </c>
      <c r="G333" s="5">
        <f>_xlfn.XLOOKUP(C333,'Same Seller Hist'!E:E,'Same Seller Hist'!F:F)</f>
        <v>0</v>
      </c>
      <c r="H333" s="19">
        <f>_xlfn.IFNA(_xlfn.XLOOKUP(C333,'Shp 500'!D:D,'Shp 500'!I:I),0)</f>
        <v>0</v>
      </c>
      <c r="I333" s="19">
        <f>_xlfn.IFNA(_xlfn.XLOOKUP(C333,'Shp 500'!D:D,'Shp 500'!J:J),0)</f>
        <v>0</v>
      </c>
      <c r="J333" s="19">
        <v>280.64516129032256</v>
      </c>
      <c r="K333" s="19">
        <v>8800</v>
      </c>
      <c r="L333" s="21" t="s">
        <v>2530</v>
      </c>
      <c r="M333" s="21" t="str">
        <f>IF(L333="Shp 500","Sim",IF(ISNA(_xlfn.XLOOKUP(C333,'Shp 500'!D:D,'Shp 500'!D:D)),"Não","Sim"))</f>
        <v>Não</v>
      </c>
      <c r="N333" s="21" t="str">
        <f>IF(L333="Fastmoss 500","Sim",IF(ISNA(_xlfn.XLOOKUP(_xlfn.XLOOKUP(C333,'Same Seller Hist'!E:E,'Same Seller Hist'!H:H),'Fastmoss 500'!D:D,'Fastmoss 500'!D:D)),"Não","Sim"))</f>
        <v>Sim</v>
      </c>
      <c r="O333" s="21" t="str">
        <f>IF(AND(M333="Sim",N333="Sim"),"Sim","Não")</f>
        <v>Não</v>
      </c>
      <c r="P333" s="21" t="str">
        <f>IF(I333&gt;K333,"Sim","Não")</f>
        <v>Não</v>
      </c>
      <c r="Q333" s="21">
        <f>COUNTIFS(C:C,C333)</f>
        <v>1</v>
      </c>
    </row>
    <row r="334" spans="3:17" x14ac:dyDescent="0.35">
      <c r="C334" s="5">
        <v>1267153913</v>
      </c>
      <c r="D334" s="5" t="s">
        <v>1450</v>
      </c>
      <c r="E334" s="5">
        <f>_xlfn.XLOOKUP(C334,'Same Seller Hist'!E:E,'Same Seller Hist'!I:I)</f>
        <v>7.4961665766555904E+18</v>
      </c>
      <c r="F334" s="5" t="str">
        <f>_xlfn.XLOOKUP(C334,'Same Seller Hist'!E:E,'Same Seller Hist'!H:H)</f>
        <v>TG ZDQ</v>
      </c>
      <c r="G334" s="5" t="s">
        <v>1734</v>
      </c>
      <c r="H334" s="19">
        <v>1352.1935483870934</v>
      </c>
      <c r="I334" s="19">
        <v>11585.943751508485</v>
      </c>
      <c r="J334" s="19">
        <f>_xlfn.IFNA(_xlfn.XLOOKUP(F334,'Fastmoss 500'!D:D,'Fastmoss 500'!O:O),0)</f>
        <v>967.74193548387098</v>
      </c>
      <c r="K334" s="19">
        <f>_xlfn.IFNA(_xlfn.XLOOKUP(F334,'Fastmoss 500'!D:D,'Fastmoss 500'!N:N),0)</f>
        <v>38709.677419354841</v>
      </c>
      <c r="L334" s="21" t="s">
        <v>2528</v>
      </c>
      <c r="M334" s="21" t="str">
        <f>IF(L334="Shp 500","Sim",IF(ISNA(_xlfn.XLOOKUP(C334,'Shp 500'!D:D,'Shp 500'!D:D)),"Não","Sim"))</f>
        <v>Sim</v>
      </c>
      <c r="N334" s="21" t="str">
        <f>IF(L334="Fastmoss 500","Sim",IF(ISNA(_xlfn.XLOOKUP(_xlfn.XLOOKUP(C334,'Same Seller Hist'!E:E,'Same Seller Hist'!H:H),'Fastmoss 500'!D:D,'Fastmoss 500'!D:D)),"Não","Sim"))</f>
        <v>Sim</v>
      </c>
      <c r="O334" s="21" t="str">
        <f>IF(AND(M334="Sim",N334="Sim"),"Sim","Não")</f>
        <v>Sim</v>
      </c>
      <c r="P334" s="21" t="str">
        <f>IF(I334&gt;K334,"Sim","Não")</f>
        <v>Não</v>
      </c>
      <c r="Q334" s="21">
        <f>COUNTIFS(C:C,C334)</f>
        <v>2</v>
      </c>
    </row>
    <row r="335" spans="3:17" hidden="1" x14ac:dyDescent="0.35">
      <c r="C335" s="5">
        <f>_xlfn.XLOOKUP(F335,'Same Seller Hist'!H:H,'Same Seller Hist'!E:E)</f>
        <v>1059419518</v>
      </c>
      <c r="D335" s="5" t="str">
        <f>_xlfn.XLOOKUP(F335,'Same Seller Hist'!H:H,'Same Seller Hist'!D:D)</f>
        <v>Bigens</v>
      </c>
      <c r="E335" s="5">
        <f>_xlfn.XLOOKUP(F335,'Same Seller Hist'!H:H,'Same Seller Hist'!I:I)</f>
        <v>7.4962124994014996E+18</v>
      </c>
      <c r="F335" s="5" t="s">
        <v>85</v>
      </c>
      <c r="G335" s="5" t="str">
        <f>_xlfn.XLOOKUP(C335,'Same Seller Hist'!E:E,'Same Seller Hist'!F:F)</f>
        <v>FMCG</v>
      </c>
      <c r="H335" s="19">
        <f>_xlfn.IFNA(_xlfn.XLOOKUP(C335,'Shp 500'!D:D,'Shp 500'!I:I),0)</f>
        <v>0</v>
      </c>
      <c r="I335" s="19">
        <f>_xlfn.IFNA(_xlfn.XLOOKUP(C335,'Shp 500'!D:D,'Shp 500'!J:J),0)</f>
        <v>0</v>
      </c>
      <c r="J335" s="19">
        <v>277.41935483870969</v>
      </c>
      <c r="K335" s="19">
        <v>15277.41935483871</v>
      </c>
      <c r="L335" s="21" t="s">
        <v>2530</v>
      </c>
      <c r="M335" s="21" t="str">
        <f>IF(L335="Shp 500","Sim",IF(ISNA(_xlfn.XLOOKUP(C335,'Shp 500'!D:D,'Shp 500'!D:D)),"Não","Sim"))</f>
        <v>Não</v>
      </c>
      <c r="N335" s="21" t="str">
        <f>IF(L335="Fastmoss 500","Sim",IF(ISNA(_xlfn.XLOOKUP(_xlfn.XLOOKUP(C335,'Same Seller Hist'!E:E,'Same Seller Hist'!H:H),'Fastmoss 500'!D:D,'Fastmoss 500'!D:D)),"Não","Sim"))</f>
        <v>Sim</v>
      </c>
      <c r="O335" s="21" t="str">
        <f>IF(AND(M335="Sim",N335="Sim"),"Sim","Não")</f>
        <v>Não</v>
      </c>
      <c r="P335" s="21" t="str">
        <f>IF(I335&gt;K335,"Sim","Não")</f>
        <v>Não</v>
      </c>
      <c r="Q335" s="21">
        <f>COUNTIFS(C:C,C335)</f>
        <v>1</v>
      </c>
    </row>
    <row r="336" spans="3:17" hidden="1" x14ac:dyDescent="0.35">
      <c r="C336" s="5">
        <f>_xlfn.XLOOKUP(F336,'Same Seller Hist'!H:H,'Same Seller Hist'!E:E)</f>
        <v>1494273370</v>
      </c>
      <c r="D336" s="5" t="str">
        <f>_xlfn.XLOOKUP(F336,'Same Seller Hist'!H:H,'Same Seller Hist'!D:D)</f>
        <v>CY-Tang</v>
      </c>
      <c r="E336" s="5">
        <f>_xlfn.XLOOKUP(F336,'Same Seller Hist'!H:H,'Same Seller Hist'!I:I)</f>
        <v>7.49618619827405E+18</v>
      </c>
      <c r="F336" s="5" t="s">
        <v>284</v>
      </c>
      <c r="G336" s="5" t="str">
        <f>_xlfn.XLOOKUP(C336,'Same Seller Hist'!E:E,'Same Seller Hist'!F:F)</f>
        <v>ELHA</v>
      </c>
      <c r="H336" s="19">
        <f>_xlfn.IFNA(_xlfn.XLOOKUP(C336,'Shp 500'!D:D,'Shp 500'!I:I),0)</f>
        <v>0</v>
      </c>
      <c r="I336" s="19">
        <f>_xlfn.IFNA(_xlfn.XLOOKUP(C336,'Shp 500'!D:D,'Shp 500'!J:J),0)</f>
        <v>0</v>
      </c>
      <c r="J336" s="19">
        <v>274.19354838709677</v>
      </c>
      <c r="K336" s="19">
        <v>3535.483870967742</v>
      </c>
      <c r="L336" s="21" t="s">
        <v>2530</v>
      </c>
      <c r="M336" s="21" t="str">
        <f>IF(L336="Shp 500","Sim",IF(ISNA(_xlfn.XLOOKUP(C336,'Shp 500'!D:D,'Shp 500'!D:D)),"Não","Sim"))</f>
        <v>Não</v>
      </c>
      <c r="N336" s="21" t="str">
        <f>IF(L336="Fastmoss 500","Sim",IF(ISNA(_xlfn.XLOOKUP(_xlfn.XLOOKUP(C336,'Same Seller Hist'!E:E,'Same Seller Hist'!H:H),'Fastmoss 500'!D:D,'Fastmoss 500'!D:D)),"Não","Sim"))</f>
        <v>Sim</v>
      </c>
      <c r="O336" s="21" t="str">
        <f>IF(AND(M336="Sim",N336="Sim"),"Sim","Não")</f>
        <v>Não</v>
      </c>
      <c r="P336" s="21" t="str">
        <f>IF(I336&gt;K336,"Sim","Não")</f>
        <v>Não</v>
      </c>
      <c r="Q336" s="21">
        <f>COUNTIFS(C:C,C336)</f>
        <v>1</v>
      </c>
    </row>
    <row r="337" spans="3:17" hidden="1" x14ac:dyDescent="0.35">
      <c r="C337" s="5">
        <f>_xlfn.XLOOKUP(F337,'Same Seller Hist'!H:H,'Same Seller Hist'!E:E)</f>
        <v>1373548058</v>
      </c>
      <c r="D337" s="5" t="str">
        <f>_xlfn.XLOOKUP(F337,'Same Seller Hist'!H:H,'Same Seller Hist'!D:D)</f>
        <v>SambaShop.br</v>
      </c>
      <c r="E337" s="5">
        <f>_xlfn.XLOOKUP(F337,'Same Seller Hist'!H:H,'Same Seller Hist'!I:I)</f>
        <v>7.4961632432399596E+18</v>
      </c>
      <c r="F337" s="5" t="s">
        <v>223</v>
      </c>
      <c r="G337" s="5" t="str">
        <f>_xlfn.XLOOKUP(C337,'Same Seller Hist'!E:E,'Same Seller Hist'!F:F)</f>
        <v>FMCG</v>
      </c>
      <c r="H337" s="19">
        <f>_xlfn.IFNA(_xlfn.XLOOKUP(C337,'Shp 500'!D:D,'Shp 500'!I:I),0)</f>
        <v>0</v>
      </c>
      <c r="I337" s="19">
        <f>_xlfn.IFNA(_xlfn.XLOOKUP(C337,'Shp 500'!D:D,'Shp 500'!J:J),0)</f>
        <v>0</v>
      </c>
      <c r="J337" s="19">
        <v>274.19354838709677</v>
      </c>
      <c r="K337" s="19">
        <v>14870.967741935483</v>
      </c>
      <c r="L337" s="21" t="s">
        <v>2530</v>
      </c>
      <c r="M337" s="21" t="str">
        <f>IF(L337="Shp 500","Sim",IF(ISNA(_xlfn.XLOOKUP(C337,'Shp 500'!D:D,'Shp 500'!D:D)),"Não","Sim"))</f>
        <v>Não</v>
      </c>
      <c r="N337" s="21" t="str">
        <f>IF(L337="Fastmoss 500","Sim",IF(ISNA(_xlfn.XLOOKUP(_xlfn.XLOOKUP(C337,'Same Seller Hist'!E:E,'Same Seller Hist'!H:H),'Fastmoss 500'!D:D,'Fastmoss 500'!D:D)),"Não","Sim"))</f>
        <v>Sim</v>
      </c>
      <c r="O337" s="21" t="str">
        <f>IF(AND(M337="Sim",N337="Sim"),"Sim","Não")</f>
        <v>Não</v>
      </c>
      <c r="P337" s="21" t="str">
        <f>IF(I337&gt;K337,"Sim","Não")</f>
        <v>Não</v>
      </c>
      <c r="Q337" s="21">
        <f>COUNTIFS(C:C,C337)</f>
        <v>1</v>
      </c>
    </row>
    <row r="338" spans="3:17" hidden="1" x14ac:dyDescent="0.35">
      <c r="C338" s="5">
        <f>_xlfn.XLOOKUP(F338,'Same Seller Hist'!H:H,'Same Seller Hist'!E:E)</f>
        <v>653062442</v>
      </c>
      <c r="D338" s="5" t="str">
        <f>_xlfn.XLOOKUP(F338,'Same Seller Hist'!H:H,'Same Seller Hist'!D:D)</f>
        <v>NK3 MODA</v>
      </c>
      <c r="E338" s="5">
        <f>_xlfn.XLOOKUP(F338,'Same Seller Hist'!H:H,'Same Seller Hist'!I:I)</f>
        <v>7.4961604234137098E+18</v>
      </c>
      <c r="F338" s="5" t="s">
        <v>661</v>
      </c>
      <c r="G338" s="5" t="str">
        <f>_xlfn.XLOOKUP(C338,'Same Seller Hist'!E:E,'Same Seller Hist'!F:F)</f>
        <v>Fashion</v>
      </c>
      <c r="H338" s="19">
        <f>_xlfn.IFNA(_xlfn.XLOOKUP(C338,'Shp 500'!D:D,'Shp 500'!I:I),0)</f>
        <v>0</v>
      </c>
      <c r="I338" s="19">
        <f>_xlfn.IFNA(_xlfn.XLOOKUP(C338,'Shp 500'!D:D,'Shp 500'!J:J),0)</f>
        <v>0</v>
      </c>
      <c r="J338" s="19">
        <v>270.96774193548384</v>
      </c>
      <c r="K338" s="19">
        <v>9145.1612903225814</v>
      </c>
      <c r="L338" s="21" t="s">
        <v>2530</v>
      </c>
      <c r="M338" s="21" t="str">
        <f>IF(L338="Shp 500","Sim",IF(ISNA(_xlfn.XLOOKUP(C338,'Shp 500'!D:D,'Shp 500'!D:D)),"Não","Sim"))</f>
        <v>Não</v>
      </c>
      <c r="N338" s="21" t="str">
        <f>IF(L338="Fastmoss 500","Sim",IF(ISNA(_xlfn.XLOOKUP(_xlfn.XLOOKUP(C338,'Same Seller Hist'!E:E,'Same Seller Hist'!H:H),'Fastmoss 500'!D:D,'Fastmoss 500'!D:D)),"Não","Sim"))</f>
        <v>Sim</v>
      </c>
      <c r="O338" s="21" t="str">
        <f>IF(AND(M338="Sim",N338="Sim"),"Sim","Não")</f>
        <v>Não</v>
      </c>
      <c r="P338" s="21" t="str">
        <f>IF(I338&gt;K338,"Sim","Não")</f>
        <v>Não</v>
      </c>
      <c r="Q338" s="21">
        <f>COUNTIFS(C:C,C338)</f>
        <v>1</v>
      </c>
    </row>
    <row r="339" spans="3:17" hidden="1" x14ac:dyDescent="0.35">
      <c r="C339" s="5">
        <f>_xlfn.XLOOKUP(F339,'Same Seller Hist'!H:H,'Same Seller Hist'!E:E)</f>
        <v>329658446</v>
      </c>
      <c r="D339" s="5" t="str">
        <f>_xlfn.XLOOKUP(F339,'Same Seller Hist'!H:H,'Same Seller Hist'!D:D)</f>
        <v>JL MODAS</v>
      </c>
      <c r="E339" s="5">
        <f>_xlfn.XLOOKUP(F339,'Same Seller Hist'!H:H,'Same Seller Hist'!I:I)</f>
        <v>7.4961820418040402E+18</v>
      </c>
      <c r="F339" s="5" t="s">
        <v>433</v>
      </c>
      <c r="G339" s="5" t="str">
        <f>_xlfn.XLOOKUP(C339,'Same Seller Hist'!E:E,'Same Seller Hist'!F:F)</f>
        <v>Fashion</v>
      </c>
      <c r="H339" s="19">
        <f>_xlfn.IFNA(_xlfn.XLOOKUP(C339,'Shp 500'!D:D,'Shp 500'!I:I),0)</f>
        <v>0</v>
      </c>
      <c r="I339" s="19">
        <f>_xlfn.IFNA(_xlfn.XLOOKUP(C339,'Shp 500'!D:D,'Shp 500'!J:J),0)</f>
        <v>0</v>
      </c>
      <c r="J339" s="19">
        <v>270.96774193548384</v>
      </c>
      <c r="K339" s="19">
        <v>10867.741935483871</v>
      </c>
      <c r="L339" s="21" t="s">
        <v>2530</v>
      </c>
      <c r="M339" s="21" t="str">
        <f>IF(L339="Shp 500","Sim",IF(ISNA(_xlfn.XLOOKUP(C339,'Shp 500'!D:D,'Shp 500'!D:D)),"Não","Sim"))</f>
        <v>Não</v>
      </c>
      <c r="N339" s="21" t="str">
        <f>IF(L339="Fastmoss 500","Sim",IF(ISNA(_xlfn.XLOOKUP(_xlfn.XLOOKUP(C339,'Same Seller Hist'!E:E,'Same Seller Hist'!H:H),'Fastmoss 500'!D:D,'Fastmoss 500'!D:D)),"Não","Sim"))</f>
        <v>Sim</v>
      </c>
      <c r="O339" s="21" t="str">
        <f>IF(AND(M339="Sim",N339="Sim"),"Sim","Não")</f>
        <v>Não</v>
      </c>
      <c r="P339" s="21" t="str">
        <f>IF(I339&gt;K339,"Sim","Não")</f>
        <v>Não</v>
      </c>
      <c r="Q339" s="21">
        <f>COUNTIFS(C:C,C339)</f>
        <v>1</v>
      </c>
    </row>
    <row r="340" spans="3:17" hidden="1" x14ac:dyDescent="0.35">
      <c r="C340" s="5">
        <f>_xlfn.XLOOKUP(F340,'Same Seller Hist'!H:H,'Same Seller Hist'!E:E)</f>
        <v>428748361</v>
      </c>
      <c r="D340" s="5" t="str">
        <f>_xlfn.XLOOKUP(F340,'Same Seller Hist'!H:H,'Same Seller Hist'!D:D)</f>
        <v>Grupo Paraíso MDF</v>
      </c>
      <c r="E340" s="5">
        <f>_xlfn.XLOOKUP(F340,'Same Seller Hist'!H:H,'Same Seller Hist'!I:I)</f>
        <v>7.4961831329418097E+18</v>
      </c>
      <c r="F340" s="5" t="s">
        <v>567</v>
      </c>
      <c r="G340" s="5" t="str">
        <f>_xlfn.XLOOKUP(C340,'Same Seller Hist'!E:E,'Same Seller Hist'!F:F)</f>
        <v>Lifestyle</v>
      </c>
      <c r="H340" s="19">
        <f>_xlfn.IFNA(_xlfn.XLOOKUP(C340,'Shp 500'!D:D,'Shp 500'!I:I),0)</f>
        <v>0</v>
      </c>
      <c r="I340" s="19">
        <f>_xlfn.IFNA(_xlfn.XLOOKUP(C340,'Shp 500'!D:D,'Shp 500'!J:J),0)</f>
        <v>0</v>
      </c>
      <c r="J340" s="19">
        <v>270.96774193548384</v>
      </c>
      <c r="K340" s="19">
        <v>6080.6451612903229</v>
      </c>
      <c r="L340" s="21" t="s">
        <v>2530</v>
      </c>
      <c r="M340" s="21" t="str">
        <f>IF(L340="Shp 500","Sim",IF(ISNA(_xlfn.XLOOKUP(C340,'Shp 500'!D:D,'Shp 500'!D:D)),"Não","Sim"))</f>
        <v>Não</v>
      </c>
      <c r="N340" s="21" t="str">
        <f>IF(L340="Fastmoss 500","Sim",IF(ISNA(_xlfn.XLOOKUP(_xlfn.XLOOKUP(C340,'Same Seller Hist'!E:E,'Same Seller Hist'!H:H),'Fastmoss 500'!D:D,'Fastmoss 500'!D:D)),"Não","Sim"))</f>
        <v>Sim</v>
      </c>
      <c r="O340" s="21" t="str">
        <f>IF(AND(M340="Sim",N340="Sim"),"Sim","Não")</f>
        <v>Não</v>
      </c>
      <c r="P340" s="21" t="str">
        <f>IF(I340&gt;K340,"Sim","Não")</f>
        <v>Não</v>
      </c>
      <c r="Q340" s="21">
        <f>COUNTIFS(C:C,C340)</f>
        <v>1</v>
      </c>
    </row>
    <row r="341" spans="3:17" hidden="1" x14ac:dyDescent="0.35">
      <c r="C341" s="5">
        <f>_xlfn.XLOOKUP(F341,'Same Seller Hist'!H:H,'Same Seller Hist'!E:E)</f>
        <v>254374331</v>
      </c>
      <c r="D341" s="5" t="str">
        <f>_xlfn.XLOOKUP(F341,'Same Seller Hist'!H:H,'Same Seller Hist'!D:D)</f>
        <v>CasaMix Brasil</v>
      </c>
      <c r="E341" s="5">
        <f>_xlfn.XLOOKUP(F341,'Same Seller Hist'!H:H,'Same Seller Hist'!I:I)</f>
        <v>7.4941014030618798E+18</v>
      </c>
      <c r="F341" s="5" t="s">
        <v>358</v>
      </c>
      <c r="G341" s="5" t="str">
        <f>_xlfn.XLOOKUP(C341,'Same Seller Hist'!E:E,'Same Seller Hist'!F:F)</f>
        <v>FMCG</v>
      </c>
      <c r="H341" s="19">
        <f>_xlfn.IFNA(_xlfn.XLOOKUP(C341,'Shp 500'!D:D,'Shp 500'!I:I),0)</f>
        <v>0</v>
      </c>
      <c r="I341" s="19">
        <f>_xlfn.IFNA(_xlfn.XLOOKUP(C341,'Shp 500'!D:D,'Shp 500'!J:J),0)</f>
        <v>0</v>
      </c>
      <c r="J341" s="19">
        <v>267.74193548387098</v>
      </c>
      <c r="K341" s="19">
        <v>16535.483870967742</v>
      </c>
      <c r="L341" s="21" t="s">
        <v>2530</v>
      </c>
      <c r="M341" s="21" t="str">
        <f>IF(L341="Shp 500","Sim",IF(ISNA(_xlfn.XLOOKUP(C341,'Shp 500'!D:D,'Shp 500'!D:D)),"Não","Sim"))</f>
        <v>Não</v>
      </c>
      <c r="N341" s="21" t="str">
        <f>IF(L341="Fastmoss 500","Sim",IF(ISNA(_xlfn.XLOOKUP(_xlfn.XLOOKUP(C341,'Same Seller Hist'!E:E,'Same Seller Hist'!H:H),'Fastmoss 500'!D:D,'Fastmoss 500'!D:D)),"Não","Sim"))</f>
        <v>Sim</v>
      </c>
      <c r="O341" s="21" t="str">
        <f>IF(AND(M341="Sim",N341="Sim"),"Sim","Não")</f>
        <v>Não</v>
      </c>
      <c r="P341" s="21" t="str">
        <f>IF(I341&gt;K341,"Sim","Não")</f>
        <v>Não</v>
      </c>
      <c r="Q341" s="21">
        <f>COUNTIFS(C:C,C341)</f>
        <v>1</v>
      </c>
    </row>
    <row r="342" spans="3:17" hidden="1" x14ac:dyDescent="0.35">
      <c r="C342" s="5">
        <f>_xlfn.XLOOKUP(F342,'Same Seller Hist'!H:H,'Same Seller Hist'!E:E)</f>
        <v>719923009</v>
      </c>
      <c r="D342" s="5" t="str">
        <f>_xlfn.XLOOKUP(F342,'Same Seller Hist'!H:H,'Same Seller Hist'!D:D)</f>
        <v>Embelleze</v>
      </c>
      <c r="E342" s="5">
        <f>_xlfn.XLOOKUP(F342,'Same Seller Hist'!H:H,'Same Seller Hist'!I:I)</f>
        <v>7.4961612845005199E+18</v>
      </c>
      <c r="F342" s="5" t="s">
        <v>686</v>
      </c>
      <c r="G342" s="5" t="str">
        <f>_xlfn.XLOOKUP(C342,'Same Seller Hist'!E:E,'Same Seller Hist'!F:F)</f>
        <v>FMCG</v>
      </c>
      <c r="H342" s="19">
        <f>_xlfn.IFNA(_xlfn.XLOOKUP(C342,'Shp 500'!D:D,'Shp 500'!I:I),0)</f>
        <v>0</v>
      </c>
      <c r="I342" s="19">
        <f>_xlfn.IFNA(_xlfn.XLOOKUP(C342,'Shp 500'!D:D,'Shp 500'!J:J),0)</f>
        <v>0</v>
      </c>
      <c r="J342" s="19">
        <v>267.74193548387098</v>
      </c>
      <c r="K342" s="19">
        <v>5109.677419354839</v>
      </c>
      <c r="L342" s="21" t="s">
        <v>2530</v>
      </c>
      <c r="M342" s="21" t="str">
        <f>IF(L342="Shp 500","Sim",IF(ISNA(_xlfn.XLOOKUP(C342,'Shp 500'!D:D,'Shp 500'!D:D)),"Não","Sim"))</f>
        <v>Não</v>
      </c>
      <c r="N342" s="21" t="str">
        <f>IF(L342="Fastmoss 500","Sim",IF(ISNA(_xlfn.XLOOKUP(_xlfn.XLOOKUP(C342,'Same Seller Hist'!E:E,'Same Seller Hist'!H:H),'Fastmoss 500'!D:D,'Fastmoss 500'!D:D)),"Não","Sim"))</f>
        <v>Sim</v>
      </c>
      <c r="O342" s="21" t="str">
        <f>IF(AND(M342="Sim",N342="Sim"),"Sim","Não")</f>
        <v>Não</v>
      </c>
      <c r="P342" s="21" t="str">
        <f>IF(I342&gt;K342,"Sim","Não")</f>
        <v>Não</v>
      </c>
      <c r="Q342" s="21">
        <f>COUNTIFS(C:C,C342)</f>
        <v>1</v>
      </c>
    </row>
    <row r="343" spans="3:17" hidden="1" x14ac:dyDescent="0.35">
      <c r="C343" s="5">
        <f>_xlfn.XLOOKUP(F343,'Same Seller Hist'!H:H,'Same Seller Hist'!E:E)</f>
        <v>1000085085</v>
      </c>
      <c r="D343" s="5" t="str">
        <f>_xlfn.XLOOKUP(F343,'Same Seller Hist'!H:H,'Same Seller Hist'!D:D)</f>
        <v>hot stars</v>
      </c>
      <c r="E343" s="5">
        <f>_xlfn.XLOOKUP(F343,'Same Seller Hist'!H:H,'Same Seller Hist'!I:I)</f>
        <v>7.49418008488781E+18</v>
      </c>
      <c r="F343" s="5" t="s">
        <v>864</v>
      </c>
      <c r="G343" s="5">
        <f>_xlfn.XLOOKUP(C343,'Same Seller Hist'!E:E,'Same Seller Hist'!F:F)</f>
        <v>0</v>
      </c>
      <c r="H343" s="19">
        <f>_xlfn.IFNA(_xlfn.XLOOKUP(C343,'Shp 500'!D:D,'Shp 500'!I:I),0)</f>
        <v>0</v>
      </c>
      <c r="I343" s="19">
        <f>_xlfn.IFNA(_xlfn.XLOOKUP(C343,'Shp 500'!D:D,'Shp 500'!J:J),0)</f>
        <v>0</v>
      </c>
      <c r="J343" s="19">
        <v>264.51612903225805</v>
      </c>
      <c r="K343" s="19">
        <v>14329.032258064517</v>
      </c>
      <c r="L343" s="21" t="s">
        <v>2530</v>
      </c>
      <c r="M343" s="21" t="str">
        <f>IF(L343="Shp 500","Sim",IF(ISNA(_xlfn.XLOOKUP(C343,'Shp 500'!D:D,'Shp 500'!D:D)),"Não","Sim"))</f>
        <v>Não</v>
      </c>
      <c r="N343" s="21" t="str">
        <f>IF(L343="Fastmoss 500","Sim",IF(ISNA(_xlfn.XLOOKUP(_xlfn.XLOOKUP(C343,'Same Seller Hist'!E:E,'Same Seller Hist'!H:H),'Fastmoss 500'!D:D,'Fastmoss 500'!D:D)),"Não","Sim"))</f>
        <v>Sim</v>
      </c>
      <c r="O343" s="21" t="str">
        <f>IF(AND(M343="Sim",N343="Sim"),"Sim","Não")</f>
        <v>Não</v>
      </c>
      <c r="P343" s="21" t="str">
        <f>IF(I343&gt;K343,"Sim","Não")</f>
        <v>Não</v>
      </c>
      <c r="Q343" s="21">
        <f>COUNTIFS(C:C,C343)</f>
        <v>1</v>
      </c>
    </row>
    <row r="344" spans="3:17" hidden="1" x14ac:dyDescent="0.35">
      <c r="C344" s="5">
        <f>_xlfn.XLOOKUP(F344,'Same Seller Hist'!H:H,'Same Seller Hist'!E:E)</f>
        <v>404831888</v>
      </c>
      <c r="D344" s="5" t="str">
        <f>_xlfn.XLOOKUP(F344,'Same Seller Hist'!H:H,'Same Seller Hist'!D:D)</f>
        <v>Lojas toronto Acessórios</v>
      </c>
      <c r="E344" s="5">
        <f>_xlfn.XLOOKUP(F344,'Same Seller Hist'!H:H,'Same Seller Hist'!I:I)</f>
        <v>7.4962286897544202E+18</v>
      </c>
      <c r="F344" s="5" t="s">
        <v>536</v>
      </c>
      <c r="G344" s="5" t="str">
        <f>_xlfn.XLOOKUP(C344,'Same Seller Hist'!E:E,'Same Seller Hist'!F:F)</f>
        <v>Fashion</v>
      </c>
      <c r="H344" s="19">
        <f>_xlfn.IFNA(_xlfn.XLOOKUP(C344,'Shp 500'!D:D,'Shp 500'!I:I),0)</f>
        <v>0</v>
      </c>
      <c r="I344" s="19">
        <f>_xlfn.IFNA(_xlfn.XLOOKUP(C344,'Shp 500'!D:D,'Shp 500'!J:J),0)</f>
        <v>0</v>
      </c>
      <c r="J344" s="19">
        <v>264.51612903225805</v>
      </c>
      <c r="K344" s="19">
        <v>7648.3870967741932</v>
      </c>
      <c r="L344" s="21" t="s">
        <v>2530</v>
      </c>
      <c r="M344" s="21" t="str">
        <f>IF(L344="Shp 500","Sim",IF(ISNA(_xlfn.XLOOKUP(C344,'Shp 500'!D:D,'Shp 500'!D:D)),"Não","Sim"))</f>
        <v>Não</v>
      </c>
      <c r="N344" s="21" t="str">
        <f>IF(L344="Fastmoss 500","Sim",IF(ISNA(_xlfn.XLOOKUP(_xlfn.XLOOKUP(C344,'Same Seller Hist'!E:E,'Same Seller Hist'!H:H),'Fastmoss 500'!D:D,'Fastmoss 500'!D:D)),"Não","Sim"))</f>
        <v>Sim</v>
      </c>
      <c r="O344" s="21" t="str">
        <f>IF(AND(M344="Sim",N344="Sim"),"Sim","Não")</f>
        <v>Não</v>
      </c>
      <c r="P344" s="21" t="str">
        <f>IF(I344&gt;K344,"Sim","Não")</f>
        <v>Não</v>
      </c>
      <c r="Q344" s="21">
        <f>COUNTIFS(C:C,C344)</f>
        <v>1</v>
      </c>
    </row>
    <row r="345" spans="3:17" hidden="1" x14ac:dyDescent="0.35">
      <c r="C345" s="5">
        <f>_xlfn.XLOOKUP(F345,'Same Seller Hist'!H:H,'Same Seller Hist'!E:E)</f>
        <v>580059933</v>
      </c>
      <c r="D345" s="5" t="str">
        <f>_xlfn.XLOOKUP(F345,'Same Seller Hist'!H:H,'Same Seller Hist'!D:D)</f>
        <v>lashops0</v>
      </c>
      <c r="E345" s="5">
        <f>_xlfn.XLOOKUP(F345,'Same Seller Hist'!H:H,'Same Seller Hist'!I:I)</f>
        <v>7.4961885457044296E+18</v>
      </c>
      <c r="F345" s="5" t="s">
        <v>872</v>
      </c>
      <c r="G345" s="5">
        <f>_xlfn.XLOOKUP(C345,'Same Seller Hist'!E:E,'Same Seller Hist'!F:F)</f>
        <v>0</v>
      </c>
      <c r="H345" s="19">
        <f>_xlfn.IFNA(_xlfn.XLOOKUP(C345,'Shp 500'!D:D,'Shp 500'!I:I),0)</f>
        <v>0</v>
      </c>
      <c r="I345" s="19">
        <f>_xlfn.IFNA(_xlfn.XLOOKUP(C345,'Shp 500'!D:D,'Shp 500'!J:J),0)</f>
        <v>0</v>
      </c>
      <c r="J345" s="19">
        <v>261.29032258064518</v>
      </c>
      <c r="K345" s="19">
        <v>8696.7741935483864</v>
      </c>
      <c r="L345" s="21" t="s">
        <v>2530</v>
      </c>
      <c r="M345" s="21" t="str">
        <f>IF(L345="Shp 500","Sim",IF(ISNA(_xlfn.XLOOKUP(C345,'Shp 500'!D:D,'Shp 500'!D:D)),"Não","Sim"))</f>
        <v>Não</v>
      </c>
      <c r="N345" s="21" t="str">
        <f>IF(L345="Fastmoss 500","Sim",IF(ISNA(_xlfn.XLOOKUP(_xlfn.XLOOKUP(C345,'Same Seller Hist'!E:E,'Same Seller Hist'!H:H),'Fastmoss 500'!D:D,'Fastmoss 500'!D:D)),"Não","Sim"))</f>
        <v>Sim</v>
      </c>
      <c r="O345" s="21" t="str">
        <f>IF(AND(M345="Sim",N345="Sim"),"Sim","Não")</f>
        <v>Não</v>
      </c>
      <c r="P345" s="21" t="str">
        <f>IF(I345&gt;K345,"Sim","Não")</f>
        <v>Não</v>
      </c>
      <c r="Q345" s="21">
        <f>COUNTIFS(C:C,C345)</f>
        <v>1</v>
      </c>
    </row>
    <row r="346" spans="3:17" hidden="1" x14ac:dyDescent="0.35">
      <c r="C346" s="5">
        <f>_xlfn.XLOOKUP(F346,'Same Seller Hist'!H:H,'Same Seller Hist'!E:E)</f>
        <v>323288678</v>
      </c>
      <c r="D346" s="5" t="str">
        <f>_xlfn.XLOOKUP(F346,'Same Seller Hist'!H:H,'Same Seller Hist'!D:D)</f>
        <v>Aura do Brasil</v>
      </c>
      <c r="E346" s="5">
        <f>_xlfn.XLOOKUP(F346,'Same Seller Hist'!H:H,'Same Seller Hist'!I:I)</f>
        <v>7.4961885237971804E+18</v>
      </c>
      <c r="F346" s="5" t="s">
        <v>421</v>
      </c>
      <c r="G346" s="5" t="str">
        <f>_xlfn.XLOOKUP(C346,'Same Seller Hist'!E:E,'Same Seller Hist'!F:F)</f>
        <v>Lifestyle</v>
      </c>
      <c r="H346" s="19">
        <f>_xlfn.IFNA(_xlfn.XLOOKUP(C346,'Shp 500'!D:D,'Shp 500'!I:I),0)</f>
        <v>0</v>
      </c>
      <c r="I346" s="19">
        <f>_xlfn.IFNA(_xlfn.XLOOKUP(C346,'Shp 500'!D:D,'Shp 500'!J:J),0)</f>
        <v>0</v>
      </c>
      <c r="J346" s="19">
        <v>261.29032258064518</v>
      </c>
      <c r="K346" s="19">
        <v>23083.870967741936</v>
      </c>
      <c r="L346" s="21" t="s">
        <v>2530</v>
      </c>
      <c r="M346" s="21" t="str">
        <f>IF(L346="Shp 500","Sim",IF(ISNA(_xlfn.XLOOKUP(C346,'Shp 500'!D:D,'Shp 500'!D:D)),"Não","Sim"))</f>
        <v>Não</v>
      </c>
      <c r="N346" s="21" t="str">
        <f>IF(L346="Fastmoss 500","Sim",IF(ISNA(_xlfn.XLOOKUP(_xlfn.XLOOKUP(C346,'Same Seller Hist'!E:E,'Same Seller Hist'!H:H),'Fastmoss 500'!D:D,'Fastmoss 500'!D:D)),"Não","Sim"))</f>
        <v>Sim</v>
      </c>
      <c r="O346" s="21" t="str">
        <f>IF(AND(M346="Sim",N346="Sim"),"Sim","Não")</f>
        <v>Não</v>
      </c>
      <c r="P346" s="21" t="str">
        <f>IF(I346&gt;K346,"Sim","Não")</f>
        <v>Não</v>
      </c>
      <c r="Q346" s="21">
        <f>COUNTIFS(C:C,C346)</f>
        <v>1</v>
      </c>
    </row>
    <row r="347" spans="3:17" hidden="1" x14ac:dyDescent="0.35">
      <c r="C347" s="5">
        <f>_xlfn.XLOOKUP(F347,'Same Seller Hist'!H:H,'Same Seller Hist'!E:E)</f>
        <v>314090713</v>
      </c>
      <c r="D347" s="5" t="str">
        <f>_xlfn.XLOOKUP(F347,'Same Seller Hist'!H:H,'Same Seller Hist'!D:D)</f>
        <v>SHOPPING DE ZY VARIEDADES</v>
      </c>
      <c r="E347" s="5">
        <f>_xlfn.XLOOKUP(F347,'Same Seller Hist'!H:H,'Same Seller Hist'!I:I)</f>
        <v>7.4962288961809603E+18</v>
      </c>
      <c r="F347" s="5" t="s">
        <v>406</v>
      </c>
      <c r="G347" s="5" t="str">
        <f>_xlfn.XLOOKUP(C347,'Same Seller Hist'!E:E,'Same Seller Hist'!F:F)</f>
        <v>FMCG</v>
      </c>
      <c r="H347" s="19">
        <f>_xlfn.IFNA(_xlfn.XLOOKUP(C347,'Shp 500'!D:D,'Shp 500'!I:I),0)</f>
        <v>0</v>
      </c>
      <c r="I347" s="19">
        <f>_xlfn.IFNA(_xlfn.XLOOKUP(C347,'Shp 500'!D:D,'Shp 500'!J:J),0)</f>
        <v>0</v>
      </c>
      <c r="J347" s="19">
        <v>261.29032258064518</v>
      </c>
      <c r="K347" s="19">
        <v>3596.7741935483873</v>
      </c>
      <c r="L347" s="21" t="s">
        <v>2530</v>
      </c>
      <c r="M347" s="21" t="str">
        <f>IF(L347="Shp 500","Sim",IF(ISNA(_xlfn.XLOOKUP(C347,'Shp 500'!D:D,'Shp 500'!D:D)),"Não","Sim"))</f>
        <v>Não</v>
      </c>
      <c r="N347" s="21" t="str">
        <f>IF(L347="Fastmoss 500","Sim",IF(ISNA(_xlfn.XLOOKUP(_xlfn.XLOOKUP(C347,'Same Seller Hist'!E:E,'Same Seller Hist'!H:H),'Fastmoss 500'!D:D,'Fastmoss 500'!D:D)),"Não","Sim"))</f>
        <v>Sim</v>
      </c>
      <c r="O347" s="21" t="str">
        <f>IF(AND(M347="Sim",N347="Sim"),"Sim","Não")</f>
        <v>Não</v>
      </c>
      <c r="P347" s="21" t="str">
        <f>IF(I347&gt;K347,"Sim","Não")</f>
        <v>Não</v>
      </c>
      <c r="Q347" s="21">
        <f>COUNTIFS(C:C,C347)</f>
        <v>1</v>
      </c>
    </row>
    <row r="348" spans="3:17" hidden="1" x14ac:dyDescent="0.35">
      <c r="C348" s="5">
        <f>_xlfn.XLOOKUP(F348,'Same Seller Hist'!H:H,'Same Seller Hist'!E:E)</f>
        <v>845307295</v>
      </c>
      <c r="D348" s="5" t="str">
        <f>_xlfn.XLOOKUP(F348,'Same Seller Hist'!H:H,'Same Seller Hist'!D:D)</f>
        <v>GLN COMERCIO</v>
      </c>
      <c r="E348" s="5">
        <f>_xlfn.XLOOKUP(F348,'Same Seller Hist'!H:H,'Same Seller Hist'!I:I)</f>
        <v>7.4962718862658396E+18</v>
      </c>
      <c r="F348" s="5" t="s">
        <v>731</v>
      </c>
      <c r="G348" s="5" t="str">
        <f>_xlfn.XLOOKUP(C348,'Same Seller Hist'!E:E,'Same Seller Hist'!F:F)</f>
        <v>Auto &amp; Moto</v>
      </c>
      <c r="H348" s="19">
        <f>_xlfn.IFNA(_xlfn.XLOOKUP(C348,'Shp 500'!D:D,'Shp 500'!I:I),0)</f>
        <v>0</v>
      </c>
      <c r="I348" s="19">
        <f>_xlfn.IFNA(_xlfn.XLOOKUP(C348,'Shp 500'!D:D,'Shp 500'!J:J),0)</f>
        <v>0</v>
      </c>
      <c r="J348" s="19">
        <v>261.29032258064518</v>
      </c>
      <c r="K348" s="19">
        <v>15751.612903225807</v>
      </c>
      <c r="L348" s="21" t="s">
        <v>2530</v>
      </c>
      <c r="M348" s="21" t="str">
        <f>IF(L348="Shp 500","Sim",IF(ISNA(_xlfn.XLOOKUP(C348,'Shp 500'!D:D,'Shp 500'!D:D)),"Não","Sim"))</f>
        <v>Não</v>
      </c>
      <c r="N348" s="21" t="str">
        <f>IF(L348="Fastmoss 500","Sim",IF(ISNA(_xlfn.XLOOKUP(_xlfn.XLOOKUP(C348,'Same Seller Hist'!E:E,'Same Seller Hist'!H:H),'Fastmoss 500'!D:D,'Fastmoss 500'!D:D)),"Não","Sim"))</f>
        <v>Sim</v>
      </c>
      <c r="O348" s="21" t="str">
        <f>IF(AND(M348="Sim",N348="Sim"),"Sim","Não")</f>
        <v>Não</v>
      </c>
      <c r="P348" s="21" t="str">
        <f>IF(I348&gt;K348,"Sim","Não")</f>
        <v>Não</v>
      </c>
      <c r="Q348" s="21">
        <f>COUNTIFS(C:C,C348)</f>
        <v>1</v>
      </c>
    </row>
    <row r="349" spans="3:17" x14ac:dyDescent="0.35">
      <c r="C349" s="5">
        <f>_xlfn.XLOOKUP(F349,'Same Seller Hist'!H:H,'Same Seller Hist'!E:E)</f>
        <v>1267153913</v>
      </c>
      <c r="D349" s="5" t="str">
        <f>_xlfn.XLOOKUP(F349,'Same Seller Hist'!H:H,'Same Seller Hist'!D:D)</f>
        <v>TG ZDQ</v>
      </c>
      <c r="E349" s="5">
        <f>_xlfn.XLOOKUP(F349,'Same Seller Hist'!H:H,'Same Seller Hist'!I:I)</f>
        <v>7.4961665766555904E+18</v>
      </c>
      <c r="F349" s="5" t="s">
        <v>186</v>
      </c>
      <c r="G349" s="5" t="str">
        <f>_xlfn.XLOOKUP(C349,'Same Seller Hist'!E:E,'Same Seller Hist'!F:F)</f>
        <v>Lifestyle</v>
      </c>
      <c r="H349" s="19">
        <f>_xlfn.IFNA(_xlfn.XLOOKUP(C349,'Shp 500'!D:D,'Shp 500'!I:I),0)</f>
        <v>1352.1935483870934</v>
      </c>
      <c r="I349" s="19">
        <f>_xlfn.IFNA(_xlfn.XLOOKUP(C349,'Shp 500'!D:D,'Shp 500'!J:J),0)</f>
        <v>11585.943751508485</v>
      </c>
      <c r="J349" s="19">
        <v>967.74193548387098</v>
      </c>
      <c r="K349" s="19">
        <v>38709.677419354841</v>
      </c>
      <c r="L349" s="21" t="s">
        <v>2530</v>
      </c>
      <c r="M349" s="21" t="str">
        <f>IF(L349="Shp 500","Sim",IF(ISNA(_xlfn.XLOOKUP(C349,'Shp 500'!D:D,'Shp 500'!D:D)),"Não","Sim"))</f>
        <v>Sim</v>
      </c>
      <c r="N349" s="21" t="str">
        <f>IF(L349="Fastmoss 500","Sim",IF(ISNA(_xlfn.XLOOKUP(_xlfn.XLOOKUP(C349,'Same Seller Hist'!E:E,'Same Seller Hist'!H:H),'Fastmoss 500'!D:D,'Fastmoss 500'!D:D)),"Não","Sim"))</f>
        <v>Sim</v>
      </c>
      <c r="O349" s="21" t="str">
        <f>IF(AND(M349="Sim",N349="Sim"),"Sim","Não")</f>
        <v>Sim</v>
      </c>
      <c r="P349" s="21" t="str">
        <f>IF(I349&gt;K349,"Sim","Não")</f>
        <v>Não</v>
      </c>
      <c r="Q349" s="21">
        <f>COUNTIFS(C:C,C349)</f>
        <v>2</v>
      </c>
    </row>
    <row r="350" spans="3:17" x14ac:dyDescent="0.35">
      <c r="C350" s="5">
        <v>1299283009</v>
      </c>
      <c r="D350" s="5" t="s">
        <v>195</v>
      </c>
      <c r="E350" s="5">
        <f>_xlfn.XLOOKUP(C350,'Same Seller Hist'!E:E,'Same Seller Hist'!I:I)</f>
        <v>7.49424173795072E+18</v>
      </c>
      <c r="F350" s="5" t="str">
        <f>_xlfn.XLOOKUP(C350,'Same Seller Hist'!E:E,'Same Seller Hist'!H:H)</f>
        <v>GUI ANA SHOP</v>
      </c>
      <c r="G350" s="5" t="s">
        <v>1734</v>
      </c>
      <c r="H350" s="19">
        <v>1838</v>
      </c>
      <c r="I350" s="19">
        <v>6433.6255806306126</v>
      </c>
      <c r="J350" s="19">
        <f>_xlfn.IFNA(_xlfn.XLOOKUP(F350,'Fastmoss 500'!D:D,'Fastmoss 500'!O:O),0)</f>
        <v>561.29032258064512</v>
      </c>
      <c r="K350" s="19">
        <f>_xlfn.IFNA(_xlfn.XLOOKUP(F350,'Fastmoss 500'!D:D,'Fastmoss 500'!N:N),0)</f>
        <v>6632.2580645161288</v>
      </c>
      <c r="L350" s="21" t="s">
        <v>2528</v>
      </c>
      <c r="M350" s="21" t="str">
        <f>IF(L350="Shp 500","Sim",IF(ISNA(_xlfn.XLOOKUP(C350,'Shp 500'!D:D,'Shp 500'!D:D)),"Não","Sim"))</f>
        <v>Sim</v>
      </c>
      <c r="N350" s="21" t="str">
        <f>IF(L350="Fastmoss 500","Sim",IF(ISNA(_xlfn.XLOOKUP(_xlfn.XLOOKUP(C350,'Same Seller Hist'!E:E,'Same Seller Hist'!H:H),'Fastmoss 500'!D:D,'Fastmoss 500'!D:D)),"Não","Sim"))</f>
        <v>Sim</v>
      </c>
      <c r="O350" s="21" t="str">
        <f>IF(AND(M350="Sim",N350="Sim"),"Sim","Não")</f>
        <v>Sim</v>
      </c>
      <c r="P350" s="21" t="str">
        <f>IF(I350&gt;K350,"Sim","Não")</f>
        <v>Não</v>
      </c>
      <c r="Q350" s="21">
        <f>COUNTIFS(C:C,C350)</f>
        <v>2</v>
      </c>
    </row>
    <row r="351" spans="3:17" hidden="1" x14ac:dyDescent="0.35">
      <c r="C351" s="5">
        <f>_xlfn.XLOOKUP(F351,'Same Seller Hist'!H:H,'Same Seller Hist'!E:E)</f>
        <v>721213201</v>
      </c>
      <c r="D351" s="5" t="str">
        <f>_xlfn.XLOOKUP(F351,'Same Seller Hist'!H:H,'Same Seller Hist'!D:D)</f>
        <v>Nômade Fashion</v>
      </c>
      <c r="E351" s="5">
        <f>_xlfn.XLOOKUP(F351,'Same Seller Hist'!H:H,'Same Seller Hist'!I:I)</f>
        <v>7.4962440312952904E+18</v>
      </c>
      <c r="F351" s="5" t="s">
        <v>888</v>
      </c>
      <c r="G351" s="5">
        <f>_xlfn.XLOOKUP(C351,'Same Seller Hist'!E:E,'Same Seller Hist'!F:F)</f>
        <v>0</v>
      </c>
      <c r="H351" s="19">
        <f>_xlfn.IFNA(_xlfn.XLOOKUP(C351,'Shp 500'!D:D,'Shp 500'!I:I),0)</f>
        <v>0</v>
      </c>
      <c r="I351" s="19">
        <f>_xlfn.IFNA(_xlfn.XLOOKUP(C351,'Shp 500'!D:D,'Shp 500'!J:J),0)</f>
        <v>0</v>
      </c>
      <c r="J351" s="19">
        <v>258.06451612903226</v>
      </c>
      <c r="K351" s="19">
        <v>9380.645161290322</v>
      </c>
      <c r="L351" s="21" t="s">
        <v>2530</v>
      </c>
      <c r="M351" s="21" t="str">
        <f>IF(L351="Shp 500","Sim",IF(ISNA(_xlfn.XLOOKUP(C351,'Shp 500'!D:D,'Shp 500'!D:D)),"Não","Sim"))</f>
        <v>Não</v>
      </c>
      <c r="N351" s="21" t="str">
        <f>IF(L351="Fastmoss 500","Sim",IF(ISNA(_xlfn.XLOOKUP(_xlfn.XLOOKUP(C351,'Same Seller Hist'!E:E,'Same Seller Hist'!H:H),'Fastmoss 500'!D:D,'Fastmoss 500'!D:D)),"Não","Sim"))</f>
        <v>Sim</v>
      </c>
      <c r="O351" s="21" t="str">
        <f>IF(AND(M351="Sim",N351="Sim"),"Sim","Não")</f>
        <v>Não</v>
      </c>
      <c r="P351" s="21" t="str">
        <f>IF(I351&gt;K351,"Sim","Não")</f>
        <v>Não</v>
      </c>
      <c r="Q351" s="21">
        <f>COUNTIFS(C:C,C351)</f>
        <v>1</v>
      </c>
    </row>
    <row r="352" spans="3:17" hidden="1" x14ac:dyDescent="0.35">
      <c r="C352" s="5">
        <f>_xlfn.XLOOKUP(F352,'Same Seller Hist'!H:H,'Same Seller Hist'!E:E)</f>
        <v>1308580859</v>
      </c>
      <c r="D352" s="5" t="str">
        <f>_xlfn.XLOOKUP(F352,'Same Seller Hist'!H:H,'Same Seller Hist'!D:D)</f>
        <v>Lina Bolsa Shop</v>
      </c>
      <c r="E352" s="5">
        <f>_xlfn.XLOOKUP(F352,'Same Seller Hist'!H:H,'Same Seller Hist'!I:I)</f>
        <v>7.49416512209246E+18</v>
      </c>
      <c r="F352" s="5" t="s">
        <v>873</v>
      </c>
      <c r="G352" s="5">
        <f>_xlfn.XLOOKUP(C352,'Same Seller Hist'!E:E,'Same Seller Hist'!F:F)</f>
        <v>0</v>
      </c>
      <c r="H352" s="19">
        <f>_xlfn.IFNA(_xlfn.XLOOKUP(C352,'Shp 500'!D:D,'Shp 500'!I:I),0)</f>
        <v>0</v>
      </c>
      <c r="I352" s="19">
        <f>_xlfn.IFNA(_xlfn.XLOOKUP(C352,'Shp 500'!D:D,'Shp 500'!J:J),0)</f>
        <v>0</v>
      </c>
      <c r="J352" s="19">
        <v>258.06451612903226</v>
      </c>
      <c r="K352" s="19">
        <v>7280.6451612903229</v>
      </c>
      <c r="L352" s="21" t="s">
        <v>2530</v>
      </c>
      <c r="M352" s="21" t="str">
        <f>IF(L352="Shp 500","Sim",IF(ISNA(_xlfn.XLOOKUP(C352,'Shp 500'!D:D,'Shp 500'!D:D)),"Não","Sim"))</f>
        <v>Não</v>
      </c>
      <c r="N352" s="21" t="str">
        <f>IF(L352="Fastmoss 500","Sim",IF(ISNA(_xlfn.XLOOKUP(_xlfn.XLOOKUP(C352,'Same Seller Hist'!E:E,'Same Seller Hist'!H:H),'Fastmoss 500'!D:D,'Fastmoss 500'!D:D)),"Não","Sim"))</f>
        <v>Sim</v>
      </c>
      <c r="O352" s="21" t="str">
        <f>IF(AND(M352="Sim",N352="Sim"),"Sim","Não")</f>
        <v>Não</v>
      </c>
      <c r="P352" s="21" t="str">
        <f>IF(I352&gt;K352,"Sim","Não")</f>
        <v>Não</v>
      </c>
      <c r="Q352" s="21">
        <f>COUNTIFS(C:C,C352)</f>
        <v>1</v>
      </c>
    </row>
    <row r="353" spans="3:17" hidden="1" x14ac:dyDescent="0.35">
      <c r="C353" s="5">
        <f>_xlfn.XLOOKUP(F353,'Same Seller Hist'!H:H,'Same Seller Hist'!E:E)</f>
        <v>1146998712</v>
      </c>
      <c r="D353" s="5" t="str">
        <f>_xlfn.XLOOKUP(F353,'Same Seller Hist'!H:H,'Same Seller Hist'!D:D)</f>
        <v>Lolita_shop</v>
      </c>
      <c r="E353" s="5">
        <f>_xlfn.XLOOKUP(F353,'Same Seller Hist'!H:H,'Same Seller Hist'!I:I)</f>
        <v>7.4961819163707597E+18</v>
      </c>
      <c r="F353" s="5" t="s">
        <v>127</v>
      </c>
      <c r="G353" s="5" t="str">
        <f>_xlfn.XLOOKUP(C353,'Same Seller Hist'!E:E,'Same Seller Hist'!F:F)</f>
        <v>Fashion</v>
      </c>
      <c r="H353" s="19">
        <f>_xlfn.IFNA(_xlfn.XLOOKUP(C353,'Shp 500'!D:D,'Shp 500'!I:I),0)</f>
        <v>0</v>
      </c>
      <c r="I353" s="19">
        <f>_xlfn.IFNA(_xlfn.XLOOKUP(C353,'Shp 500'!D:D,'Shp 500'!J:J),0)</f>
        <v>0</v>
      </c>
      <c r="J353" s="19">
        <v>254.83870967741936</v>
      </c>
      <c r="K353" s="19">
        <v>8270.967741935483</v>
      </c>
      <c r="L353" s="21" t="s">
        <v>2530</v>
      </c>
      <c r="M353" s="21" t="str">
        <f>IF(L353="Shp 500","Sim",IF(ISNA(_xlfn.XLOOKUP(C353,'Shp 500'!D:D,'Shp 500'!D:D)),"Não","Sim"))</f>
        <v>Não</v>
      </c>
      <c r="N353" s="21" t="str">
        <f>IF(L353="Fastmoss 500","Sim",IF(ISNA(_xlfn.XLOOKUP(_xlfn.XLOOKUP(C353,'Same Seller Hist'!E:E,'Same Seller Hist'!H:H),'Fastmoss 500'!D:D,'Fastmoss 500'!D:D)),"Não","Sim"))</f>
        <v>Sim</v>
      </c>
      <c r="O353" s="21" t="str">
        <f>IF(AND(M353="Sim",N353="Sim"),"Sim","Não")</f>
        <v>Não</v>
      </c>
      <c r="P353" s="21" t="str">
        <f>IF(I353&gt;K353,"Sim","Não")</f>
        <v>Não</v>
      </c>
      <c r="Q353" s="21">
        <f>COUNTIFS(C:C,C353)</f>
        <v>1</v>
      </c>
    </row>
    <row r="354" spans="3:17" hidden="1" x14ac:dyDescent="0.35">
      <c r="C354" s="5">
        <f>_xlfn.XLOOKUP(F354,'Same Seller Hist'!H:H,'Same Seller Hist'!E:E)</f>
        <v>439353015</v>
      </c>
      <c r="D354" s="5" t="str">
        <f>_xlfn.XLOOKUP(F354,'Same Seller Hist'!H:H,'Same Seller Hist'!D:D)</f>
        <v>Trix Fit - Store</v>
      </c>
      <c r="E354" s="5">
        <f>_xlfn.XLOOKUP(F354,'Same Seller Hist'!H:H,'Same Seller Hist'!I:I)</f>
        <v>7.4961634607405097E+18</v>
      </c>
      <c r="F354" s="5" t="s">
        <v>575</v>
      </c>
      <c r="G354" s="5" t="str">
        <f>_xlfn.XLOOKUP(C354,'Same Seller Hist'!E:E,'Same Seller Hist'!F:F)</f>
        <v>Fashion</v>
      </c>
      <c r="H354" s="19">
        <f>_xlfn.IFNA(_xlfn.XLOOKUP(C354,'Shp 500'!D:D,'Shp 500'!I:I),0)</f>
        <v>0</v>
      </c>
      <c r="I354" s="19">
        <f>_xlfn.IFNA(_xlfn.XLOOKUP(C354,'Shp 500'!D:D,'Shp 500'!J:J),0)</f>
        <v>0</v>
      </c>
      <c r="J354" s="19">
        <v>254.83870967741936</v>
      </c>
      <c r="K354" s="19">
        <v>11209.677419354839</v>
      </c>
      <c r="L354" s="21" t="s">
        <v>2530</v>
      </c>
      <c r="M354" s="21" t="str">
        <f>IF(L354="Shp 500","Sim",IF(ISNA(_xlfn.XLOOKUP(C354,'Shp 500'!D:D,'Shp 500'!D:D)),"Não","Sim"))</f>
        <v>Não</v>
      </c>
      <c r="N354" s="21" t="str">
        <f>IF(L354="Fastmoss 500","Sim",IF(ISNA(_xlfn.XLOOKUP(_xlfn.XLOOKUP(C354,'Same Seller Hist'!E:E,'Same Seller Hist'!H:H),'Fastmoss 500'!D:D,'Fastmoss 500'!D:D)),"Não","Sim"))</f>
        <v>Sim</v>
      </c>
      <c r="O354" s="21" t="str">
        <f>IF(AND(M354="Sim",N354="Sim"),"Sim","Não")</f>
        <v>Não</v>
      </c>
      <c r="P354" s="21" t="str">
        <f>IF(I354&gt;K354,"Sim","Não")</f>
        <v>Não</v>
      </c>
      <c r="Q354" s="21">
        <f>COUNTIFS(C:C,C354)</f>
        <v>1</v>
      </c>
    </row>
    <row r="355" spans="3:17" hidden="1" x14ac:dyDescent="0.35">
      <c r="C355" s="5">
        <f>_xlfn.XLOOKUP(F355,'Same Seller Hist'!H:H,'Same Seller Hist'!E:E)</f>
        <v>1224304136</v>
      </c>
      <c r="D355" s="5" t="str">
        <f>_xlfn.XLOOKUP(F355,'Same Seller Hist'!H:H,'Same Seller Hist'!D:D)</f>
        <v>KICOOL COMERCIAL</v>
      </c>
      <c r="E355" s="5">
        <f>_xlfn.XLOOKUP(F355,'Same Seller Hist'!H:H,'Same Seller Hist'!I:I)</f>
        <v>7.4961634149951396E+18</v>
      </c>
      <c r="F355" s="5" t="s">
        <v>159</v>
      </c>
      <c r="G355" s="5" t="str">
        <f>_xlfn.XLOOKUP(C355,'Same Seller Hist'!E:E,'Same Seller Hist'!F:F)</f>
        <v>ELHA</v>
      </c>
      <c r="H355" s="19">
        <f>_xlfn.IFNA(_xlfn.XLOOKUP(C355,'Shp 500'!D:D,'Shp 500'!I:I),0)</f>
        <v>0</v>
      </c>
      <c r="I355" s="19">
        <f>_xlfn.IFNA(_xlfn.XLOOKUP(C355,'Shp 500'!D:D,'Shp 500'!J:J),0)</f>
        <v>0</v>
      </c>
      <c r="J355" s="19">
        <v>254.83870967741936</v>
      </c>
      <c r="K355" s="19">
        <v>12322.58064516129</v>
      </c>
      <c r="L355" s="21" t="s">
        <v>2530</v>
      </c>
      <c r="M355" s="21" t="str">
        <f>IF(L355="Shp 500","Sim",IF(ISNA(_xlfn.XLOOKUP(C355,'Shp 500'!D:D,'Shp 500'!D:D)),"Não","Sim"))</f>
        <v>Não</v>
      </c>
      <c r="N355" s="21" t="str">
        <f>IF(L355="Fastmoss 500","Sim",IF(ISNA(_xlfn.XLOOKUP(_xlfn.XLOOKUP(C355,'Same Seller Hist'!E:E,'Same Seller Hist'!H:H),'Fastmoss 500'!D:D,'Fastmoss 500'!D:D)),"Não","Sim"))</f>
        <v>Sim</v>
      </c>
      <c r="O355" s="21" t="str">
        <f>IF(AND(M355="Sim",N355="Sim"),"Sim","Não")</f>
        <v>Não</v>
      </c>
      <c r="P355" s="21" t="str">
        <f>IF(I355&gt;K355,"Sim","Não")</f>
        <v>Não</v>
      </c>
      <c r="Q355" s="21">
        <f>COUNTIFS(C:C,C355)</f>
        <v>1</v>
      </c>
    </row>
    <row r="356" spans="3:17" hidden="1" x14ac:dyDescent="0.35">
      <c r="C356" s="5">
        <f>_xlfn.XLOOKUP(F356,'Same Seller Hist'!H:H,'Same Seller Hist'!E:E)</f>
        <v>1384102065</v>
      </c>
      <c r="D356" s="5" t="str">
        <f>_xlfn.XLOOKUP(F356,'Same Seller Hist'!H:H,'Same Seller Hist'!D:D)</f>
        <v>BBB Lojas boutique</v>
      </c>
      <c r="E356" s="5">
        <f>_xlfn.XLOOKUP(F356,'Same Seller Hist'!H:H,'Same Seller Hist'!I:I)</f>
        <v>7.49621119407603E+18</v>
      </c>
      <c r="F356" s="5" t="s">
        <v>232</v>
      </c>
      <c r="G356" s="5" t="str">
        <f>_xlfn.XLOOKUP(C356,'Same Seller Hist'!E:E,'Same Seller Hist'!F:F)</f>
        <v>Fashion</v>
      </c>
      <c r="H356" s="19">
        <f>_xlfn.IFNA(_xlfn.XLOOKUP(C356,'Shp 500'!D:D,'Shp 500'!I:I),0)</f>
        <v>0</v>
      </c>
      <c r="I356" s="19">
        <f>_xlfn.IFNA(_xlfn.XLOOKUP(C356,'Shp 500'!D:D,'Shp 500'!J:J),0)</f>
        <v>0</v>
      </c>
      <c r="J356" s="19">
        <v>254.83870967741936</v>
      </c>
      <c r="K356" s="19">
        <v>15974.193548387097</v>
      </c>
      <c r="L356" s="21" t="s">
        <v>2530</v>
      </c>
      <c r="M356" s="21" t="str">
        <f>IF(L356="Shp 500","Sim",IF(ISNA(_xlfn.XLOOKUP(C356,'Shp 500'!D:D,'Shp 500'!D:D)),"Não","Sim"))</f>
        <v>Não</v>
      </c>
      <c r="N356" s="21" t="str">
        <f>IF(L356="Fastmoss 500","Sim",IF(ISNA(_xlfn.XLOOKUP(_xlfn.XLOOKUP(C356,'Same Seller Hist'!E:E,'Same Seller Hist'!H:H),'Fastmoss 500'!D:D,'Fastmoss 500'!D:D)),"Não","Sim"))</f>
        <v>Sim</v>
      </c>
      <c r="O356" s="21" t="str">
        <f>IF(AND(M356="Sim",N356="Sim"),"Sim","Não")</f>
        <v>Não</v>
      </c>
      <c r="P356" s="21" t="str">
        <f>IF(I356&gt;K356,"Sim","Não")</f>
        <v>Não</v>
      </c>
      <c r="Q356" s="21">
        <f>COUNTIFS(C:C,C356)</f>
        <v>1</v>
      </c>
    </row>
    <row r="357" spans="3:17" hidden="1" x14ac:dyDescent="0.35">
      <c r="C357" s="5">
        <f>_xlfn.XLOOKUP(F357,'Same Seller Hist'!H:H,'Same Seller Hist'!E:E)</f>
        <v>1377846021</v>
      </c>
      <c r="D357" s="5" t="str">
        <f>_xlfn.XLOOKUP(F357,'Same Seller Hist'!H:H,'Same Seller Hist'!D:D)</f>
        <v>Lenda oriental</v>
      </c>
      <c r="E357" s="5">
        <f>_xlfn.XLOOKUP(F357,'Same Seller Hist'!H:H,'Same Seller Hist'!I:I)</f>
        <v>7.4961906281899305E+18</v>
      </c>
      <c r="F357" s="5" t="s">
        <v>226</v>
      </c>
      <c r="G357" s="5" t="str">
        <f>_xlfn.XLOOKUP(C357,'Same Seller Hist'!E:E,'Same Seller Hist'!F:F)</f>
        <v>FMCG</v>
      </c>
      <c r="H357" s="19">
        <f>_xlfn.IFNA(_xlfn.XLOOKUP(C357,'Shp 500'!D:D,'Shp 500'!I:I),0)</f>
        <v>0</v>
      </c>
      <c r="I357" s="19">
        <f>_xlfn.IFNA(_xlfn.XLOOKUP(C357,'Shp 500'!D:D,'Shp 500'!J:J),0)</f>
        <v>0</v>
      </c>
      <c r="J357" s="19">
        <v>251.61290322580646</v>
      </c>
      <c r="K357" s="19">
        <v>16361.290322580646</v>
      </c>
      <c r="L357" s="21" t="s">
        <v>2530</v>
      </c>
      <c r="M357" s="21" t="str">
        <f>IF(L357="Shp 500","Sim",IF(ISNA(_xlfn.XLOOKUP(C357,'Shp 500'!D:D,'Shp 500'!D:D)),"Não","Sim"))</f>
        <v>Não</v>
      </c>
      <c r="N357" s="21" t="str">
        <f>IF(L357="Fastmoss 500","Sim",IF(ISNA(_xlfn.XLOOKUP(_xlfn.XLOOKUP(C357,'Same Seller Hist'!E:E,'Same Seller Hist'!H:H),'Fastmoss 500'!D:D,'Fastmoss 500'!D:D)),"Não","Sim"))</f>
        <v>Sim</v>
      </c>
      <c r="O357" s="21" t="str">
        <f>IF(AND(M357="Sim",N357="Sim"),"Sim","Não")</f>
        <v>Não</v>
      </c>
      <c r="P357" s="21" t="str">
        <f>IF(I357&gt;K357,"Sim","Não")</f>
        <v>Não</v>
      </c>
      <c r="Q357" s="21">
        <f>COUNTIFS(C:C,C357)</f>
        <v>1</v>
      </c>
    </row>
    <row r="358" spans="3:17" hidden="1" x14ac:dyDescent="0.35">
      <c r="C358" s="5">
        <f>_xlfn.XLOOKUP(F358,'Same Seller Hist'!H:H,'Same Seller Hist'!E:E)</f>
        <v>1134941899</v>
      </c>
      <c r="D358" s="5" t="str">
        <f>_xlfn.XLOOKUP(F358,'Same Seller Hist'!H:H,'Same Seller Hist'!D:D)</f>
        <v>QUE BOM</v>
      </c>
      <c r="E358" s="5">
        <f>_xlfn.XLOOKUP(F358,'Same Seller Hist'!H:H,'Same Seller Hist'!I:I)</f>
        <v>7.4962286429590999E+18</v>
      </c>
      <c r="F358" s="5" t="s">
        <v>124</v>
      </c>
      <c r="G358" s="5" t="str">
        <f>_xlfn.XLOOKUP(C358,'Same Seller Hist'!E:E,'Same Seller Hist'!F:F)</f>
        <v>Lifestyle</v>
      </c>
      <c r="H358" s="19">
        <f>_xlfn.IFNA(_xlfn.XLOOKUP(C358,'Shp 500'!D:D,'Shp 500'!I:I),0)</f>
        <v>0</v>
      </c>
      <c r="I358" s="19">
        <f>_xlfn.IFNA(_xlfn.XLOOKUP(C358,'Shp 500'!D:D,'Shp 500'!J:J),0)</f>
        <v>0</v>
      </c>
      <c r="J358" s="19">
        <v>251.61290322580646</v>
      </c>
      <c r="K358" s="19">
        <v>17719.354838709678</v>
      </c>
      <c r="L358" s="21" t="s">
        <v>2530</v>
      </c>
      <c r="M358" s="21" t="str">
        <f>IF(L358="Shp 500","Sim",IF(ISNA(_xlfn.XLOOKUP(C358,'Shp 500'!D:D,'Shp 500'!D:D)),"Não","Sim"))</f>
        <v>Não</v>
      </c>
      <c r="N358" s="21" t="str">
        <f>IF(L358="Fastmoss 500","Sim",IF(ISNA(_xlfn.XLOOKUP(_xlfn.XLOOKUP(C358,'Same Seller Hist'!E:E,'Same Seller Hist'!H:H),'Fastmoss 500'!D:D,'Fastmoss 500'!D:D)),"Não","Sim"))</f>
        <v>Sim</v>
      </c>
      <c r="O358" s="21" t="str">
        <f>IF(AND(M358="Sim",N358="Sim"),"Sim","Não")</f>
        <v>Não</v>
      </c>
      <c r="P358" s="21" t="str">
        <f>IF(I358&gt;K358,"Sim","Não")</f>
        <v>Não</v>
      </c>
      <c r="Q358" s="21">
        <f>COUNTIFS(C:C,C358)</f>
        <v>1</v>
      </c>
    </row>
    <row r="359" spans="3:17" x14ac:dyDescent="0.35">
      <c r="C359" s="5">
        <f>_xlfn.XLOOKUP(F359,'Same Seller Hist'!H:H,'Same Seller Hist'!E:E)</f>
        <v>1299283009</v>
      </c>
      <c r="D359" s="5" t="str">
        <f>_xlfn.XLOOKUP(F359,'Same Seller Hist'!H:H,'Same Seller Hist'!D:D)</f>
        <v>GUI ANA SHOP</v>
      </c>
      <c r="E359" s="5">
        <f>_xlfn.XLOOKUP(F359,'Same Seller Hist'!H:H,'Same Seller Hist'!I:I)</f>
        <v>7.49424173795072E+18</v>
      </c>
      <c r="F359" s="5" t="s">
        <v>195</v>
      </c>
      <c r="G359" s="5" t="str">
        <f>_xlfn.XLOOKUP(C359,'Same Seller Hist'!E:E,'Same Seller Hist'!F:F)</f>
        <v>FMCG</v>
      </c>
      <c r="H359" s="19">
        <f>_xlfn.IFNA(_xlfn.XLOOKUP(C359,'Shp 500'!D:D,'Shp 500'!I:I),0)</f>
        <v>1838</v>
      </c>
      <c r="I359" s="19">
        <f>_xlfn.IFNA(_xlfn.XLOOKUP(C359,'Shp 500'!D:D,'Shp 500'!J:J),0)</f>
        <v>6433.6255806306126</v>
      </c>
      <c r="J359" s="19">
        <v>561.29032258064512</v>
      </c>
      <c r="K359" s="19">
        <v>6632.2580645161288</v>
      </c>
      <c r="L359" s="21" t="s">
        <v>2530</v>
      </c>
      <c r="M359" s="21" t="str">
        <f>IF(L359="Shp 500","Sim",IF(ISNA(_xlfn.XLOOKUP(C359,'Shp 500'!D:D,'Shp 500'!D:D)),"Não","Sim"))</f>
        <v>Sim</v>
      </c>
      <c r="N359" s="21" t="str">
        <f>IF(L359="Fastmoss 500","Sim",IF(ISNA(_xlfn.XLOOKUP(_xlfn.XLOOKUP(C359,'Same Seller Hist'!E:E,'Same Seller Hist'!H:H),'Fastmoss 500'!D:D,'Fastmoss 500'!D:D)),"Não","Sim"))</f>
        <v>Sim</v>
      </c>
      <c r="O359" s="21" t="str">
        <f>IF(AND(M359="Sim",N359="Sim"),"Sim","Não")</f>
        <v>Sim</v>
      </c>
      <c r="P359" s="21" t="str">
        <f>IF(I359&gt;K359,"Sim","Não")</f>
        <v>Não</v>
      </c>
      <c r="Q359" s="21">
        <f>COUNTIFS(C:C,C359)</f>
        <v>2</v>
      </c>
    </row>
    <row r="360" spans="3:17" hidden="1" x14ac:dyDescent="0.35">
      <c r="C360" s="5">
        <f>_xlfn.XLOOKUP(F360,'Same Seller Hist'!H:H,'Same Seller Hist'!E:E)</f>
        <v>740111576</v>
      </c>
      <c r="D360" s="5" t="str">
        <f>_xlfn.XLOOKUP(F360,'Same Seller Hist'!H:H,'Same Seller Hist'!D:D)</f>
        <v>Loja do Koala</v>
      </c>
      <c r="E360" s="5">
        <f>_xlfn.XLOOKUP(F360,'Same Seller Hist'!H:H,'Same Seller Hist'!I:I)</f>
        <v>7.4961872425340396E+18</v>
      </c>
      <c r="F360" s="5" t="s">
        <v>692</v>
      </c>
      <c r="G360" s="5" t="str">
        <f>_xlfn.XLOOKUP(C360,'Same Seller Hist'!E:E,'Same Seller Hist'!F:F)</f>
        <v>Lifestyle</v>
      </c>
      <c r="H360" s="19">
        <f>_xlfn.IFNA(_xlfn.XLOOKUP(C360,'Shp 500'!D:D,'Shp 500'!I:I),0)</f>
        <v>0</v>
      </c>
      <c r="I360" s="19">
        <f>_xlfn.IFNA(_xlfn.XLOOKUP(C360,'Shp 500'!D:D,'Shp 500'!J:J),0)</f>
        <v>0</v>
      </c>
      <c r="J360" s="19">
        <v>248.38709677419354</v>
      </c>
      <c r="K360" s="19">
        <v>8583.8709677419356</v>
      </c>
      <c r="L360" s="21" t="s">
        <v>2530</v>
      </c>
      <c r="M360" s="21" t="str">
        <f>IF(L360="Shp 500","Sim",IF(ISNA(_xlfn.XLOOKUP(C360,'Shp 500'!D:D,'Shp 500'!D:D)),"Não","Sim"))</f>
        <v>Não</v>
      </c>
      <c r="N360" s="21" t="str">
        <f>IF(L360="Fastmoss 500","Sim",IF(ISNA(_xlfn.XLOOKUP(_xlfn.XLOOKUP(C360,'Same Seller Hist'!E:E,'Same Seller Hist'!H:H),'Fastmoss 500'!D:D,'Fastmoss 500'!D:D)),"Não","Sim"))</f>
        <v>Sim</v>
      </c>
      <c r="O360" s="21" t="str">
        <f>IF(AND(M360="Sim",N360="Sim"),"Sim","Não")</f>
        <v>Não</v>
      </c>
      <c r="P360" s="21" t="str">
        <f>IF(I360&gt;K360,"Sim","Não")</f>
        <v>Não</v>
      </c>
      <c r="Q360" s="21">
        <f>COUNTIFS(C:C,C360)</f>
        <v>1</v>
      </c>
    </row>
    <row r="361" spans="3:17" hidden="1" x14ac:dyDescent="0.35">
      <c r="C361" s="5">
        <f>_xlfn.XLOOKUP(F361,'Same Seller Hist'!H:H,'Same Seller Hist'!E:E)</f>
        <v>354913181</v>
      </c>
      <c r="D361" s="5" t="str">
        <f>_xlfn.XLOOKUP(F361,'Same Seller Hist'!H:H,'Same Seller Hist'!D:D)</f>
        <v>Colaí Adesivos</v>
      </c>
      <c r="E361" s="5">
        <f>_xlfn.XLOOKUP(F361,'Same Seller Hist'!H:H,'Same Seller Hist'!I:I)</f>
        <v>7.4962271225047603E+18</v>
      </c>
      <c r="F361" s="5" t="s">
        <v>461</v>
      </c>
      <c r="G361" s="5" t="str">
        <f>_xlfn.XLOOKUP(C361,'Same Seller Hist'!E:E,'Same Seller Hist'!F:F)</f>
        <v>Lifestyle</v>
      </c>
      <c r="H361" s="19">
        <f>_xlfn.IFNA(_xlfn.XLOOKUP(C361,'Shp 500'!D:D,'Shp 500'!I:I),0)</f>
        <v>0</v>
      </c>
      <c r="I361" s="19">
        <f>_xlfn.IFNA(_xlfn.XLOOKUP(C361,'Shp 500'!D:D,'Shp 500'!J:J),0)</f>
        <v>0</v>
      </c>
      <c r="J361" s="19">
        <v>248.38709677419354</v>
      </c>
      <c r="K361" s="19">
        <v>11619.354838709678</v>
      </c>
      <c r="L361" s="21" t="s">
        <v>2530</v>
      </c>
      <c r="M361" s="21" t="str">
        <f>IF(L361="Shp 500","Sim",IF(ISNA(_xlfn.XLOOKUP(C361,'Shp 500'!D:D,'Shp 500'!D:D)),"Não","Sim"))</f>
        <v>Não</v>
      </c>
      <c r="N361" s="21" t="str">
        <f>IF(L361="Fastmoss 500","Sim",IF(ISNA(_xlfn.XLOOKUP(_xlfn.XLOOKUP(C361,'Same Seller Hist'!E:E,'Same Seller Hist'!H:H),'Fastmoss 500'!D:D,'Fastmoss 500'!D:D)),"Não","Sim"))</f>
        <v>Sim</v>
      </c>
      <c r="O361" s="21" t="str">
        <f>IF(AND(M361="Sim",N361="Sim"),"Sim","Não")</f>
        <v>Não</v>
      </c>
      <c r="P361" s="21" t="str">
        <f>IF(I361&gt;K361,"Sim","Não")</f>
        <v>Não</v>
      </c>
      <c r="Q361" s="21">
        <f>COUNTIFS(C:C,C361)</f>
        <v>1</v>
      </c>
    </row>
    <row r="362" spans="3:17" hidden="1" x14ac:dyDescent="0.35">
      <c r="C362" s="5">
        <f>_xlfn.XLOOKUP(F362,'Same Seller Hist'!H:H,'Same Seller Hist'!E:E)</f>
        <v>1005235365</v>
      </c>
      <c r="D362" s="5" t="str">
        <f>_xlfn.XLOOKUP(F362,'Same Seller Hist'!H:H,'Same Seller Hist'!D:D)</f>
        <v>LZY CLUB</v>
      </c>
      <c r="E362" s="5">
        <f>_xlfn.XLOOKUP(F362,'Same Seller Hist'!H:H,'Same Seller Hist'!I:I)</f>
        <v>7.49618524288781E+18</v>
      </c>
      <c r="F362" s="5" t="s">
        <v>877</v>
      </c>
      <c r="G362" s="5">
        <f>_xlfn.XLOOKUP(C362,'Same Seller Hist'!E:E,'Same Seller Hist'!F:F)</f>
        <v>0</v>
      </c>
      <c r="H362" s="19">
        <f>_xlfn.IFNA(_xlfn.XLOOKUP(C362,'Shp 500'!D:D,'Shp 500'!I:I),0)</f>
        <v>0</v>
      </c>
      <c r="I362" s="19">
        <f>_xlfn.IFNA(_xlfn.XLOOKUP(C362,'Shp 500'!D:D,'Shp 500'!J:J),0)</f>
        <v>0</v>
      </c>
      <c r="J362" s="19">
        <v>248.38709677419354</v>
      </c>
      <c r="K362" s="19">
        <v>8825.8064516129034</v>
      </c>
      <c r="L362" s="21" t="s">
        <v>2530</v>
      </c>
      <c r="M362" s="21" t="str">
        <f>IF(L362="Shp 500","Sim",IF(ISNA(_xlfn.XLOOKUP(C362,'Shp 500'!D:D,'Shp 500'!D:D)),"Não","Sim"))</f>
        <v>Não</v>
      </c>
      <c r="N362" s="21" t="str">
        <f>IF(L362="Fastmoss 500","Sim",IF(ISNA(_xlfn.XLOOKUP(_xlfn.XLOOKUP(C362,'Same Seller Hist'!E:E,'Same Seller Hist'!H:H),'Fastmoss 500'!D:D,'Fastmoss 500'!D:D)),"Não","Sim"))</f>
        <v>Sim</v>
      </c>
      <c r="O362" s="21" t="str">
        <f>IF(AND(M362="Sim",N362="Sim"),"Sim","Não")</f>
        <v>Não</v>
      </c>
      <c r="P362" s="21" t="str">
        <f>IF(I362&gt;K362,"Sim","Não")</f>
        <v>Não</v>
      </c>
      <c r="Q362" s="21">
        <f>COUNTIFS(C:C,C362)</f>
        <v>1</v>
      </c>
    </row>
    <row r="363" spans="3:17" hidden="1" x14ac:dyDescent="0.35">
      <c r="C363" s="5">
        <f>_xlfn.XLOOKUP(F363,'Same Seller Hist'!H:H,'Same Seller Hist'!E:E)</f>
        <v>1392148813</v>
      </c>
      <c r="D363" s="5" t="str">
        <f>_xlfn.XLOOKUP(F363,'Same Seller Hist'!H:H,'Same Seller Hist'!D:D)</f>
        <v>Rhode Jeans</v>
      </c>
      <c r="E363" s="5">
        <f>_xlfn.XLOOKUP(F363,'Same Seller Hist'!H:H,'Same Seller Hist'!I:I)</f>
        <v>7.4961802595742802E+18</v>
      </c>
      <c r="F363" s="5" t="s">
        <v>241</v>
      </c>
      <c r="G363" s="5" t="str">
        <f>_xlfn.XLOOKUP(C363,'Same Seller Hist'!E:E,'Same Seller Hist'!F:F)</f>
        <v>Fashion</v>
      </c>
      <c r="H363" s="19">
        <f>_xlfn.IFNA(_xlfn.XLOOKUP(C363,'Shp 500'!D:D,'Shp 500'!I:I),0)</f>
        <v>0</v>
      </c>
      <c r="I363" s="19">
        <f>_xlfn.IFNA(_xlfn.XLOOKUP(C363,'Shp 500'!D:D,'Shp 500'!J:J),0)</f>
        <v>0</v>
      </c>
      <c r="J363" s="19">
        <v>245.16129032258064</v>
      </c>
      <c r="K363" s="19">
        <v>21858.064516129034</v>
      </c>
      <c r="L363" s="21" t="s">
        <v>2530</v>
      </c>
      <c r="M363" s="21" t="str">
        <f>IF(L363="Shp 500","Sim",IF(ISNA(_xlfn.XLOOKUP(C363,'Shp 500'!D:D,'Shp 500'!D:D)),"Não","Sim"))</f>
        <v>Não</v>
      </c>
      <c r="N363" s="21" t="str">
        <f>IF(L363="Fastmoss 500","Sim",IF(ISNA(_xlfn.XLOOKUP(_xlfn.XLOOKUP(C363,'Same Seller Hist'!E:E,'Same Seller Hist'!H:H),'Fastmoss 500'!D:D,'Fastmoss 500'!D:D)),"Não","Sim"))</f>
        <v>Sim</v>
      </c>
      <c r="O363" s="21" t="str">
        <f>IF(AND(M363="Sim",N363="Sim"),"Sim","Não")</f>
        <v>Não</v>
      </c>
      <c r="P363" s="21" t="str">
        <f>IF(I363&gt;K363,"Sim","Não")</f>
        <v>Não</v>
      </c>
      <c r="Q363" s="21">
        <f>COUNTIFS(C:C,C363)</f>
        <v>1</v>
      </c>
    </row>
    <row r="364" spans="3:17" hidden="1" x14ac:dyDescent="0.35">
      <c r="C364" s="5">
        <f>_xlfn.XLOOKUP(F364,'Same Seller Hist'!H:H,'Same Seller Hist'!E:E)</f>
        <v>582502779</v>
      </c>
      <c r="D364" s="5" t="str">
        <f>_xlfn.XLOOKUP(F364,'Same Seller Hist'!H:H,'Same Seller Hist'!D:D)</f>
        <v>Le Frisson Moda Intima</v>
      </c>
      <c r="E364" s="5">
        <f>_xlfn.XLOOKUP(F364,'Same Seller Hist'!H:H,'Same Seller Hist'!I:I)</f>
        <v>7.49616332469918E+18</v>
      </c>
      <c r="F364" s="5" t="s">
        <v>641</v>
      </c>
      <c r="G364" s="5" t="str">
        <f>_xlfn.XLOOKUP(C364,'Same Seller Hist'!E:E,'Same Seller Hist'!F:F)</f>
        <v>Fashion</v>
      </c>
      <c r="H364" s="19">
        <f>_xlfn.IFNA(_xlfn.XLOOKUP(C364,'Shp 500'!D:D,'Shp 500'!I:I),0)</f>
        <v>0</v>
      </c>
      <c r="I364" s="19">
        <f>_xlfn.IFNA(_xlfn.XLOOKUP(C364,'Shp 500'!D:D,'Shp 500'!J:J),0)</f>
        <v>0</v>
      </c>
      <c r="J364" s="19">
        <v>245.16129032258064</v>
      </c>
      <c r="K364" s="19">
        <v>12548.387096774193</v>
      </c>
      <c r="L364" s="21" t="s">
        <v>2530</v>
      </c>
      <c r="M364" s="21" t="str">
        <f>IF(L364="Shp 500","Sim",IF(ISNA(_xlfn.XLOOKUP(C364,'Shp 500'!D:D,'Shp 500'!D:D)),"Não","Sim"))</f>
        <v>Não</v>
      </c>
      <c r="N364" s="21" t="str">
        <f>IF(L364="Fastmoss 500","Sim",IF(ISNA(_xlfn.XLOOKUP(_xlfn.XLOOKUP(C364,'Same Seller Hist'!E:E,'Same Seller Hist'!H:H),'Fastmoss 500'!D:D,'Fastmoss 500'!D:D)),"Não","Sim"))</f>
        <v>Sim</v>
      </c>
      <c r="O364" s="21" t="str">
        <f>IF(AND(M364="Sim",N364="Sim"),"Sim","Não")</f>
        <v>Não</v>
      </c>
      <c r="P364" s="21" t="str">
        <f>IF(I364&gt;K364,"Sim","Não")</f>
        <v>Não</v>
      </c>
      <c r="Q364" s="21">
        <f>COUNTIFS(C:C,C364)</f>
        <v>1</v>
      </c>
    </row>
    <row r="365" spans="3:17" hidden="1" x14ac:dyDescent="0.35">
      <c r="C365" s="5">
        <f>_xlfn.XLOOKUP(F365,'Same Seller Hist'!H:H,'Same Seller Hist'!E:E)</f>
        <v>1147785585</v>
      </c>
      <c r="D365" s="5" t="str">
        <f>_xlfn.XLOOKUP(F365,'Same Seller Hist'!H:H,'Same Seller Hist'!D:D)</f>
        <v>D'LUST COSMÉTICOS</v>
      </c>
      <c r="E365" s="5">
        <f>_xlfn.XLOOKUP(F365,'Same Seller Hist'!H:H,'Same Seller Hist'!I:I)</f>
        <v>7.4962091319662602E+18</v>
      </c>
      <c r="F365" s="5" t="s">
        <v>129</v>
      </c>
      <c r="G365" s="5" t="str">
        <f>_xlfn.XLOOKUP(C365,'Same Seller Hist'!E:E,'Same Seller Hist'!F:F)</f>
        <v>FMCG</v>
      </c>
      <c r="H365" s="19">
        <f>_xlfn.IFNA(_xlfn.XLOOKUP(C365,'Shp 500'!D:D,'Shp 500'!I:I),0)</f>
        <v>0</v>
      </c>
      <c r="I365" s="19">
        <f>_xlfn.IFNA(_xlfn.XLOOKUP(C365,'Shp 500'!D:D,'Shp 500'!J:J),0)</f>
        <v>0</v>
      </c>
      <c r="J365" s="19">
        <v>245.16129032258064</v>
      </c>
      <c r="K365" s="19">
        <v>13409.677419354839</v>
      </c>
      <c r="L365" s="21" t="s">
        <v>2530</v>
      </c>
      <c r="M365" s="21" t="str">
        <f>IF(L365="Shp 500","Sim",IF(ISNA(_xlfn.XLOOKUP(C365,'Shp 500'!D:D,'Shp 500'!D:D)),"Não","Sim"))</f>
        <v>Não</v>
      </c>
      <c r="N365" s="21" t="str">
        <f>IF(L365="Fastmoss 500","Sim",IF(ISNA(_xlfn.XLOOKUP(_xlfn.XLOOKUP(C365,'Same Seller Hist'!E:E,'Same Seller Hist'!H:H),'Fastmoss 500'!D:D,'Fastmoss 500'!D:D)),"Não","Sim"))</f>
        <v>Sim</v>
      </c>
      <c r="O365" s="21" t="str">
        <f>IF(AND(M365="Sim",N365="Sim"),"Sim","Não")</f>
        <v>Não</v>
      </c>
      <c r="P365" s="21" t="str">
        <f>IF(I365&gt;K365,"Sim","Não")</f>
        <v>Não</v>
      </c>
      <c r="Q365" s="21">
        <f>COUNTIFS(C:C,C365)</f>
        <v>1</v>
      </c>
    </row>
    <row r="366" spans="3:17" hidden="1" x14ac:dyDescent="0.35">
      <c r="C366" s="5">
        <f>_xlfn.XLOOKUP(F366,'Same Seller Hist'!H:H,'Same Seller Hist'!E:E)</f>
        <v>396949918</v>
      </c>
      <c r="D366" s="5" t="str">
        <f>_xlfn.XLOOKUP(F366,'Same Seller Hist'!H:H,'Same Seller Hist'!D:D)</f>
        <v>Bella moça</v>
      </c>
      <c r="E366" s="5">
        <f>_xlfn.XLOOKUP(F366,'Same Seller Hist'!H:H,'Same Seller Hist'!I:I)</f>
        <v>7.4961844841185597E+18</v>
      </c>
      <c r="F366" s="5" t="s">
        <v>526</v>
      </c>
      <c r="G366" s="5" t="str">
        <f>_xlfn.XLOOKUP(C366,'Same Seller Hist'!E:E,'Same Seller Hist'!F:F)</f>
        <v>FMCG</v>
      </c>
      <c r="H366" s="19">
        <f>_xlfn.IFNA(_xlfn.XLOOKUP(C366,'Shp 500'!D:D,'Shp 500'!I:I),0)</f>
        <v>0</v>
      </c>
      <c r="I366" s="19">
        <f>_xlfn.IFNA(_xlfn.XLOOKUP(C366,'Shp 500'!D:D,'Shp 500'!J:J),0)</f>
        <v>0</v>
      </c>
      <c r="J366" s="19">
        <v>245.16129032258064</v>
      </c>
      <c r="K366" s="19">
        <v>5767.7419354838712</v>
      </c>
      <c r="L366" s="21" t="s">
        <v>2530</v>
      </c>
      <c r="M366" s="21" t="str">
        <f>IF(L366="Shp 500","Sim",IF(ISNA(_xlfn.XLOOKUP(C366,'Shp 500'!D:D,'Shp 500'!D:D)),"Não","Sim"))</f>
        <v>Não</v>
      </c>
      <c r="N366" s="21" t="str">
        <f>IF(L366="Fastmoss 500","Sim",IF(ISNA(_xlfn.XLOOKUP(_xlfn.XLOOKUP(C366,'Same Seller Hist'!E:E,'Same Seller Hist'!H:H),'Fastmoss 500'!D:D,'Fastmoss 500'!D:D)),"Não","Sim"))</f>
        <v>Sim</v>
      </c>
      <c r="O366" s="21" t="str">
        <f>IF(AND(M366="Sim",N366="Sim"),"Sim","Não")</f>
        <v>Não</v>
      </c>
      <c r="P366" s="21" t="str">
        <f>IF(I366&gt;K366,"Sim","Não")</f>
        <v>Não</v>
      </c>
      <c r="Q366" s="21">
        <f>COUNTIFS(C:C,C366)</f>
        <v>1</v>
      </c>
    </row>
    <row r="367" spans="3:17" x14ac:dyDescent="0.35">
      <c r="C367" s="5">
        <v>1315716433</v>
      </c>
      <c r="D367" s="5" t="s">
        <v>203</v>
      </c>
      <c r="E367" s="5">
        <f>_xlfn.XLOOKUP(C367,'Same Seller Hist'!E:E,'Same Seller Hist'!I:I)</f>
        <v>7.4961677662382602E+18</v>
      </c>
      <c r="F367" s="5" t="str">
        <f>_xlfn.XLOOKUP(C367,'Same Seller Hist'!E:E,'Same Seller Hist'!H:H)</f>
        <v>PICOMERCE</v>
      </c>
      <c r="G367" s="5" t="s">
        <v>1734</v>
      </c>
      <c r="H367" s="19">
        <v>865.38709677419354</v>
      </c>
      <c r="I367" s="19">
        <v>9042.1236175083541</v>
      </c>
      <c r="J367" s="19">
        <f>_xlfn.IFNA(_xlfn.XLOOKUP(F367,'Fastmoss 500'!D:D,'Fastmoss 500'!O:O),0)</f>
        <v>425.80645161290323</v>
      </c>
      <c r="K367" s="19">
        <f>_xlfn.IFNA(_xlfn.XLOOKUP(F367,'Fastmoss 500'!D:D,'Fastmoss 500'!N:N),0)</f>
        <v>19616.129032258064</v>
      </c>
      <c r="L367" s="21" t="s">
        <v>2528</v>
      </c>
      <c r="M367" s="21" t="str">
        <f>IF(L367="Shp 500","Sim",IF(ISNA(_xlfn.XLOOKUP(C367,'Shp 500'!D:D,'Shp 500'!D:D)),"Não","Sim"))</f>
        <v>Sim</v>
      </c>
      <c r="N367" s="21" t="str">
        <f>IF(L367="Fastmoss 500","Sim",IF(ISNA(_xlfn.XLOOKUP(_xlfn.XLOOKUP(C367,'Same Seller Hist'!E:E,'Same Seller Hist'!H:H),'Fastmoss 500'!D:D,'Fastmoss 500'!D:D)),"Não","Sim"))</f>
        <v>Sim</v>
      </c>
      <c r="O367" s="21" t="str">
        <f>IF(AND(M367="Sim",N367="Sim"),"Sim","Não")</f>
        <v>Sim</v>
      </c>
      <c r="P367" s="21" t="str">
        <f>IF(I367&gt;K367,"Sim","Não")</f>
        <v>Não</v>
      </c>
      <c r="Q367" s="21">
        <f>COUNTIFS(C:C,C367)</f>
        <v>2</v>
      </c>
    </row>
    <row r="368" spans="3:17" hidden="1" x14ac:dyDescent="0.35">
      <c r="C368" s="5">
        <f>_xlfn.XLOOKUP(F368,'Same Seller Hist'!H:H,'Same Seller Hist'!E:E)</f>
        <v>401498676</v>
      </c>
      <c r="D368" s="5" t="str">
        <f>_xlfn.XLOOKUP(F368,'Same Seller Hist'!H:H,'Same Seller Hist'!D:D)</f>
        <v>Berinda Utilidades</v>
      </c>
      <c r="E368" s="5">
        <f>_xlfn.XLOOKUP(F368,'Same Seller Hist'!H:H,'Same Seller Hist'!I:I)</f>
        <v>7.4963033840740198E+18</v>
      </c>
      <c r="F368" s="5" t="s">
        <v>851</v>
      </c>
      <c r="G368" s="5" t="str">
        <f>_xlfn.XLOOKUP(C368,'Same Seller Hist'!E:E,'Same Seller Hist'!F:F)</f>
        <v>Lifestyle</v>
      </c>
      <c r="H368" s="19">
        <f>_xlfn.IFNA(_xlfn.XLOOKUP(C368,'Shp 500'!D:D,'Shp 500'!I:I),0)</f>
        <v>0</v>
      </c>
      <c r="I368" s="19">
        <f>_xlfn.IFNA(_xlfn.XLOOKUP(C368,'Shp 500'!D:D,'Shp 500'!J:J),0)</f>
        <v>0</v>
      </c>
      <c r="J368" s="19">
        <v>241.93548387096774</v>
      </c>
      <c r="K368" s="19">
        <v>8783.8709677419356</v>
      </c>
      <c r="L368" s="21" t="s">
        <v>2530</v>
      </c>
      <c r="M368" s="21" t="str">
        <f>IF(L368="Shp 500","Sim",IF(ISNA(_xlfn.XLOOKUP(C368,'Shp 500'!D:D,'Shp 500'!D:D)),"Não","Sim"))</f>
        <v>Não</v>
      </c>
      <c r="N368" s="21" t="str">
        <f>IF(L368="Fastmoss 500","Sim",IF(ISNA(_xlfn.XLOOKUP(_xlfn.XLOOKUP(C368,'Same Seller Hist'!E:E,'Same Seller Hist'!H:H),'Fastmoss 500'!D:D,'Fastmoss 500'!D:D)),"Não","Sim"))</f>
        <v>Sim</v>
      </c>
      <c r="O368" s="21" t="str">
        <f>IF(AND(M368="Sim",N368="Sim"),"Sim","Não")</f>
        <v>Não</v>
      </c>
      <c r="P368" s="21" t="str">
        <f>IF(I368&gt;K368,"Sim","Não")</f>
        <v>Não</v>
      </c>
      <c r="Q368" s="21">
        <f>COUNTIFS(C:C,C368)</f>
        <v>1</v>
      </c>
    </row>
    <row r="369" spans="3:17" hidden="1" x14ac:dyDescent="0.35">
      <c r="C369" s="5">
        <f>_xlfn.XLOOKUP(F369,'Same Seller Hist'!H:H,'Same Seller Hist'!E:E)</f>
        <v>928396871</v>
      </c>
      <c r="D369" s="5" t="str">
        <f>_xlfn.XLOOKUP(F369,'Same Seller Hist'!H:H,'Same Seller Hist'!D:D)</f>
        <v>All Win Decor</v>
      </c>
      <c r="E369" s="5">
        <f>_xlfn.XLOOKUP(F369,'Same Seller Hist'!H:H,'Same Seller Hist'!I:I)</f>
        <v>7.4962908103558697E+18</v>
      </c>
      <c r="F369" s="5" t="s">
        <v>748</v>
      </c>
      <c r="G369" s="5" t="str">
        <f>_xlfn.XLOOKUP(C369,'Same Seller Hist'!E:E,'Same Seller Hist'!F:F)</f>
        <v>Lifestyle</v>
      </c>
      <c r="H369" s="19">
        <f>_xlfn.IFNA(_xlfn.XLOOKUP(C369,'Shp 500'!D:D,'Shp 500'!I:I),0)</f>
        <v>0</v>
      </c>
      <c r="I369" s="19">
        <f>_xlfn.IFNA(_xlfn.XLOOKUP(C369,'Shp 500'!D:D,'Shp 500'!J:J),0)</f>
        <v>0</v>
      </c>
      <c r="J369" s="19">
        <v>241.93548387096774</v>
      </c>
      <c r="K369" s="19">
        <v>13825.806451612903</v>
      </c>
      <c r="L369" s="21" t="s">
        <v>2530</v>
      </c>
      <c r="M369" s="21" t="str">
        <f>IF(L369="Shp 500","Sim",IF(ISNA(_xlfn.XLOOKUP(C369,'Shp 500'!D:D,'Shp 500'!D:D)),"Não","Sim"))</f>
        <v>Não</v>
      </c>
      <c r="N369" s="21" t="str">
        <f>IF(L369="Fastmoss 500","Sim",IF(ISNA(_xlfn.XLOOKUP(_xlfn.XLOOKUP(C369,'Same Seller Hist'!E:E,'Same Seller Hist'!H:H),'Fastmoss 500'!D:D,'Fastmoss 500'!D:D)),"Não","Sim"))</f>
        <v>Sim</v>
      </c>
      <c r="O369" s="21" t="str">
        <f>IF(AND(M369="Sim",N369="Sim"),"Sim","Não")</f>
        <v>Não</v>
      </c>
      <c r="P369" s="21" t="str">
        <f>IF(I369&gt;K369,"Sim","Não")</f>
        <v>Não</v>
      </c>
      <c r="Q369" s="21">
        <f>COUNTIFS(C:C,C369)</f>
        <v>1</v>
      </c>
    </row>
    <row r="370" spans="3:17" hidden="1" x14ac:dyDescent="0.35">
      <c r="C370" s="5">
        <f>_xlfn.XLOOKUP(F370,'Same Seller Hist'!H:H,'Same Seller Hist'!E:E)</f>
        <v>468499881</v>
      </c>
      <c r="D370" s="5" t="str">
        <f>_xlfn.XLOOKUP(F370,'Same Seller Hist'!H:H,'Same Seller Hist'!D:D)</f>
        <v>Mascote Importações</v>
      </c>
      <c r="E370" s="5">
        <f>_xlfn.XLOOKUP(F370,'Same Seller Hist'!H:H,'Same Seller Hist'!I:I)</f>
        <v>7.4961862387499305E+18</v>
      </c>
      <c r="F370" s="5" t="s">
        <v>590</v>
      </c>
      <c r="G370" s="5" t="str">
        <f>_xlfn.XLOOKUP(C370,'Same Seller Hist'!E:E,'Same Seller Hist'!F:F)</f>
        <v>FMCG</v>
      </c>
      <c r="H370" s="19">
        <f>_xlfn.IFNA(_xlfn.XLOOKUP(C370,'Shp 500'!D:D,'Shp 500'!I:I),0)</f>
        <v>0</v>
      </c>
      <c r="I370" s="19">
        <f>_xlfn.IFNA(_xlfn.XLOOKUP(C370,'Shp 500'!D:D,'Shp 500'!J:J),0)</f>
        <v>0</v>
      </c>
      <c r="J370" s="19">
        <v>238.70967741935485</v>
      </c>
      <c r="K370" s="19">
        <v>6529.0322580645161</v>
      </c>
      <c r="L370" s="21" t="s">
        <v>2530</v>
      </c>
      <c r="M370" s="21" t="str">
        <f>IF(L370="Shp 500","Sim",IF(ISNA(_xlfn.XLOOKUP(C370,'Shp 500'!D:D,'Shp 500'!D:D)),"Não","Sim"))</f>
        <v>Não</v>
      </c>
      <c r="N370" s="21" t="str">
        <f>IF(L370="Fastmoss 500","Sim",IF(ISNA(_xlfn.XLOOKUP(_xlfn.XLOOKUP(C370,'Same Seller Hist'!E:E,'Same Seller Hist'!H:H),'Fastmoss 500'!D:D,'Fastmoss 500'!D:D)),"Não","Sim"))</f>
        <v>Sim</v>
      </c>
      <c r="O370" s="21" t="str">
        <f>IF(AND(M370="Sim",N370="Sim"),"Sim","Não")</f>
        <v>Não</v>
      </c>
      <c r="P370" s="21" t="str">
        <f>IF(I370&gt;K370,"Sim","Não")</f>
        <v>Não</v>
      </c>
      <c r="Q370" s="21">
        <f>COUNTIFS(C:C,C370)</f>
        <v>1</v>
      </c>
    </row>
    <row r="371" spans="3:17" x14ac:dyDescent="0.35">
      <c r="C371" s="5">
        <f>_xlfn.XLOOKUP(F371,'Same Seller Hist'!H:H,'Same Seller Hist'!E:E)</f>
        <v>1315716433</v>
      </c>
      <c r="D371" s="5" t="str">
        <f>_xlfn.XLOOKUP(F371,'Same Seller Hist'!H:H,'Same Seller Hist'!D:D)</f>
        <v>PICOMERCE</v>
      </c>
      <c r="E371" s="5">
        <f>_xlfn.XLOOKUP(F371,'Same Seller Hist'!H:H,'Same Seller Hist'!I:I)</f>
        <v>7.4961677662382602E+18</v>
      </c>
      <c r="F371" s="5" t="s">
        <v>203</v>
      </c>
      <c r="G371" s="5" t="str">
        <f>_xlfn.XLOOKUP(C371,'Same Seller Hist'!E:E,'Same Seller Hist'!F:F)</f>
        <v>Lifestyle</v>
      </c>
      <c r="H371" s="19">
        <f>_xlfn.IFNA(_xlfn.XLOOKUP(C371,'Shp 500'!D:D,'Shp 500'!I:I),0)</f>
        <v>865.38709677419354</v>
      </c>
      <c r="I371" s="19">
        <f>_xlfn.IFNA(_xlfn.XLOOKUP(C371,'Shp 500'!D:D,'Shp 500'!J:J),0)</f>
        <v>9042.1236175083541</v>
      </c>
      <c r="J371" s="19">
        <v>425.80645161290323</v>
      </c>
      <c r="K371" s="19">
        <v>19616.129032258064</v>
      </c>
      <c r="L371" s="21" t="s">
        <v>2530</v>
      </c>
      <c r="M371" s="21" t="str">
        <f>IF(L371="Shp 500","Sim",IF(ISNA(_xlfn.XLOOKUP(C371,'Shp 500'!D:D,'Shp 500'!D:D)),"Não","Sim"))</f>
        <v>Sim</v>
      </c>
      <c r="N371" s="21" t="str">
        <f>IF(L371="Fastmoss 500","Sim",IF(ISNA(_xlfn.XLOOKUP(_xlfn.XLOOKUP(C371,'Same Seller Hist'!E:E,'Same Seller Hist'!H:H),'Fastmoss 500'!D:D,'Fastmoss 500'!D:D)),"Não","Sim"))</f>
        <v>Sim</v>
      </c>
      <c r="O371" s="21" t="str">
        <f>IF(AND(M371="Sim",N371="Sim"),"Sim","Não")</f>
        <v>Sim</v>
      </c>
      <c r="P371" s="21" t="str">
        <f>IF(I371&gt;K371,"Sim","Não")</f>
        <v>Não</v>
      </c>
      <c r="Q371" s="21">
        <f>COUNTIFS(C:C,C371)</f>
        <v>2</v>
      </c>
    </row>
    <row r="372" spans="3:17" x14ac:dyDescent="0.35">
      <c r="C372" s="5">
        <v>1429781525</v>
      </c>
      <c r="D372" s="5" t="s">
        <v>1389</v>
      </c>
      <c r="E372" s="5">
        <f>_xlfn.XLOOKUP(C372,'Same Seller Hist'!E:E,'Same Seller Hist'!I:I)</f>
        <v>7.4961615625089495E+18</v>
      </c>
      <c r="F372" s="5" t="str">
        <f>_xlfn.XLOOKUP(C372,'Same Seller Hist'!E:E,'Same Seller Hist'!H:H)</f>
        <v>Mais K Compra</v>
      </c>
      <c r="G372" s="5" t="s">
        <v>1734</v>
      </c>
      <c r="H372" s="19">
        <v>1669.7741935483839</v>
      </c>
      <c r="I372" s="19">
        <v>7824.6759025339352</v>
      </c>
      <c r="J372" s="19">
        <f>_xlfn.IFNA(_xlfn.XLOOKUP(F372,'Fastmoss 500'!D:D,'Fastmoss 500'!O:O),0)</f>
        <v>283.87096774193549</v>
      </c>
      <c r="K372" s="19">
        <f>_xlfn.IFNA(_xlfn.XLOOKUP(F372,'Fastmoss 500'!D:D,'Fastmoss 500'!N:N),0)</f>
        <v>9722.5806451612898</v>
      </c>
      <c r="L372" s="21" t="s">
        <v>2528</v>
      </c>
      <c r="M372" s="21" t="str">
        <f>IF(L372="Shp 500","Sim",IF(ISNA(_xlfn.XLOOKUP(C372,'Shp 500'!D:D,'Shp 500'!D:D)),"Não","Sim"))</f>
        <v>Sim</v>
      </c>
      <c r="N372" s="21" t="str">
        <f>IF(L372="Fastmoss 500","Sim",IF(ISNA(_xlfn.XLOOKUP(_xlfn.XLOOKUP(C372,'Same Seller Hist'!E:E,'Same Seller Hist'!H:H),'Fastmoss 500'!D:D,'Fastmoss 500'!D:D)),"Não","Sim"))</f>
        <v>Sim</v>
      </c>
      <c r="O372" s="21" t="str">
        <f>IF(AND(M372="Sim",N372="Sim"),"Sim","Não")</f>
        <v>Sim</v>
      </c>
      <c r="P372" s="21" t="str">
        <f>IF(I372&gt;K372,"Sim","Não")</f>
        <v>Não</v>
      </c>
      <c r="Q372" s="21">
        <f>COUNTIFS(C:C,C372)</f>
        <v>2</v>
      </c>
    </row>
    <row r="373" spans="3:17" hidden="1" x14ac:dyDescent="0.35">
      <c r="C373" s="5">
        <f>_xlfn.XLOOKUP(F373,'Same Seller Hist'!H:H,'Same Seller Hist'!E:E)</f>
        <v>983290979</v>
      </c>
      <c r="D373" s="5" t="str">
        <f>_xlfn.XLOOKUP(F373,'Same Seller Hist'!H:H,'Same Seller Hist'!D:D)</f>
        <v>Star Shop Digital</v>
      </c>
      <c r="E373" s="5">
        <f>_xlfn.XLOOKUP(F373,'Same Seller Hist'!H:H,'Same Seller Hist'!I:I)</f>
        <v>7.4963050744077701E+18</v>
      </c>
      <c r="F373" s="5" t="s">
        <v>896</v>
      </c>
      <c r="G373" s="5">
        <f>_xlfn.XLOOKUP(C373,'Same Seller Hist'!E:E,'Same Seller Hist'!F:F)</f>
        <v>0</v>
      </c>
      <c r="H373" s="19">
        <f>_xlfn.IFNA(_xlfn.XLOOKUP(C373,'Shp 500'!D:D,'Shp 500'!I:I),0)</f>
        <v>0</v>
      </c>
      <c r="I373" s="19">
        <f>_xlfn.IFNA(_xlfn.XLOOKUP(C373,'Shp 500'!D:D,'Shp 500'!J:J),0)</f>
        <v>0</v>
      </c>
      <c r="J373" s="19">
        <v>235.48387096774192</v>
      </c>
      <c r="K373" s="19">
        <v>7332.2580645161288</v>
      </c>
      <c r="L373" s="21" t="s">
        <v>2530</v>
      </c>
      <c r="M373" s="21" t="str">
        <f>IF(L373="Shp 500","Sim",IF(ISNA(_xlfn.XLOOKUP(C373,'Shp 500'!D:D,'Shp 500'!D:D)),"Não","Sim"))</f>
        <v>Não</v>
      </c>
      <c r="N373" s="21" t="str">
        <f>IF(L373="Fastmoss 500","Sim",IF(ISNA(_xlfn.XLOOKUP(_xlfn.XLOOKUP(C373,'Same Seller Hist'!E:E,'Same Seller Hist'!H:H),'Fastmoss 500'!D:D,'Fastmoss 500'!D:D)),"Não","Sim"))</f>
        <v>Sim</v>
      </c>
      <c r="O373" s="21" t="str">
        <f>IF(AND(M373="Sim",N373="Sim"),"Sim","Não")</f>
        <v>Não</v>
      </c>
      <c r="P373" s="21" t="str">
        <f>IF(I373&gt;K373,"Sim","Não")</f>
        <v>Não</v>
      </c>
      <c r="Q373" s="21">
        <f>COUNTIFS(C:C,C373)</f>
        <v>1</v>
      </c>
    </row>
    <row r="374" spans="3:17" hidden="1" x14ac:dyDescent="0.35">
      <c r="C374" s="5">
        <f>_xlfn.XLOOKUP(F374,'Same Seller Hist'!H:H,'Same Seller Hist'!E:E)</f>
        <v>443085185</v>
      </c>
      <c r="D374" s="5" t="str">
        <f>_xlfn.XLOOKUP(F374,'Same Seller Hist'!H:H,'Same Seller Hist'!D:D)</f>
        <v>Cicatribem</v>
      </c>
      <c r="E374" s="5">
        <f>_xlfn.XLOOKUP(F374,'Same Seller Hist'!H:H,'Same Seller Hist'!I:I)</f>
        <v>7.49616715350733E+18</v>
      </c>
      <c r="F374" s="5" t="s">
        <v>578</v>
      </c>
      <c r="G374" s="5" t="str">
        <f>_xlfn.XLOOKUP(C374,'Same Seller Hist'!E:E,'Same Seller Hist'!F:F)</f>
        <v>FMCG</v>
      </c>
      <c r="H374" s="19">
        <f>_xlfn.IFNA(_xlfn.XLOOKUP(C374,'Shp 500'!D:D,'Shp 500'!I:I),0)</f>
        <v>0</v>
      </c>
      <c r="I374" s="19">
        <f>_xlfn.IFNA(_xlfn.XLOOKUP(C374,'Shp 500'!D:D,'Shp 500'!J:J),0)</f>
        <v>0</v>
      </c>
      <c r="J374" s="19">
        <v>232.25806451612902</v>
      </c>
      <c r="K374" s="19">
        <v>38709.677419354841</v>
      </c>
      <c r="L374" s="21" t="s">
        <v>2530</v>
      </c>
      <c r="M374" s="21" t="str">
        <f>IF(L374="Shp 500","Sim",IF(ISNA(_xlfn.XLOOKUP(C374,'Shp 500'!D:D,'Shp 500'!D:D)),"Não","Sim"))</f>
        <v>Não</v>
      </c>
      <c r="N374" s="21" t="str">
        <f>IF(L374="Fastmoss 500","Sim",IF(ISNA(_xlfn.XLOOKUP(_xlfn.XLOOKUP(C374,'Same Seller Hist'!E:E,'Same Seller Hist'!H:H),'Fastmoss 500'!D:D,'Fastmoss 500'!D:D)),"Não","Sim"))</f>
        <v>Sim</v>
      </c>
      <c r="O374" s="21" t="str">
        <f>IF(AND(M374="Sim",N374="Sim"),"Sim","Não")</f>
        <v>Não</v>
      </c>
      <c r="P374" s="21" t="str">
        <f>IF(I374&gt;K374,"Sim","Não")</f>
        <v>Não</v>
      </c>
      <c r="Q374" s="21">
        <f>COUNTIFS(C:C,C374)</f>
        <v>1</v>
      </c>
    </row>
    <row r="375" spans="3:17" hidden="1" x14ac:dyDescent="0.35">
      <c r="C375" s="5">
        <f>_xlfn.XLOOKUP(F375,'Same Seller Hist'!H:H,'Same Seller Hist'!E:E)</f>
        <v>313531142</v>
      </c>
      <c r="D375" s="5" t="str">
        <f>_xlfn.XLOOKUP(F375,'Same Seller Hist'!H:H,'Same Seller Hist'!D:D)</f>
        <v>QueroShoes</v>
      </c>
      <c r="E375" s="5">
        <f>_xlfn.XLOOKUP(F375,'Same Seller Hist'!H:H,'Same Seller Hist'!I:I)</f>
        <v>7.4961828234274099E+18</v>
      </c>
      <c r="F375" s="5" t="s">
        <v>403</v>
      </c>
      <c r="G375" s="5" t="str">
        <f>_xlfn.XLOOKUP(C375,'Same Seller Hist'!E:E,'Same Seller Hist'!F:F)</f>
        <v>Fashion</v>
      </c>
      <c r="H375" s="19">
        <f>_xlfn.IFNA(_xlfn.XLOOKUP(C375,'Shp 500'!D:D,'Shp 500'!I:I),0)</f>
        <v>0</v>
      </c>
      <c r="I375" s="19">
        <f>_xlfn.IFNA(_xlfn.XLOOKUP(C375,'Shp 500'!D:D,'Shp 500'!J:J),0)</f>
        <v>0</v>
      </c>
      <c r="J375" s="19">
        <v>229.03225806451613</v>
      </c>
      <c r="K375" s="19">
        <v>13287.096774193549</v>
      </c>
      <c r="L375" s="21" t="s">
        <v>2530</v>
      </c>
      <c r="M375" s="21" t="str">
        <f>IF(L375="Shp 500","Sim",IF(ISNA(_xlfn.XLOOKUP(C375,'Shp 500'!D:D,'Shp 500'!D:D)),"Não","Sim"))</f>
        <v>Não</v>
      </c>
      <c r="N375" s="21" t="str">
        <f>IF(L375="Fastmoss 500","Sim",IF(ISNA(_xlfn.XLOOKUP(_xlfn.XLOOKUP(C375,'Same Seller Hist'!E:E,'Same Seller Hist'!H:H),'Fastmoss 500'!D:D,'Fastmoss 500'!D:D)),"Não","Sim"))</f>
        <v>Sim</v>
      </c>
      <c r="O375" s="21" t="str">
        <f>IF(AND(M375="Sim",N375="Sim"),"Sim","Não")</f>
        <v>Não</v>
      </c>
      <c r="P375" s="21" t="str">
        <f>IF(I375&gt;K375,"Sim","Não")</f>
        <v>Não</v>
      </c>
      <c r="Q375" s="21">
        <f>COUNTIFS(C:C,C375)</f>
        <v>1</v>
      </c>
    </row>
    <row r="376" spans="3:17" hidden="1" x14ac:dyDescent="0.35">
      <c r="C376" s="5">
        <f>_xlfn.XLOOKUP(F376,'Same Seller Hist'!H:H,'Same Seller Hist'!E:E)</f>
        <v>1384738256</v>
      </c>
      <c r="D376" s="5" t="str">
        <f>_xlfn.XLOOKUP(F376,'Same Seller Hist'!H:H,'Same Seller Hist'!D:D)</f>
        <v>Piccinato Acessórios</v>
      </c>
      <c r="E376" s="5">
        <f>_xlfn.XLOOKUP(F376,'Same Seller Hist'!H:H,'Same Seller Hist'!I:I)</f>
        <v>7.4963208801380198E+18</v>
      </c>
      <c r="F376" s="5" t="s">
        <v>892</v>
      </c>
      <c r="G376" s="5">
        <f>_xlfn.XLOOKUP(C376,'Same Seller Hist'!E:E,'Same Seller Hist'!F:F)</f>
        <v>0</v>
      </c>
      <c r="H376" s="19">
        <f>_xlfn.IFNA(_xlfn.XLOOKUP(C376,'Shp 500'!D:D,'Shp 500'!I:I),0)</f>
        <v>0</v>
      </c>
      <c r="I376" s="19">
        <f>_xlfn.IFNA(_xlfn.XLOOKUP(C376,'Shp 500'!D:D,'Shp 500'!J:J),0)</f>
        <v>0</v>
      </c>
      <c r="J376" s="19">
        <v>229.03225806451613</v>
      </c>
      <c r="K376" s="19">
        <v>12625.806451612903</v>
      </c>
      <c r="L376" s="21" t="s">
        <v>2530</v>
      </c>
      <c r="M376" s="21" t="str">
        <f>IF(L376="Shp 500","Sim",IF(ISNA(_xlfn.XLOOKUP(C376,'Shp 500'!D:D,'Shp 500'!D:D)),"Não","Sim"))</f>
        <v>Não</v>
      </c>
      <c r="N376" s="21" t="str">
        <f>IF(L376="Fastmoss 500","Sim",IF(ISNA(_xlfn.XLOOKUP(_xlfn.XLOOKUP(C376,'Same Seller Hist'!E:E,'Same Seller Hist'!H:H),'Fastmoss 500'!D:D,'Fastmoss 500'!D:D)),"Não","Sim"))</f>
        <v>Sim</v>
      </c>
      <c r="O376" s="21" t="str">
        <f>IF(AND(M376="Sim",N376="Sim"),"Sim","Não")</f>
        <v>Não</v>
      </c>
      <c r="P376" s="21" t="str">
        <f>IF(I376&gt;K376,"Sim","Não")</f>
        <v>Não</v>
      </c>
      <c r="Q376" s="21">
        <f>COUNTIFS(C:C,C376)</f>
        <v>1</v>
      </c>
    </row>
    <row r="377" spans="3:17" hidden="1" x14ac:dyDescent="0.35">
      <c r="C377" s="5">
        <f>_xlfn.XLOOKUP(F377,'Same Seller Hist'!H:H,'Same Seller Hist'!E:E)</f>
        <v>654667092</v>
      </c>
      <c r="D377" s="5" t="str">
        <f>_xlfn.XLOOKUP(F377,'Same Seller Hist'!H:H,'Same Seller Hist'!D:D)</f>
        <v>levelup-store</v>
      </c>
      <c r="E377" s="5">
        <f>_xlfn.XLOOKUP(F377,'Same Seller Hist'!H:H,'Same Seller Hist'!I:I)</f>
        <v>7.4961820422719703E+18</v>
      </c>
      <c r="F377" s="5" t="s">
        <v>663</v>
      </c>
      <c r="G377" s="5" t="str">
        <f>_xlfn.XLOOKUP(C377,'Same Seller Hist'!E:E,'Same Seller Hist'!F:F)</f>
        <v>Fashion</v>
      </c>
      <c r="H377" s="19">
        <f>_xlfn.IFNA(_xlfn.XLOOKUP(C377,'Shp 500'!D:D,'Shp 500'!I:I),0)</f>
        <v>0</v>
      </c>
      <c r="I377" s="19">
        <f>_xlfn.IFNA(_xlfn.XLOOKUP(C377,'Shp 500'!D:D,'Shp 500'!J:J),0)</f>
        <v>0</v>
      </c>
      <c r="J377" s="19">
        <v>229.03225806451613</v>
      </c>
      <c r="K377" s="19">
        <v>14422.58064516129</v>
      </c>
      <c r="L377" s="21" t="s">
        <v>2530</v>
      </c>
      <c r="M377" s="21" t="str">
        <f>IF(L377="Shp 500","Sim",IF(ISNA(_xlfn.XLOOKUP(C377,'Shp 500'!D:D,'Shp 500'!D:D)),"Não","Sim"))</f>
        <v>Não</v>
      </c>
      <c r="N377" s="21" t="str">
        <f>IF(L377="Fastmoss 500","Sim",IF(ISNA(_xlfn.XLOOKUP(_xlfn.XLOOKUP(C377,'Same Seller Hist'!E:E,'Same Seller Hist'!H:H),'Fastmoss 500'!D:D,'Fastmoss 500'!D:D)),"Não","Sim"))</f>
        <v>Sim</v>
      </c>
      <c r="O377" s="21" t="str">
        <f>IF(AND(M377="Sim",N377="Sim"),"Sim","Não")</f>
        <v>Não</v>
      </c>
      <c r="P377" s="21" t="str">
        <f>IF(I377&gt;K377,"Sim","Não")</f>
        <v>Não</v>
      </c>
      <c r="Q377" s="21">
        <f>COUNTIFS(C:C,C377)</f>
        <v>1</v>
      </c>
    </row>
    <row r="378" spans="3:17" hidden="1" x14ac:dyDescent="0.35">
      <c r="C378" s="5">
        <f>_xlfn.XLOOKUP(F378,'Same Seller Hist'!H:H,'Same Seller Hist'!E:E)</f>
        <v>1550915634</v>
      </c>
      <c r="D378" s="5" t="str">
        <f>_xlfn.XLOOKUP(F378,'Same Seller Hist'!H:H,'Same Seller Hist'!D:D)</f>
        <v>K&amp;L SHOP.</v>
      </c>
      <c r="E378" s="5">
        <f>_xlfn.XLOOKUP(F378,'Same Seller Hist'!H:H,'Same Seller Hist'!I:I)</f>
        <v>7.4961821590767196E+18</v>
      </c>
      <c r="F378" s="5" t="s">
        <v>316</v>
      </c>
      <c r="G378" s="5" t="str">
        <f>_xlfn.XLOOKUP(C378,'Same Seller Hist'!E:E,'Same Seller Hist'!F:F)</f>
        <v>Fashion</v>
      </c>
      <c r="H378" s="19">
        <f>_xlfn.IFNA(_xlfn.XLOOKUP(C378,'Shp 500'!D:D,'Shp 500'!I:I),0)</f>
        <v>0</v>
      </c>
      <c r="I378" s="19">
        <f>_xlfn.IFNA(_xlfn.XLOOKUP(C378,'Shp 500'!D:D,'Shp 500'!J:J),0)</f>
        <v>0</v>
      </c>
      <c r="J378" s="19">
        <v>229.03225806451613</v>
      </c>
      <c r="K378" s="19">
        <v>3696.7741935483873</v>
      </c>
      <c r="L378" s="21" t="s">
        <v>2530</v>
      </c>
      <c r="M378" s="21" t="str">
        <f>IF(L378="Shp 500","Sim",IF(ISNA(_xlfn.XLOOKUP(C378,'Shp 500'!D:D,'Shp 500'!D:D)),"Não","Sim"))</f>
        <v>Não</v>
      </c>
      <c r="N378" s="21" t="str">
        <f>IF(L378="Fastmoss 500","Sim",IF(ISNA(_xlfn.XLOOKUP(_xlfn.XLOOKUP(C378,'Same Seller Hist'!E:E,'Same Seller Hist'!H:H),'Fastmoss 500'!D:D,'Fastmoss 500'!D:D)),"Não","Sim"))</f>
        <v>Sim</v>
      </c>
      <c r="O378" s="21" t="str">
        <f>IF(AND(M378="Sim",N378="Sim"),"Sim","Não")</f>
        <v>Não</v>
      </c>
      <c r="P378" s="21" t="str">
        <f>IF(I378&gt;K378,"Sim","Não")</f>
        <v>Não</v>
      </c>
      <c r="Q378" s="21">
        <f>COUNTIFS(C:C,C378)</f>
        <v>1</v>
      </c>
    </row>
    <row r="379" spans="3:17" hidden="1" x14ac:dyDescent="0.35">
      <c r="C379" s="5">
        <f>_xlfn.XLOOKUP(F379,'Same Seller Hist'!H:H,'Same Seller Hist'!E:E)</f>
        <v>322584913</v>
      </c>
      <c r="D379" s="5" t="str">
        <f>_xlfn.XLOOKUP(F379,'Same Seller Hist'!H:H,'Same Seller Hist'!D:D)</f>
        <v>Fonte do Brilho</v>
      </c>
      <c r="E379" s="5">
        <f>_xlfn.XLOOKUP(F379,'Same Seller Hist'!H:H,'Same Seller Hist'!I:I)</f>
        <v>7.49620905609216E+18</v>
      </c>
      <c r="F379" s="5" t="s">
        <v>862</v>
      </c>
      <c r="G379" s="5">
        <f>_xlfn.XLOOKUP(C379,'Same Seller Hist'!E:E,'Same Seller Hist'!F:F)</f>
        <v>0</v>
      </c>
      <c r="H379" s="19">
        <f>_xlfn.IFNA(_xlfn.XLOOKUP(C379,'Shp 500'!D:D,'Shp 500'!I:I),0)</f>
        <v>0</v>
      </c>
      <c r="I379" s="19">
        <f>_xlfn.IFNA(_xlfn.XLOOKUP(C379,'Shp 500'!D:D,'Shp 500'!J:J),0)</f>
        <v>0</v>
      </c>
      <c r="J379" s="19">
        <v>229.03225806451613</v>
      </c>
      <c r="K379" s="19">
        <v>6625.8064516129034</v>
      </c>
      <c r="L379" s="21" t="s">
        <v>2530</v>
      </c>
      <c r="M379" s="21" t="str">
        <f>IF(L379="Shp 500","Sim",IF(ISNA(_xlfn.XLOOKUP(C379,'Shp 500'!D:D,'Shp 500'!D:D)),"Não","Sim"))</f>
        <v>Não</v>
      </c>
      <c r="N379" s="21" t="str">
        <f>IF(L379="Fastmoss 500","Sim",IF(ISNA(_xlfn.XLOOKUP(_xlfn.XLOOKUP(C379,'Same Seller Hist'!E:E,'Same Seller Hist'!H:H),'Fastmoss 500'!D:D,'Fastmoss 500'!D:D)),"Não","Sim"))</f>
        <v>Sim</v>
      </c>
      <c r="O379" s="21" t="str">
        <f>IF(AND(M379="Sim",N379="Sim"),"Sim","Não")</f>
        <v>Não</v>
      </c>
      <c r="P379" s="21" t="str">
        <f>IF(I379&gt;K379,"Sim","Não")</f>
        <v>Não</v>
      </c>
      <c r="Q379" s="21">
        <f>COUNTIFS(C:C,C379)</f>
        <v>1</v>
      </c>
    </row>
    <row r="380" spans="3:17" hidden="1" x14ac:dyDescent="0.35">
      <c r="C380" s="5">
        <f>_xlfn.XLOOKUP(F380,'Same Seller Hist'!H:H,'Same Seller Hist'!E:E)</f>
        <v>693551101</v>
      </c>
      <c r="D380" s="5" t="str">
        <f>_xlfn.XLOOKUP(F380,'Same Seller Hist'!H:H,'Same Seller Hist'!D:D)</f>
        <v>Estilo &amp; Utilidades</v>
      </c>
      <c r="E380" s="5">
        <f>_xlfn.XLOOKUP(F380,'Same Seller Hist'!H:H,'Same Seller Hist'!I:I)</f>
        <v>7.4941100277762304E+18</v>
      </c>
      <c r="F380" s="5" t="s">
        <v>787</v>
      </c>
      <c r="G380" s="5" t="str">
        <f>_xlfn.XLOOKUP(C380,'Same Seller Hist'!E:E,'Same Seller Hist'!F:F)</f>
        <v>Fashion</v>
      </c>
      <c r="H380" s="19">
        <f>_xlfn.IFNA(_xlfn.XLOOKUP(C380,'Shp 500'!D:D,'Shp 500'!I:I),0)</f>
        <v>0</v>
      </c>
      <c r="I380" s="19">
        <f>_xlfn.IFNA(_xlfn.XLOOKUP(C380,'Shp 500'!D:D,'Shp 500'!J:J),0)</f>
        <v>0</v>
      </c>
      <c r="J380" s="19">
        <v>229.03225806451613</v>
      </c>
      <c r="K380" s="19">
        <v>12732.258064516129</v>
      </c>
      <c r="L380" s="21" t="s">
        <v>2530</v>
      </c>
      <c r="M380" s="21" t="str">
        <f>IF(L380="Shp 500","Sim",IF(ISNA(_xlfn.XLOOKUP(C380,'Shp 500'!D:D,'Shp 500'!D:D)),"Não","Sim"))</f>
        <v>Não</v>
      </c>
      <c r="N380" s="21" t="str">
        <f>IF(L380="Fastmoss 500","Sim",IF(ISNA(_xlfn.XLOOKUP(_xlfn.XLOOKUP(C380,'Same Seller Hist'!E:E,'Same Seller Hist'!H:H),'Fastmoss 500'!D:D,'Fastmoss 500'!D:D)),"Não","Sim"))</f>
        <v>Sim</v>
      </c>
      <c r="O380" s="21" t="str">
        <f>IF(AND(M380="Sim",N380="Sim"),"Sim","Não")</f>
        <v>Não</v>
      </c>
      <c r="P380" s="21" t="str">
        <f>IF(I380&gt;K380,"Sim","Não")</f>
        <v>Não</v>
      </c>
      <c r="Q380" s="21">
        <f>COUNTIFS(C:C,C380)</f>
        <v>1</v>
      </c>
    </row>
    <row r="381" spans="3:17" hidden="1" x14ac:dyDescent="0.35">
      <c r="C381" s="5">
        <f>_xlfn.XLOOKUP(F381,'Same Seller Hist'!H:H,'Same Seller Hist'!E:E)</f>
        <v>255907611</v>
      </c>
      <c r="D381" s="5" t="str">
        <f>_xlfn.XLOOKUP(F381,'Same Seller Hist'!H:H,'Same Seller Hist'!D:D)</f>
        <v>Bisyou Skincare</v>
      </c>
      <c r="E381" s="5">
        <f>_xlfn.XLOOKUP(F381,'Same Seller Hist'!H:H,'Same Seller Hist'!I:I)</f>
        <v>7.4961664053903698E+18</v>
      </c>
      <c r="F381" s="5" t="s">
        <v>359</v>
      </c>
      <c r="G381" s="5" t="str">
        <f>_xlfn.XLOOKUP(C381,'Same Seller Hist'!E:E,'Same Seller Hist'!F:F)</f>
        <v>FMCG</v>
      </c>
      <c r="H381" s="19">
        <f>_xlfn.IFNA(_xlfn.XLOOKUP(C381,'Shp 500'!D:D,'Shp 500'!I:I),0)</f>
        <v>0</v>
      </c>
      <c r="I381" s="19">
        <f>_xlfn.IFNA(_xlfn.XLOOKUP(C381,'Shp 500'!D:D,'Shp 500'!J:J),0)</f>
        <v>0</v>
      </c>
      <c r="J381" s="19">
        <v>229.03225806451613</v>
      </c>
      <c r="K381" s="19">
        <v>19087.096774193549</v>
      </c>
      <c r="L381" s="21" t="s">
        <v>2530</v>
      </c>
      <c r="M381" s="21" t="str">
        <f>IF(L381="Shp 500","Sim",IF(ISNA(_xlfn.XLOOKUP(C381,'Shp 500'!D:D,'Shp 500'!D:D)),"Não","Sim"))</f>
        <v>Não</v>
      </c>
      <c r="N381" s="21" t="str">
        <f>IF(L381="Fastmoss 500","Sim",IF(ISNA(_xlfn.XLOOKUP(_xlfn.XLOOKUP(C381,'Same Seller Hist'!E:E,'Same Seller Hist'!H:H),'Fastmoss 500'!D:D,'Fastmoss 500'!D:D)),"Não","Sim"))</f>
        <v>Sim</v>
      </c>
      <c r="O381" s="21" t="str">
        <f>IF(AND(M381="Sim",N381="Sim"),"Sim","Não")</f>
        <v>Não</v>
      </c>
      <c r="P381" s="21" t="str">
        <f>IF(I381&gt;K381,"Sim","Não")</f>
        <v>Não</v>
      </c>
      <c r="Q381" s="21">
        <f>COUNTIFS(C:C,C381)</f>
        <v>1</v>
      </c>
    </row>
    <row r="382" spans="3:17" hidden="1" x14ac:dyDescent="0.35">
      <c r="C382" s="5">
        <f>_xlfn.XLOOKUP(F382,'Same Seller Hist'!H:H,'Same Seller Hist'!E:E)</f>
        <v>406182835</v>
      </c>
      <c r="D382" s="5" t="str">
        <f>_xlfn.XLOOKUP(F382,'Same Seller Hist'!H:H,'Same Seller Hist'!D:D)</f>
        <v>Panda Mix Presentes</v>
      </c>
      <c r="E382" s="5">
        <f>_xlfn.XLOOKUP(F382,'Same Seller Hist'!H:H,'Same Seller Hist'!I:I)</f>
        <v>7.4962871762823096E+18</v>
      </c>
      <c r="F382" s="5" t="s">
        <v>539</v>
      </c>
      <c r="G382" s="5" t="str">
        <f>_xlfn.XLOOKUP(C382,'Same Seller Hist'!E:E,'Same Seller Hist'!F:F)</f>
        <v>Lifestyle</v>
      </c>
      <c r="H382" s="19">
        <f>_xlfn.IFNA(_xlfn.XLOOKUP(C382,'Shp 500'!D:D,'Shp 500'!I:I),0)</f>
        <v>0</v>
      </c>
      <c r="I382" s="19">
        <f>_xlfn.IFNA(_xlfn.XLOOKUP(C382,'Shp 500'!D:D,'Shp 500'!J:J),0)</f>
        <v>0</v>
      </c>
      <c r="J382" s="19">
        <v>225.80645161290323</v>
      </c>
      <c r="K382" s="19">
        <v>4138.7096774193551</v>
      </c>
      <c r="L382" s="21" t="s">
        <v>2530</v>
      </c>
      <c r="M382" s="21" t="str">
        <f>IF(L382="Shp 500","Sim",IF(ISNA(_xlfn.XLOOKUP(C382,'Shp 500'!D:D,'Shp 500'!D:D)),"Não","Sim"))</f>
        <v>Não</v>
      </c>
      <c r="N382" s="21" t="str">
        <f>IF(L382="Fastmoss 500","Sim",IF(ISNA(_xlfn.XLOOKUP(_xlfn.XLOOKUP(C382,'Same Seller Hist'!E:E,'Same Seller Hist'!H:H),'Fastmoss 500'!D:D,'Fastmoss 500'!D:D)),"Não","Sim"))</f>
        <v>Sim</v>
      </c>
      <c r="O382" s="21" t="str">
        <f>IF(AND(M382="Sim",N382="Sim"),"Sim","Não")</f>
        <v>Não</v>
      </c>
      <c r="P382" s="21" t="str">
        <f>IF(I382&gt;K382,"Sim","Não")</f>
        <v>Não</v>
      </c>
      <c r="Q382" s="21">
        <f>COUNTIFS(C:C,C382)</f>
        <v>1</v>
      </c>
    </row>
    <row r="383" spans="3:17" hidden="1" x14ac:dyDescent="0.35">
      <c r="C383" s="5">
        <f>_xlfn.XLOOKUP(F383,'Same Seller Hist'!H:H,'Same Seller Hist'!E:E)</f>
        <v>979730489</v>
      </c>
      <c r="D383" s="5" t="str">
        <f>_xlfn.XLOOKUP(F383,'Same Seller Hist'!H:H,'Same Seller Hist'!D:D)</f>
        <v>GOREME TECH</v>
      </c>
      <c r="E383" s="5">
        <f>_xlfn.XLOOKUP(F383,'Same Seller Hist'!H:H,'Same Seller Hist'!I:I)</f>
        <v>7.4961387013116703E+18</v>
      </c>
      <c r="F383" s="5" t="s">
        <v>767</v>
      </c>
      <c r="G383" s="5" t="str">
        <f>_xlfn.XLOOKUP(C383,'Same Seller Hist'!E:E,'Same Seller Hist'!F:F)</f>
        <v>Lifestyle</v>
      </c>
      <c r="H383" s="19">
        <f>_xlfn.IFNA(_xlfn.XLOOKUP(C383,'Shp 500'!D:D,'Shp 500'!I:I),0)</f>
        <v>0</v>
      </c>
      <c r="I383" s="19">
        <f>_xlfn.IFNA(_xlfn.XLOOKUP(C383,'Shp 500'!D:D,'Shp 500'!J:J),0)</f>
        <v>0</v>
      </c>
      <c r="J383" s="19">
        <v>225.80645161290323</v>
      </c>
      <c r="K383" s="19">
        <v>9722.5806451612898</v>
      </c>
      <c r="L383" s="21" t="s">
        <v>2530</v>
      </c>
      <c r="M383" s="21" t="str">
        <f>IF(L383="Shp 500","Sim",IF(ISNA(_xlfn.XLOOKUP(C383,'Shp 500'!D:D,'Shp 500'!D:D)),"Não","Sim"))</f>
        <v>Não</v>
      </c>
      <c r="N383" s="21" t="str">
        <f>IF(L383="Fastmoss 500","Sim",IF(ISNA(_xlfn.XLOOKUP(_xlfn.XLOOKUP(C383,'Same Seller Hist'!E:E,'Same Seller Hist'!H:H),'Fastmoss 500'!D:D,'Fastmoss 500'!D:D)),"Não","Sim"))</f>
        <v>Sim</v>
      </c>
      <c r="O383" s="21" t="str">
        <f>IF(AND(M383="Sim",N383="Sim"),"Sim","Não")</f>
        <v>Não</v>
      </c>
      <c r="P383" s="21" t="str">
        <f>IF(I383&gt;K383,"Sim","Não")</f>
        <v>Não</v>
      </c>
      <c r="Q383" s="21">
        <f>COUNTIFS(C:C,C383)</f>
        <v>1</v>
      </c>
    </row>
    <row r="384" spans="3:17" hidden="1" x14ac:dyDescent="0.35">
      <c r="C384" s="5">
        <f>_xlfn.XLOOKUP(F384,'Same Seller Hist'!H:H,'Same Seller Hist'!E:E)</f>
        <v>1210714652</v>
      </c>
      <c r="D384" s="5" t="str">
        <f>_xlfn.XLOOKUP(F384,'Same Seller Hist'!H:H,'Same Seller Hist'!D:D)</f>
        <v>LANCHI-LI</v>
      </c>
      <c r="E384" s="5">
        <f>_xlfn.XLOOKUP(F384,'Same Seller Hist'!H:H,'Same Seller Hist'!I:I)</f>
        <v>7.4962089997437102E+18</v>
      </c>
      <c r="F384" s="5" t="s">
        <v>152</v>
      </c>
      <c r="G384" s="5" t="str">
        <f>_xlfn.XLOOKUP(C384,'Same Seller Hist'!E:E,'Same Seller Hist'!F:F)</f>
        <v>Lifestyle</v>
      </c>
      <c r="H384" s="19">
        <f>_xlfn.IFNA(_xlfn.XLOOKUP(C384,'Shp 500'!D:D,'Shp 500'!I:I),0)</f>
        <v>0</v>
      </c>
      <c r="I384" s="19">
        <f>_xlfn.IFNA(_xlfn.XLOOKUP(C384,'Shp 500'!D:D,'Shp 500'!J:J),0)</f>
        <v>0</v>
      </c>
      <c r="J384" s="19">
        <v>225.80645161290323</v>
      </c>
      <c r="K384" s="19">
        <v>8977.4193548387102</v>
      </c>
      <c r="L384" s="21" t="s">
        <v>2530</v>
      </c>
      <c r="M384" s="21" t="str">
        <f>IF(L384="Shp 500","Sim",IF(ISNA(_xlfn.XLOOKUP(C384,'Shp 500'!D:D,'Shp 500'!D:D)),"Não","Sim"))</f>
        <v>Não</v>
      </c>
      <c r="N384" s="21" t="str">
        <f>IF(L384="Fastmoss 500","Sim",IF(ISNA(_xlfn.XLOOKUP(_xlfn.XLOOKUP(C384,'Same Seller Hist'!E:E,'Same Seller Hist'!H:H),'Fastmoss 500'!D:D,'Fastmoss 500'!D:D)),"Não","Sim"))</f>
        <v>Sim</v>
      </c>
      <c r="O384" s="21" t="str">
        <f>IF(AND(M384="Sim",N384="Sim"),"Sim","Não")</f>
        <v>Não</v>
      </c>
      <c r="P384" s="21" t="str">
        <f>IF(I384&gt;K384,"Sim","Não")</f>
        <v>Não</v>
      </c>
      <c r="Q384" s="21">
        <f>COUNTIFS(C:C,C384)</f>
        <v>1</v>
      </c>
    </row>
    <row r="385" spans="3:17" hidden="1" x14ac:dyDescent="0.35">
      <c r="C385" s="5">
        <f>_xlfn.XLOOKUP(F385,'Same Seller Hist'!H:H,'Same Seller Hist'!E:E)</f>
        <v>1077048083</v>
      </c>
      <c r="D385" s="5" t="str">
        <f>_xlfn.XLOOKUP(F385,'Same Seller Hist'!H:H,'Same Seller Hist'!D:D)</f>
        <v>fabricadalingerie</v>
      </c>
      <c r="E385" s="5">
        <f>_xlfn.XLOOKUP(F385,'Same Seller Hist'!H:H,'Same Seller Hist'!I:I)</f>
        <v>7.4963205892499302E+18</v>
      </c>
      <c r="F385" s="5" t="s">
        <v>94</v>
      </c>
      <c r="G385" s="5" t="str">
        <f>_xlfn.XLOOKUP(C385,'Same Seller Hist'!E:E,'Same Seller Hist'!F:F)</f>
        <v>Fashion</v>
      </c>
      <c r="H385" s="19">
        <f>_xlfn.IFNA(_xlfn.XLOOKUP(C385,'Shp 500'!D:D,'Shp 500'!I:I),0)</f>
        <v>0</v>
      </c>
      <c r="I385" s="19">
        <f>_xlfn.IFNA(_xlfn.XLOOKUP(C385,'Shp 500'!D:D,'Shp 500'!J:J),0)</f>
        <v>0</v>
      </c>
      <c r="J385" s="19">
        <v>225.80645161290323</v>
      </c>
      <c r="K385" s="19">
        <v>7125.8064516129034</v>
      </c>
      <c r="L385" s="21" t="s">
        <v>2530</v>
      </c>
      <c r="M385" s="21" t="str">
        <f>IF(L385="Shp 500","Sim",IF(ISNA(_xlfn.XLOOKUP(C385,'Shp 500'!D:D,'Shp 500'!D:D)),"Não","Sim"))</f>
        <v>Não</v>
      </c>
      <c r="N385" s="21" t="str">
        <f>IF(L385="Fastmoss 500","Sim",IF(ISNA(_xlfn.XLOOKUP(_xlfn.XLOOKUP(C385,'Same Seller Hist'!E:E,'Same Seller Hist'!H:H),'Fastmoss 500'!D:D,'Fastmoss 500'!D:D)),"Não","Sim"))</f>
        <v>Sim</v>
      </c>
      <c r="O385" s="21" t="str">
        <f>IF(AND(M385="Sim",N385="Sim"),"Sim","Não")</f>
        <v>Não</v>
      </c>
      <c r="P385" s="21" t="str">
        <f>IF(I385&gt;K385,"Sim","Não")</f>
        <v>Não</v>
      </c>
      <c r="Q385" s="21">
        <f>COUNTIFS(C:C,C385)</f>
        <v>1</v>
      </c>
    </row>
    <row r="386" spans="3:17" hidden="1" x14ac:dyDescent="0.35">
      <c r="C386" s="5">
        <f>_xlfn.XLOOKUP(F386,'Same Seller Hist'!H:H,'Same Seller Hist'!E:E)</f>
        <v>1103263145</v>
      </c>
      <c r="D386" s="5" t="str">
        <f>_xlfn.XLOOKUP(F386,'Same Seller Hist'!H:H,'Same Seller Hist'!D:D)</f>
        <v>Utilibeleza</v>
      </c>
      <c r="E386" s="5">
        <f>_xlfn.XLOOKUP(F386,'Same Seller Hist'!H:H,'Same Seller Hist'!I:I)</f>
        <v>7.4961572413733898E+18</v>
      </c>
      <c r="F386" s="5" t="s">
        <v>114</v>
      </c>
      <c r="G386" s="5" t="str">
        <f>_xlfn.XLOOKUP(C386,'Same Seller Hist'!E:E,'Same Seller Hist'!F:F)</f>
        <v>FMCG</v>
      </c>
      <c r="H386" s="19">
        <f>_xlfn.IFNA(_xlfn.XLOOKUP(C386,'Shp 500'!D:D,'Shp 500'!I:I),0)</f>
        <v>0</v>
      </c>
      <c r="I386" s="19">
        <f>_xlfn.IFNA(_xlfn.XLOOKUP(C386,'Shp 500'!D:D,'Shp 500'!J:J),0)</f>
        <v>0</v>
      </c>
      <c r="J386" s="19">
        <v>225.80645161290323</v>
      </c>
      <c r="K386" s="19">
        <v>6200</v>
      </c>
      <c r="L386" s="21" t="s">
        <v>2530</v>
      </c>
      <c r="M386" s="21" t="str">
        <f>IF(L386="Shp 500","Sim",IF(ISNA(_xlfn.XLOOKUP(C386,'Shp 500'!D:D,'Shp 500'!D:D)),"Não","Sim"))</f>
        <v>Não</v>
      </c>
      <c r="N386" s="21" t="str">
        <f>IF(L386="Fastmoss 500","Sim",IF(ISNA(_xlfn.XLOOKUP(_xlfn.XLOOKUP(C386,'Same Seller Hist'!E:E,'Same Seller Hist'!H:H),'Fastmoss 500'!D:D,'Fastmoss 500'!D:D)),"Não","Sim"))</f>
        <v>Sim</v>
      </c>
      <c r="O386" s="21" t="str">
        <f>IF(AND(M386="Sim",N386="Sim"),"Sim","Não")</f>
        <v>Não</v>
      </c>
      <c r="P386" s="21" t="str">
        <f>IF(I386&gt;K386,"Sim","Não")</f>
        <v>Não</v>
      </c>
      <c r="Q386" s="21">
        <f>COUNTIFS(C:C,C386)</f>
        <v>1</v>
      </c>
    </row>
    <row r="387" spans="3:17" hidden="1" x14ac:dyDescent="0.35">
      <c r="C387" s="5">
        <f>_xlfn.XLOOKUP(F387,'Same Seller Hist'!H:H,'Same Seller Hist'!E:E)</f>
        <v>1419639054</v>
      </c>
      <c r="D387" s="5" t="str">
        <f>_xlfn.XLOOKUP(F387,'Same Seller Hist'!H:H,'Same Seller Hist'!D:D)</f>
        <v>JR MODA FEMENINA</v>
      </c>
      <c r="E387" s="5">
        <f>_xlfn.XLOOKUP(F387,'Same Seller Hist'!H:H,'Same Seller Hist'!I:I)</f>
        <v>7.49631631616111E+18</v>
      </c>
      <c r="F387" s="5" t="s">
        <v>869</v>
      </c>
      <c r="G387" s="5">
        <f>_xlfn.XLOOKUP(C387,'Same Seller Hist'!E:E,'Same Seller Hist'!F:F)</f>
        <v>0</v>
      </c>
      <c r="H387" s="19">
        <f>_xlfn.IFNA(_xlfn.XLOOKUP(C387,'Shp 500'!D:D,'Shp 500'!I:I),0)</f>
        <v>0</v>
      </c>
      <c r="I387" s="19">
        <f>_xlfn.IFNA(_xlfn.XLOOKUP(C387,'Shp 500'!D:D,'Shp 500'!J:J),0)</f>
        <v>0</v>
      </c>
      <c r="J387" s="19">
        <v>225.80645161290323</v>
      </c>
      <c r="K387" s="19">
        <v>9035.4838709677424</v>
      </c>
      <c r="L387" s="21" t="s">
        <v>2530</v>
      </c>
      <c r="M387" s="21" t="str">
        <f>IF(L387="Shp 500","Sim",IF(ISNA(_xlfn.XLOOKUP(C387,'Shp 500'!D:D,'Shp 500'!D:D)),"Não","Sim"))</f>
        <v>Não</v>
      </c>
      <c r="N387" s="21" t="str">
        <f>IF(L387="Fastmoss 500","Sim",IF(ISNA(_xlfn.XLOOKUP(_xlfn.XLOOKUP(C387,'Same Seller Hist'!E:E,'Same Seller Hist'!H:H),'Fastmoss 500'!D:D,'Fastmoss 500'!D:D)),"Não","Sim"))</f>
        <v>Sim</v>
      </c>
      <c r="O387" s="21" t="str">
        <f>IF(AND(M387="Sim",N387="Sim"),"Sim","Não")</f>
        <v>Não</v>
      </c>
      <c r="P387" s="21" t="str">
        <f>IF(I387&gt;K387,"Sim","Não")</f>
        <v>Não</v>
      </c>
      <c r="Q387" s="21">
        <f>COUNTIFS(C:C,C387)</f>
        <v>1</v>
      </c>
    </row>
    <row r="388" spans="3:17" x14ac:dyDescent="0.35">
      <c r="C388" s="5">
        <f>_xlfn.XLOOKUP(F388,'Same Seller Hist'!H:H,'Same Seller Hist'!E:E)</f>
        <v>1429781525</v>
      </c>
      <c r="D388" s="5" t="str">
        <f>_xlfn.XLOOKUP(F388,'Same Seller Hist'!H:H,'Same Seller Hist'!D:D)</f>
        <v>Mais K Compra</v>
      </c>
      <c r="E388" s="5">
        <f>_xlfn.XLOOKUP(F388,'Same Seller Hist'!H:H,'Same Seller Hist'!I:I)</f>
        <v>7.4961615625089495E+18</v>
      </c>
      <c r="F388" s="5" t="s">
        <v>258</v>
      </c>
      <c r="G388" s="5" t="str">
        <f>_xlfn.XLOOKUP(C388,'Same Seller Hist'!E:E,'Same Seller Hist'!F:F)</f>
        <v>Lifestyle</v>
      </c>
      <c r="H388" s="19">
        <f>_xlfn.IFNA(_xlfn.XLOOKUP(C388,'Shp 500'!D:D,'Shp 500'!I:I),0)</f>
        <v>1669.7741935483839</v>
      </c>
      <c r="I388" s="19">
        <f>_xlfn.IFNA(_xlfn.XLOOKUP(C388,'Shp 500'!D:D,'Shp 500'!J:J),0)</f>
        <v>7824.6759025339352</v>
      </c>
      <c r="J388" s="19">
        <v>283.87096774193549</v>
      </c>
      <c r="K388" s="19">
        <v>9722.5806451612898</v>
      </c>
      <c r="L388" s="21" t="s">
        <v>2530</v>
      </c>
      <c r="M388" s="21" t="str">
        <f>IF(L388="Shp 500","Sim",IF(ISNA(_xlfn.XLOOKUP(C388,'Shp 500'!D:D,'Shp 500'!D:D)),"Não","Sim"))</f>
        <v>Sim</v>
      </c>
      <c r="N388" s="21" t="str">
        <f>IF(L388="Fastmoss 500","Sim",IF(ISNA(_xlfn.XLOOKUP(_xlfn.XLOOKUP(C388,'Same Seller Hist'!E:E,'Same Seller Hist'!H:H),'Fastmoss 500'!D:D,'Fastmoss 500'!D:D)),"Não","Sim"))</f>
        <v>Sim</v>
      </c>
      <c r="O388" s="21" t="str">
        <f>IF(AND(M388="Sim",N388="Sim"),"Sim","Não")</f>
        <v>Sim</v>
      </c>
      <c r="P388" s="21" t="str">
        <f>IF(I388&gt;K388,"Sim","Não")</f>
        <v>Não</v>
      </c>
      <c r="Q388" s="21">
        <f>COUNTIFS(C:C,C388)</f>
        <v>2</v>
      </c>
    </row>
    <row r="389" spans="3:17" hidden="1" x14ac:dyDescent="0.35">
      <c r="C389" s="5">
        <f>_xlfn.XLOOKUP(F389,'Same Seller Hist'!H:H,'Same Seller Hist'!E:E)</f>
        <v>511419479</v>
      </c>
      <c r="D389" s="5" t="str">
        <f>_xlfn.XLOOKUP(F389,'Same Seller Hist'!H:H,'Same Seller Hist'!D:D)</f>
        <v>GLOW DESCONTOS</v>
      </c>
      <c r="E389" s="5">
        <f>_xlfn.XLOOKUP(F389,'Same Seller Hist'!H:H,'Same Seller Hist'!I:I)</f>
        <v>7.4961835381722604E+18</v>
      </c>
      <c r="F389" s="5" t="s">
        <v>614</v>
      </c>
      <c r="G389" s="5" t="str">
        <f>_xlfn.XLOOKUP(C389,'Same Seller Hist'!E:E,'Same Seller Hist'!F:F)</f>
        <v>FMCG</v>
      </c>
      <c r="H389" s="19">
        <f>_xlfn.IFNA(_xlfn.XLOOKUP(C389,'Shp 500'!D:D,'Shp 500'!I:I),0)</f>
        <v>0</v>
      </c>
      <c r="I389" s="19">
        <f>_xlfn.IFNA(_xlfn.XLOOKUP(C389,'Shp 500'!D:D,'Shp 500'!J:J),0)</f>
        <v>0</v>
      </c>
      <c r="J389" s="19">
        <v>222.58064516129033</v>
      </c>
      <c r="K389" s="19">
        <v>7525.8064516129034</v>
      </c>
      <c r="L389" s="21" t="s">
        <v>2530</v>
      </c>
      <c r="M389" s="21" t="str">
        <f>IF(L389="Shp 500","Sim",IF(ISNA(_xlfn.XLOOKUP(C389,'Shp 500'!D:D,'Shp 500'!D:D)),"Não","Sim"))</f>
        <v>Não</v>
      </c>
      <c r="N389" s="21" t="str">
        <f>IF(L389="Fastmoss 500","Sim",IF(ISNA(_xlfn.XLOOKUP(_xlfn.XLOOKUP(C389,'Same Seller Hist'!E:E,'Same Seller Hist'!H:H),'Fastmoss 500'!D:D,'Fastmoss 500'!D:D)),"Não","Sim"))</f>
        <v>Sim</v>
      </c>
      <c r="O389" s="21" t="str">
        <f>IF(AND(M389="Sim",N389="Sim"),"Sim","Não")</f>
        <v>Não</v>
      </c>
      <c r="P389" s="21" t="str">
        <f>IF(I389&gt;K389,"Sim","Não")</f>
        <v>Não</v>
      </c>
      <c r="Q389" s="21">
        <f>COUNTIFS(C:C,C389)</f>
        <v>1</v>
      </c>
    </row>
    <row r="390" spans="3:17" hidden="1" x14ac:dyDescent="0.35">
      <c r="C390" s="5">
        <f>_xlfn.XLOOKUP(F390,'Same Seller Hist'!H:H,'Same Seller Hist'!E:E)</f>
        <v>1141434114</v>
      </c>
      <c r="D390" s="5" t="str">
        <f>_xlfn.XLOOKUP(F390,'Same Seller Hist'!H:H,'Same Seller Hist'!D:D)</f>
        <v>POP YO</v>
      </c>
      <c r="E390" s="5">
        <f>_xlfn.XLOOKUP(F390,'Same Seller Hist'!H:H,'Same Seller Hist'!I:I)</f>
        <v>7.4963144079937004E+18</v>
      </c>
      <c r="F390" s="5" t="s">
        <v>126</v>
      </c>
      <c r="G390" s="5" t="str">
        <f>_xlfn.XLOOKUP(C390,'Same Seller Hist'!E:E,'Same Seller Hist'!F:F)</f>
        <v>Lifestyle</v>
      </c>
      <c r="H390" s="19">
        <f>_xlfn.IFNA(_xlfn.XLOOKUP(C390,'Shp 500'!D:D,'Shp 500'!I:I),0)</f>
        <v>0</v>
      </c>
      <c r="I390" s="19">
        <f>_xlfn.IFNA(_xlfn.XLOOKUP(C390,'Shp 500'!D:D,'Shp 500'!J:J),0)</f>
        <v>0</v>
      </c>
      <c r="J390" s="19">
        <v>222.58064516129033</v>
      </c>
      <c r="K390" s="19">
        <v>17835.483870967742</v>
      </c>
      <c r="L390" s="21" t="s">
        <v>2530</v>
      </c>
      <c r="M390" s="21" t="str">
        <f>IF(L390="Shp 500","Sim",IF(ISNA(_xlfn.XLOOKUP(C390,'Shp 500'!D:D,'Shp 500'!D:D)),"Não","Sim"))</f>
        <v>Não</v>
      </c>
      <c r="N390" s="21" t="str">
        <f>IF(L390="Fastmoss 500","Sim",IF(ISNA(_xlfn.XLOOKUP(_xlfn.XLOOKUP(C390,'Same Seller Hist'!E:E,'Same Seller Hist'!H:H),'Fastmoss 500'!D:D,'Fastmoss 500'!D:D)),"Não","Sim"))</f>
        <v>Sim</v>
      </c>
      <c r="O390" s="21" t="str">
        <f>IF(AND(M390="Sim",N390="Sim"),"Sim","Não")</f>
        <v>Não</v>
      </c>
      <c r="P390" s="21" t="str">
        <f>IF(I390&gt;K390,"Sim","Não")</f>
        <v>Não</v>
      </c>
      <c r="Q390" s="21">
        <f>COUNTIFS(C:C,C390)</f>
        <v>1</v>
      </c>
    </row>
    <row r="391" spans="3:17" hidden="1" x14ac:dyDescent="0.35">
      <c r="C391" s="5">
        <f>_xlfn.XLOOKUP(F391,'Same Seller Hist'!H:H,'Same Seller Hist'!E:E)</f>
        <v>345744108</v>
      </c>
      <c r="D391" s="5" t="str">
        <f>_xlfn.XLOOKUP(F391,'Same Seller Hist'!H:H,'Same Seller Hist'!D:D)</f>
        <v>Moda Fashion CB</v>
      </c>
      <c r="E391" s="5">
        <f>_xlfn.XLOOKUP(F391,'Same Seller Hist'!H:H,'Same Seller Hist'!I:I)</f>
        <v>7.4961818933011702E+18</v>
      </c>
      <c r="F391" s="5" t="s">
        <v>885</v>
      </c>
      <c r="G391" s="5">
        <f>_xlfn.XLOOKUP(C391,'Same Seller Hist'!E:E,'Same Seller Hist'!F:F)</f>
        <v>0</v>
      </c>
      <c r="H391" s="19">
        <f>_xlfn.IFNA(_xlfn.XLOOKUP(C391,'Shp 500'!D:D,'Shp 500'!I:I),0)</f>
        <v>0</v>
      </c>
      <c r="I391" s="19">
        <f>_xlfn.IFNA(_xlfn.XLOOKUP(C391,'Shp 500'!D:D,'Shp 500'!J:J),0)</f>
        <v>0</v>
      </c>
      <c r="J391" s="19">
        <v>222.58064516129033</v>
      </c>
      <c r="K391" s="19">
        <v>13958.064516129032</v>
      </c>
      <c r="L391" s="21" t="s">
        <v>2530</v>
      </c>
      <c r="M391" s="21" t="str">
        <f>IF(L391="Shp 500","Sim",IF(ISNA(_xlfn.XLOOKUP(C391,'Shp 500'!D:D,'Shp 500'!D:D)),"Não","Sim"))</f>
        <v>Não</v>
      </c>
      <c r="N391" s="21" t="str">
        <f>IF(L391="Fastmoss 500","Sim",IF(ISNA(_xlfn.XLOOKUP(_xlfn.XLOOKUP(C391,'Same Seller Hist'!E:E,'Same Seller Hist'!H:H),'Fastmoss 500'!D:D,'Fastmoss 500'!D:D)),"Não","Sim"))</f>
        <v>Sim</v>
      </c>
      <c r="O391" s="21" t="str">
        <f>IF(AND(M391="Sim",N391="Sim"),"Sim","Não")</f>
        <v>Não</v>
      </c>
      <c r="P391" s="21" t="str">
        <f>IF(I391&gt;K391,"Sim","Não")</f>
        <v>Não</v>
      </c>
      <c r="Q391" s="21">
        <f>COUNTIFS(C:C,C391)</f>
        <v>1</v>
      </c>
    </row>
    <row r="392" spans="3:17" hidden="1" x14ac:dyDescent="0.35">
      <c r="C392" s="5">
        <f>_xlfn.XLOOKUP(F392,'Same Seller Hist'!H:H,'Same Seller Hist'!E:E)</f>
        <v>1091003118</v>
      </c>
      <c r="D392" s="5" t="str">
        <f>_xlfn.XLOOKUP(F392,'Same Seller Hist'!H:H,'Same Seller Hist'!D:D)</f>
        <v>DsOdonto</v>
      </c>
      <c r="E392" s="5">
        <f>_xlfn.XLOOKUP(F392,'Same Seller Hist'!H:H,'Same Seller Hist'!I:I)</f>
        <v>7.4962024975473398E+18</v>
      </c>
      <c r="F392" s="5" t="s">
        <v>107</v>
      </c>
      <c r="G392" s="5" t="str">
        <f>_xlfn.XLOOKUP(C392,'Same Seller Hist'!E:E,'Same Seller Hist'!F:F)</f>
        <v>FMCG</v>
      </c>
      <c r="H392" s="19">
        <f>_xlfn.IFNA(_xlfn.XLOOKUP(C392,'Shp 500'!D:D,'Shp 500'!I:I),0)</f>
        <v>0</v>
      </c>
      <c r="I392" s="19">
        <f>_xlfn.IFNA(_xlfn.XLOOKUP(C392,'Shp 500'!D:D,'Shp 500'!J:J),0)</f>
        <v>0</v>
      </c>
      <c r="J392" s="19">
        <v>222.58064516129033</v>
      </c>
      <c r="K392" s="19">
        <v>10177.41935483871</v>
      </c>
      <c r="L392" s="21" t="s">
        <v>2530</v>
      </c>
      <c r="M392" s="21" t="str">
        <f>IF(L392="Shp 500","Sim",IF(ISNA(_xlfn.XLOOKUP(C392,'Shp 500'!D:D,'Shp 500'!D:D)),"Não","Sim"))</f>
        <v>Não</v>
      </c>
      <c r="N392" s="21" t="str">
        <f>IF(L392="Fastmoss 500","Sim",IF(ISNA(_xlfn.XLOOKUP(_xlfn.XLOOKUP(C392,'Same Seller Hist'!E:E,'Same Seller Hist'!H:H),'Fastmoss 500'!D:D,'Fastmoss 500'!D:D)),"Não","Sim"))</f>
        <v>Sim</v>
      </c>
      <c r="O392" s="21" t="str">
        <f>IF(AND(M392="Sim",N392="Sim"),"Sim","Não")</f>
        <v>Não</v>
      </c>
      <c r="P392" s="21" t="str">
        <f>IF(I392&gt;K392,"Sim","Não")</f>
        <v>Não</v>
      </c>
      <c r="Q392" s="21">
        <f>COUNTIFS(C:C,C392)</f>
        <v>1</v>
      </c>
    </row>
    <row r="393" spans="3:17" hidden="1" x14ac:dyDescent="0.35">
      <c r="C393" s="5">
        <f>_xlfn.XLOOKUP(F393,'Same Seller Hist'!H:H,'Same Seller Hist'!E:E)</f>
        <v>1386771889</v>
      </c>
      <c r="D393" s="5" t="str">
        <f>_xlfn.XLOOKUP(F393,'Same Seller Hist'!H:H,'Same Seller Hist'!D:D)</f>
        <v>KODI BR</v>
      </c>
      <c r="E393" s="5">
        <f>_xlfn.XLOOKUP(F393,'Same Seller Hist'!H:H,'Same Seller Hist'!I:I)</f>
        <v>7.4941128431652997E+18</v>
      </c>
      <c r="F393" s="5" t="s">
        <v>236</v>
      </c>
      <c r="G393" s="5" t="str">
        <f>_xlfn.XLOOKUP(C393,'Same Seller Hist'!E:E,'Same Seller Hist'!F:F)</f>
        <v>ELHA</v>
      </c>
      <c r="H393" s="19">
        <f>_xlfn.IFNA(_xlfn.XLOOKUP(C393,'Shp 500'!D:D,'Shp 500'!I:I),0)</f>
        <v>0</v>
      </c>
      <c r="I393" s="19">
        <f>_xlfn.IFNA(_xlfn.XLOOKUP(C393,'Shp 500'!D:D,'Shp 500'!J:J),0)</f>
        <v>0</v>
      </c>
      <c r="J393" s="19">
        <v>219.35483870967741</v>
      </c>
      <c r="K393" s="19">
        <v>14387.096774193549</v>
      </c>
      <c r="L393" s="21" t="s">
        <v>2530</v>
      </c>
      <c r="M393" s="21" t="str">
        <f>IF(L393="Shp 500","Sim",IF(ISNA(_xlfn.XLOOKUP(C393,'Shp 500'!D:D,'Shp 500'!D:D)),"Não","Sim"))</f>
        <v>Não</v>
      </c>
      <c r="N393" s="21" t="str">
        <f>IF(L393="Fastmoss 500","Sim",IF(ISNA(_xlfn.XLOOKUP(_xlfn.XLOOKUP(C393,'Same Seller Hist'!E:E,'Same Seller Hist'!H:H),'Fastmoss 500'!D:D,'Fastmoss 500'!D:D)),"Não","Sim"))</f>
        <v>Sim</v>
      </c>
      <c r="O393" s="21" t="str">
        <f>IF(AND(M393="Sim",N393="Sim"),"Sim","Não")</f>
        <v>Não</v>
      </c>
      <c r="P393" s="21" t="str">
        <f>IF(I393&gt;K393,"Sim","Não")</f>
        <v>Não</v>
      </c>
      <c r="Q393" s="21">
        <f>COUNTIFS(C:C,C393)</f>
        <v>1</v>
      </c>
    </row>
    <row r="394" spans="3:17" hidden="1" x14ac:dyDescent="0.35">
      <c r="C394" s="5">
        <f>_xlfn.XLOOKUP(F394,'Same Seller Hist'!H:H,'Same Seller Hist'!E:E)</f>
        <v>1453923275</v>
      </c>
      <c r="D394" s="5" t="str">
        <f>_xlfn.XLOOKUP(F394,'Same Seller Hist'!H:H,'Same Seller Hist'!D:D)</f>
        <v>Toranja Store</v>
      </c>
      <c r="E394" s="5">
        <f>_xlfn.XLOOKUP(F394,'Same Seller Hist'!H:H,'Same Seller Hist'!I:I)</f>
        <v>7.49622951396019E+18</v>
      </c>
      <c r="F394" s="5" t="s">
        <v>267</v>
      </c>
      <c r="G394" s="5" t="str">
        <f>_xlfn.XLOOKUP(C394,'Same Seller Hist'!E:E,'Same Seller Hist'!F:F)</f>
        <v>Fashion</v>
      </c>
      <c r="H394" s="19">
        <f>_xlfn.IFNA(_xlfn.XLOOKUP(C394,'Shp 500'!D:D,'Shp 500'!I:I),0)</f>
        <v>0</v>
      </c>
      <c r="I394" s="19">
        <f>_xlfn.IFNA(_xlfn.XLOOKUP(C394,'Shp 500'!D:D,'Shp 500'!J:J),0)</f>
        <v>0</v>
      </c>
      <c r="J394" s="19">
        <v>219.35483870967741</v>
      </c>
      <c r="K394" s="19">
        <v>8229.032258064517</v>
      </c>
      <c r="L394" s="21" t="s">
        <v>2530</v>
      </c>
      <c r="M394" s="21" t="str">
        <f>IF(L394="Shp 500","Sim",IF(ISNA(_xlfn.XLOOKUP(C394,'Shp 500'!D:D,'Shp 500'!D:D)),"Não","Sim"))</f>
        <v>Não</v>
      </c>
      <c r="N394" s="21" t="str">
        <f>IF(L394="Fastmoss 500","Sim",IF(ISNA(_xlfn.XLOOKUP(_xlfn.XLOOKUP(C394,'Same Seller Hist'!E:E,'Same Seller Hist'!H:H),'Fastmoss 500'!D:D,'Fastmoss 500'!D:D)),"Não","Sim"))</f>
        <v>Sim</v>
      </c>
      <c r="O394" s="21" t="str">
        <f>IF(AND(M394="Sim",N394="Sim"),"Sim","Não")</f>
        <v>Não</v>
      </c>
      <c r="P394" s="21" t="str">
        <f>IF(I394&gt;K394,"Sim","Não")</f>
        <v>Não</v>
      </c>
      <c r="Q394" s="21">
        <f>COUNTIFS(C:C,C394)</f>
        <v>1</v>
      </c>
    </row>
    <row r="395" spans="3:17" hidden="1" x14ac:dyDescent="0.35">
      <c r="C395" s="5">
        <f>_xlfn.XLOOKUP(F395,'Same Seller Hist'!H:H,'Same Seller Hist'!E:E)</f>
        <v>1553336088</v>
      </c>
      <c r="D395" s="5" t="str">
        <f>_xlfn.XLOOKUP(F395,'Same Seller Hist'!H:H,'Same Seller Hist'!D:D)</f>
        <v>BEIERMEI Brasil</v>
      </c>
      <c r="E395" s="5">
        <f>_xlfn.XLOOKUP(F395,'Same Seller Hist'!H:H,'Same Seller Hist'!I:I)</f>
        <v>7.49631248585054E+18</v>
      </c>
      <c r="F395" s="5" t="s">
        <v>317</v>
      </c>
      <c r="G395" s="5" t="str">
        <f>_xlfn.XLOOKUP(C395,'Same Seller Hist'!E:E,'Same Seller Hist'!F:F)</f>
        <v>FMCG</v>
      </c>
      <c r="H395" s="19">
        <f>_xlfn.IFNA(_xlfn.XLOOKUP(C395,'Shp 500'!D:D,'Shp 500'!I:I),0)</f>
        <v>0</v>
      </c>
      <c r="I395" s="19">
        <f>_xlfn.IFNA(_xlfn.XLOOKUP(C395,'Shp 500'!D:D,'Shp 500'!J:J),0)</f>
        <v>0</v>
      </c>
      <c r="J395" s="19">
        <v>216.12903225806451</v>
      </c>
      <c r="K395" s="19">
        <v>21180.645161290322</v>
      </c>
      <c r="L395" s="21" t="s">
        <v>2530</v>
      </c>
      <c r="M395" s="21" t="str">
        <f>IF(L395="Shp 500","Sim",IF(ISNA(_xlfn.XLOOKUP(C395,'Shp 500'!D:D,'Shp 500'!D:D)),"Não","Sim"))</f>
        <v>Não</v>
      </c>
      <c r="N395" s="21" t="str">
        <f>IF(L395="Fastmoss 500","Sim",IF(ISNA(_xlfn.XLOOKUP(_xlfn.XLOOKUP(C395,'Same Seller Hist'!E:E,'Same Seller Hist'!H:H),'Fastmoss 500'!D:D,'Fastmoss 500'!D:D)),"Não","Sim"))</f>
        <v>Sim</v>
      </c>
      <c r="O395" s="21" t="str">
        <f>IF(AND(M395="Sim",N395="Sim"),"Sim","Não")</f>
        <v>Não</v>
      </c>
      <c r="P395" s="21" t="str">
        <f>IF(I395&gt;K395,"Sim","Não")</f>
        <v>Não</v>
      </c>
      <c r="Q395" s="21">
        <f>COUNTIFS(C:C,C395)</f>
        <v>1</v>
      </c>
    </row>
    <row r="396" spans="3:17" hidden="1" x14ac:dyDescent="0.35">
      <c r="C396" s="5">
        <f>_xlfn.XLOOKUP(F396,'Same Seller Hist'!H:H,'Same Seller Hist'!E:E)</f>
        <v>1590180575</v>
      </c>
      <c r="D396" s="5" t="str">
        <f>_xlfn.XLOOKUP(F396,'Same Seller Hist'!H:H,'Same Seller Hist'!D:D)</f>
        <v>Cestaclic Shop</v>
      </c>
      <c r="E396" s="5">
        <f>_xlfn.XLOOKUP(F396,'Same Seller Hist'!H:H,'Same Seller Hist'!I:I)</f>
        <v>7.4942044413380803E+18</v>
      </c>
      <c r="F396" s="5" t="s">
        <v>855</v>
      </c>
      <c r="G396" s="5">
        <f>_xlfn.XLOOKUP(C396,'Same Seller Hist'!E:E,'Same Seller Hist'!F:F)</f>
        <v>0</v>
      </c>
      <c r="H396" s="19">
        <f>_xlfn.IFNA(_xlfn.XLOOKUP(C396,'Shp 500'!D:D,'Shp 500'!I:I),0)</f>
        <v>0</v>
      </c>
      <c r="I396" s="19">
        <f>_xlfn.IFNA(_xlfn.XLOOKUP(C396,'Shp 500'!D:D,'Shp 500'!J:J),0)</f>
        <v>0</v>
      </c>
      <c r="J396" s="19">
        <v>216.12903225806451</v>
      </c>
      <c r="K396" s="19">
        <v>10287.096774193549</v>
      </c>
      <c r="L396" s="21" t="s">
        <v>2530</v>
      </c>
      <c r="M396" s="21" t="str">
        <f>IF(L396="Shp 500","Sim",IF(ISNA(_xlfn.XLOOKUP(C396,'Shp 500'!D:D,'Shp 500'!D:D)),"Não","Sim"))</f>
        <v>Não</v>
      </c>
      <c r="N396" s="21" t="str">
        <f>IF(L396="Fastmoss 500","Sim",IF(ISNA(_xlfn.XLOOKUP(_xlfn.XLOOKUP(C396,'Same Seller Hist'!E:E,'Same Seller Hist'!H:H),'Fastmoss 500'!D:D,'Fastmoss 500'!D:D)),"Não","Sim"))</f>
        <v>Sim</v>
      </c>
      <c r="O396" s="21" t="str">
        <f>IF(AND(M396="Sim",N396="Sim"),"Sim","Não")</f>
        <v>Não</v>
      </c>
      <c r="P396" s="21" t="str">
        <f>IF(I396&gt;K396,"Sim","Não")</f>
        <v>Não</v>
      </c>
      <c r="Q396" s="21">
        <f>COUNTIFS(C:C,C396)</f>
        <v>1</v>
      </c>
    </row>
    <row r="397" spans="3:17" hidden="1" x14ac:dyDescent="0.35">
      <c r="C397" s="5">
        <f>_xlfn.XLOOKUP(F397,'Same Seller Hist'!H:H,'Same Seller Hist'!E:E)</f>
        <v>271521717</v>
      </c>
      <c r="D397" s="5" t="str">
        <f>_xlfn.XLOOKUP(F397,'Same Seller Hist'!H:H,'Same Seller Hist'!D:D)</f>
        <v>LKS SHOP Rio</v>
      </c>
      <c r="E397" s="5">
        <f>_xlfn.XLOOKUP(F397,'Same Seller Hist'!H:H,'Same Seller Hist'!I:I)</f>
        <v>7.4961823584560998E+18</v>
      </c>
      <c r="F397" s="5" t="s">
        <v>874</v>
      </c>
      <c r="G397" s="5">
        <f>_xlfn.XLOOKUP(C397,'Same Seller Hist'!E:E,'Same Seller Hist'!F:F)</f>
        <v>0</v>
      </c>
      <c r="H397" s="19">
        <f>_xlfn.IFNA(_xlfn.XLOOKUP(C397,'Shp 500'!D:D,'Shp 500'!I:I),0)</f>
        <v>0</v>
      </c>
      <c r="I397" s="19">
        <f>_xlfn.IFNA(_xlfn.XLOOKUP(C397,'Shp 500'!D:D,'Shp 500'!J:J),0)</f>
        <v>0</v>
      </c>
      <c r="J397" s="19">
        <v>216.12903225806451</v>
      </c>
      <c r="K397" s="19">
        <v>9961.2903225806458</v>
      </c>
      <c r="L397" s="21" t="s">
        <v>2530</v>
      </c>
      <c r="M397" s="21" t="str">
        <f>IF(L397="Shp 500","Sim",IF(ISNA(_xlfn.XLOOKUP(C397,'Shp 500'!D:D,'Shp 500'!D:D)),"Não","Sim"))</f>
        <v>Não</v>
      </c>
      <c r="N397" s="21" t="str">
        <f>IF(L397="Fastmoss 500","Sim",IF(ISNA(_xlfn.XLOOKUP(_xlfn.XLOOKUP(C397,'Same Seller Hist'!E:E,'Same Seller Hist'!H:H),'Fastmoss 500'!D:D,'Fastmoss 500'!D:D)),"Não","Sim"))</f>
        <v>Sim</v>
      </c>
      <c r="O397" s="21" t="str">
        <f>IF(AND(M397="Sim",N397="Sim"),"Sim","Não")</f>
        <v>Não</v>
      </c>
      <c r="P397" s="21" t="str">
        <f>IF(I397&gt;K397,"Sim","Não")</f>
        <v>Não</v>
      </c>
      <c r="Q397" s="21">
        <f>COUNTIFS(C:C,C397)</f>
        <v>1</v>
      </c>
    </row>
    <row r="398" spans="3:17" hidden="1" x14ac:dyDescent="0.35">
      <c r="C398" s="5">
        <f>_xlfn.XLOOKUP(F398,'Same Seller Hist'!H:H,'Same Seller Hist'!E:E)</f>
        <v>1241517624</v>
      </c>
      <c r="D398" s="5" t="str">
        <f>_xlfn.XLOOKUP(F398,'Same Seller Hist'!H:H,'Same Seller Hist'!D:D)</f>
        <v>RBN CLASSIC</v>
      </c>
      <c r="E398" s="5">
        <f>_xlfn.XLOOKUP(F398,'Same Seller Hist'!H:H,'Same Seller Hist'!I:I)</f>
        <v>7.4962378671977595E+18</v>
      </c>
      <c r="F398" s="5" t="s">
        <v>165</v>
      </c>
      <c r="G398" s="5" t="str">
        <f>_xlfn.XLOOKUP(C398,'Same Seller Hist'!E:E,'Same Seller Hist'!F:F)</f>
        <v>Fashion</v>
      </c>
      <c r="H398" s="19">
        <f>_xlfn.IFNA(_xlfn.XLOOKUP(C398,'Shp 500'!D:D,'Shp 500'!I:I),0)</f>
        <v>0</v>
      </c>
      <c r="I398" s="19">
        <f>_xlfn.IFNA(_xlfn.XLOOKUP(C398,'Shp 500'!D:D,'Shp 500'!J:J),0)</f>
        <v>0</v>
      </c>
      <c r="J398" s="19">
        <v>216.12903225806451</v>
      </c>
      <c r="K398" s="19">
        <v>12225.806451612903</v>
      </c>
      <c r="L398" s="21" t="s">
        <v>2530</v>
      </c>
      <c r="M398" s="21" t="str">
        <f>IF(L398="Shp 500","Sim",IF(ISNA(_xlfn.XLOOKUP(C398,'Shp 500'!D:D,'Shp 500'!D:D)),"Não","Sim"))</f>
        <v>Não</v>
      </c>
      <c r="N398" s="21" t="str">
        <f>IF(L398="Fastmoss 500","Sim",IF(ISNA(_xlfn.XLOOKUP(_xlfn.XLOOKUP(C398,'Same Seller Hist'!E:E,'Same Seller Hist'!H:H),'Fastmoss 500'!D:D,'Fastmoss 500'!D:D)),"Não","Sim"))</f>
        <v>Sim</v>
      </c>
      <c r="O398" s="21" t="str">
        <f>IF(AND(M398="Sim",N398="Sim"),"Sim","Não")</f>
        <v>Não</v>
      </c>
      <c r="P398" s="21" t="str">
        <f>IF(I398&gt;K398,"Sim","Não")</f>
        <v>Não</v>
      </c>
      <c r="Q398" s="21">
        <f>COUNTIFS(C:C,C398)</f>
        <v>1</v>
      </c>
    </row>
    <row r="399" spans="3:17" hidden="1" x14ac:dyDescent="0.35">
      <c r="C399" s="5">
        <f>_xlfn.XLOOKUP(F399,'Same Seller Hist'!H:H,'Same Seller Hist'!E:E)</f>
        <v>1267696445</v>
      </c>
      <c r="D399" s="5" t="str">
        <f>_xlfn.XLOOKUP(F399,'Same Seller Hist'!H:H,'Same Seller Hist'!D:D)</f>
        <v>Medusa Store Brasil</v>
      </c>
      <c r="E399" s="5">
        <f>_xlfn.XLOOKUP(F399,'Same Seller Hist'!H:H,'Same Seller Hist'!I:I)</f>
        <v>7.4941020475687199E+18</v>
      </c>
      <c r="F399" s="5" t="s">
        <v>880</v>
      </c>
      <c r="G399" s="5">
        <f>_xlfn.XLOOKUP(C399,'Same Seller Hist'!E:E,'Same Seller Hist'!F:F)</f>
        <v>0</v>
      </c>
      <c r="H399" s="19">
        <f>_xlfn.IFNA(_xlfn.XLOOKUP(C399,'Shp 500'!D:D,'Shp 500'!I:I),0)</f>
        <v>0</v>
      </c>
      <c r="I399" s="19">
        <f>_xlfn.IFNA(_xlfn.XLOOKUP(C399,'Shp 500'!D:D,'Shp 500'!J:J),0)</f>
        <v>0</v>
      </c>
      <c r="J399" s="19">
        <v>212.90322580645162</v>
      </c>
      <c r="K399" s="19">
        <v>7680.6451612903229</v>
      </c>
      <c r="L399" s="21" t="s">
        <v>2530</v>
      </c>
      <c r="M399" s="21" t="str">
        <f>IF(L399="Shp 500","Sim",IF(ISNA(_xlfn.XLOOKUP(C399,'Shp 500'!D:D,'Shp 500'!D:D)),"Não","Sim"))</f>
        <v>Não</v>
      </c>
      <c r="N399" s="21" t="str">
        <f>IF(L399="Fastmoss 500","Sim",IF(ISNA(_xlfn.XLOOKUP(_xlfn.XLOOKUP(C399,'Same Seller Hist'!E:E,'Same Seller Hist'!H:H),'Fastmoss 500'!D:D,'Fastmoss 500'!D:D)),"Não","Sim"))</f>
        <v>Sim</v>
      </c>
      <c r="O399" s="21" t="str">
        <f>IF(AND(M399="Sim",N399="Sim"),"Sim","Não")</f>
        <v>Não</v>
      </c>
      <c r="P399" s="21" t="str">
        <f>IF(I399&gt;K399,"Sim","Não")</f>
        <v>Não</v>
      </c>
      <c r="Q399" s="21">
        <f>COUNTIFS(C:C,C399)</f>
        <v>1</v>
      </c>
    </row>
    <row r="400" spans="3:17" hidden="1" x14ac:dyDescent="0.35">
      <c r="C400" s="5">
        <f>_xlfn.XLOOKUP(F400,'Same Seller Hist'!H:H,'Same Seller Hist'!E:E)</f>
        <v>368500901</v>
      </c>
      <c r="D400" s="5" t="str">
        <f>_xlfn.XLOOKUP(F400,'Same Seller Hist'!H:H,'Same Seller Hist'!D:D)</f>
        <v>N.A MULTIMARCAS</v>
      </c>
      <c r="E400" s="5">
        <f>_xlfn.XLOOKUP(F400,'Same Seller Hist'!H:H,'Same Seller Hist'!I:I)</f>
        <v>7.4962099318347203E+18</v>
      </c>
      <c r="F400" s="5" t="s">
        <v>477</v>
      </c>
      <c r="G400" s="5" t="str">
        <f>_xlfn.XLOOKUP(C400,'Same Seller Hist'!E:E,'Same Seller Hist'!F:F)</f>
        <v>Fashion</v>
      </c>
      <c r="H400" s="19">
        <f>_xlfn.IFNA(_xlfn.XLOOKUP(C400,'Shp 500'!D:D,'Shp 500'!I:I),0)</f>
        <v>0</v>
      </c>
      <c r="I400" s="19">
        <f>_xlfn.IFNA(_xlfn.XLOOKUP(C400,'Shp 500'!D:D,'Shp 500'!J:J),0)</f>
        <v>0</v>
      </c>
      <c r="J400" s="19">
        <v>212.90322580645162</v>
      </c>
      <c r="K400" s="19">
        <v>12964.516129032258</v>
      </c>
      <c r="L400" s="21" t="s">
        <v>2530</v>
      </c>
      <c r="M400" s="21" t="str">
        <f>IF(L400="Shp 500","Sim",IF(ISNA(_xlfn.XLOOKUP(C400,'Shp 500'!D:D,'Shp 500'!D:D)),"Não","Sim"))</f>
        <v>Não</v>
      </c>
      <c r="N400" s="21" t="str">
        <f>IF(L400="Fastmoss 500","Sim",IF(ISNA(_xlfn.XLOOKUP(_xlfn.XLOOKUP(C400,'Same Seller Hist'!E:E,'Same Seller Hist'!H:H),'Fastmoss 500'!D:D,'Fastmoss 500'!D:D)),"Não","Sim"))</f>
        <v>Sim</v>
      </c>
      <c r="O400" s="21" t="str">
        <f>IF(AND(M400="Sim",N400="Sim"),"Sim","Não")</f>
        <v>Não</v>
      </c>
      <c r="P400" s="21" t="str">
        <f>IF(I400&gt;K400,"Sim","Não")</f>
        <v>Não</v>
      </c>
      <c r="Q400" s="21">
        <f>COUNTIFS(C:C,C400)</f>
        <v>1</v>
      </c>
    </row>
    <row r="401" spans="3:17" hidden="1" x14ac:dyDescent="0.35">
      <c r="C401" s="5">
        <f>_xlfn.XLOOKUP(F401,'Same Seller Hist'!H:H,'Same Seller Hist'!E:E)</f>
        <v>1205610005</v>
      </c>
      <c r="D401" s="5" t="str">
        <f>_xlfn.XLOOKUP(F401,'Same Seller Hist'!H:H,'Same Seller Hist'!D:D)</f>
        <v>Crop Culture Store</v>
      </c>
      <c r="E401" s="5">
        <f>_xlfn.XLOOKUP(F401,'Same Seller Hist'!H:H,'Same Seller Hist'!I:I)</f>
        <v>7.4961900603833999E+18</v>
      </c>
      <c r="F401" s="5" t="s">
        <v>857</v>
      </c>
      <c r="G401" s="5">
        <f>_xlfn.XLOOKUP(C401,'Same Seller Hist'!E:E,'Same Seller Hist'!F:F)</f>
        <v>0</v>
      </c>
      <c r="H401" s="19">
        <f>_xlfn.IFNA(_xlfn.XLOOKUP(C401,'Shp 500'!D:D,'Shp 500'!I:I),0)</f>
        <v>0</v>
      </c>
      <c r="I401" s="19">
        <f>_xlfn.IFNA(_xlfn.XLOOKUP(C401,'Shp 500'!D:D,'Shp 500'!J:J),0)</f>
        <v>0</v>
      </c>
      <c r="J401" s="19">
        <v>212.90322580645162</v>
      </c>
      <c r="K401" s="19">
        <v>8051.6129032258068</v>
      </c>
      <c r="L401" s="21" t="s">
        <v>2530</v>
      </c>
      <c r="M401" s="21" t="str">
        <f>IF(L401="Shp 500","Sim",IF(ISNA(_xlfn.XLOOKUP(C401,'Shp 500'!D:D,'Shp 500'!D:D)),"Não","Sim"))</f>
        <v>Não</v>
      </c>
      <c r="N401" s="21" t="str">
        <f>IF(L401="Fastmoss 500","Sim",IF(ISNA(_xlfn.XLOOKUP(_xlfn.XLOOKUP(C401,'Same Seller Hist'!E:E,'Same Seller Hist'!H:H),'Fastmoss 500'!D:D,'Fastmoss 500'!D:D)),"Não","Sim"))</f>
        <v>Sim</v>
      </c>
      <c r="O401" s="21" t="str">
        <f>IF(AND(M401="Sim",N401="Sim"),"Sim","Não")</f>
        <v>Não</v>
      </c>
      <c r="P401" s="21" t="str">
        <f>IF(I401&gt;K401,"Sim","Não")</f>
        <v>Não</v>
      </c>
      <c r="Q401" s="21">
        <f>COUNTIFS(C:C,C401)</f>
        <v>1</v>
      </c>
    </row>
    <row r="402" spans="3:17" hidden="1" x14ac:dyDescent="0.35">
      <c r="C402" s="5">
        <f>_xlfn.XLOOKUP(F402,'Same Seller Hist'!H:H,'Same Seller Hist'!E:E)</f>
        <v>592573820</v>
      </c>
      <c r="D402" s="5" t="str">
        <f>_xlfn.XLOOKUP(F402,'Same Seller Hist'!H:H,'Same Seller Hist'!D:D)</f>
        <v>Castro Confecções</v>
      </c>
      <c r="E402" s="5">
        <f>_xlfn.XLOOKUP(F402,'Same Seller Hist'!H:H,'Same Seller Hist'!I:I)</f>
        <v>7.4961819357964196E+18</v>
      </c>
      <c r="F402" s="5" t="s">
        <v>786</v>
      </c>
      <c r="G402" s="5" t="str">
        <f>_xlfn.XLOOKUP(C402,'Same Seller Hist'!E:E,'Same Seller Hist'!F:F)</f>
        <v>FMCG</v>
      </c>
      <c r="H402" s="19">
        <f>_xlfn.IFNA(_xlfn.XLOOKUP(C402,'Shp 500'!D:D,'Shp 500'!I:I),0)</f>
        <v>0</v>
      </c>
      <c r="I402" s="19">
        <f>_xlfn.IFNA(_xlfn.XLOOKUP(C402,'Shp 500'!D:D,'Shp 500'!J:J),0)</f>
        <v>0</v>
      </c>
      <c r="J402" s="19">
        <v>212.90322580645162</v>
      </c>
      <c r="K402" s="19">
        <v>8819.354838709678</v>
      </c>
      <c r="L402" s="21" t="s">
        <v>2530</v>
      </c>
      <c r="M402" s="21" t="str">
        <f>IF(L402="Shp 500","Sim",IF(ISNA(_xlfn.XLOOKUP(C402,'Shp 500'!D:D,'Shp 500'!D:D)),"Não","Sim"))</f>
        <v>Não</v>
      </c>
      <c r="N402" s="21" t="str">
        <f>IF(L402="Fastmoss 500","Sim",IF(ISNA(_xlfn.XLOOKUP(_xlfn.XLOOKUP(C402,'Same Seller Hist'!E:E,'Same Seller Hist'!H:H),'Fastmoss 500'!D:D,'Fastmoss 500'!D:D)),"Não","Sim"))</f>
        <v>Sim</v>
      </c>
      <c r="O402" s="21" t="str">
        <f>IF(AND(M402="Sim",N402="Sim"),"Sim","Não")</f>
        <v>Não</v>
      </c>
      <c r="P402" s="21" t="str">
        <f>IF(I402&gt;K402,"Sim","Não")</f>
        <v>Não</v>
      </c>
      <c r="Q402" s="21">
        <f>COUNTIFS(C:C,C402)</f>
        <v>1</v>
      </c>
    </row>
    <row r="403" spans="3:17" hidden="1" x14ac:dyDescent="0.35">
      <c r="C403" s="5">
        <f>_xlfn.XLOOKUP(F403,'Same Seller Hist'!H:H,'Same Seller Hist'!E:E)</f>
        <v>773799036</v>
      </c>
      <c r="D403" s="5" t="str">
        <f>_xlfn.XLOOKUP(F403,'Same Seller Hist'!H:H,'Same Seller Hist'!D:D)</f>
        <v>Rosa Selvagem</v>
      </c>
      <c r="E403" s="5">
        <f>_xlfn.XLOOKUP(F403,'Same Seller Hist'!H:H,'Same Seller Hist'!I:I)</f>
        <v>7.49618213980514E+18</v>
      </c>
      <c r="F403" s="5" t="s">
        <v>701</v>
      </c>
      <c r="G403" s="5" t="str">
        <f>_xlfn.XLOOKUP(C403,'Same Seller Hist'!E:E,'Same Seller Hist'!F:F)</f>
        <v>FMCG</v>
      </c>
      <c r="H403" s="19">
        <f>_xlfn.IFNA(_xlfn.XLOOKUP(C403,'Shp 500'!D:D,'Shp 500'!I:I),0)</f>
        <v>0</v>
      </c>
      <c r="I403" s="19">
        <f>_xlfn.IFNA(_xlfn.XLOOKUP(C403,'Shp 500'!D:D,'Shp 500'!J:J),0)</f>
        <v>0</v>
      </c>
      <c r="J403" s="19">
        <v>212.90322580645162</v>
      </c>
      <c r="K403" s="19">
        <v>18770.967741935485</v>
      </c>
      <c r="L403" s="21" t="s">
        <v>2530</v>
      </c>
      <c r="M403" s="21" t="str">
        <f>IF(L403="Shp 500","Sim",IF(ISNA(_xlfn.XLOOKUP(C403,'Shp 500'!D:D,'Shp 500'!D:D)),"Não","Sim"))</f>
        <v>Não</v>
      </c>
      <c r="N403" s="21" t="str">
        <f>IF(L403="Fastmoss 500","Sim",IF(ISNA(_xlfn.XLOOKUP(_xlfn.XLOOKUP(C403,'Same Seller Hist'!E:E,'Same Seller Hist'!H:H),'Fastmoss 500'!D:D,'Fastmoss 500'!D:D)),"Não","Sim"))</f>
        <v>Sim</v>
      </c>
      <c r="O403" s="21" t="str">
        <f>IF(AND(M403="Sim",N403="Sim"),"Sim","Não")</f>
        <v>Não</v>
      </c>
      <c r="P403" s="21" t="str">
        <f>IF(I403&gt;K403,"Sim","Não")</f>
        <v>Não</v>
      </c>
      <c r="Q403" s="21">
        <f>COUNTIFS(C:C,C403)</f>
        <v>1</v>
      </c>
    </row>
    <row r="404" spans="3:17" hidden="1" x14ac:dyDescent="0.35">
      <c r="C404" s="5">
        <f>_xlfn.XLOOKUP(F404,'Same Seller Hist'!H:H,'Same Seller Hist'!E:E)</f>
        <v>557985681</v>
      </c>
      <c r="D404" s="5" t="str">
        <f>_xlfn.XLOOKUP(F404,'Same Seller Hist'!H:H,'Same Seller Hist'!D:D)</f>
        <v>KING PRO GAMES</v>
      </c>
      <c r="E404" s="5">
        <f>_xlfn.XLOOKUP(F404,'Same Seller Hist'!H:H,'Same Seller Hist'!I:I)</f>
        <v>7.4962537970750198E+18</v>
      </c>
      <c r="F404" s="5" t="s">
        <v>870</v>
      </c>
      <c r="G404" s="5">
        <f>_xlfn.XLOOKUP(C404,'Same Seller Hist'!E:E,'Same Seller Hist'!F:F)</f>
        <v>0</v>
      </c>
      <c r="H404" s="19">
        <f>_xlfn.IFNA(_xlfn.XLOOKUP(C404,'Shp 500'!D:D,'Shp 500'!I:I),0)</f>
        <v>0</v>
      </c>
      <c r="I404" s="19">
        <f>_xlfn.IFNA(_xlfn.XLOOKUP(C404,'Shp 500'!D:D,'Shp 500'!J:J),0)</f>
        <v>0</v>
      </c>
      <c r="J404" s="19">
        <v>209.67741935483872</v>
      </c>
      <c r="K404" s="19">
        <v>2838.7096774193546</v>
      </c>
      <c r="L404" s="21" t="s">
        <v>2530</v>
      </c>
      <c r="M404" s="21" t="str">
        <f>IF(L404="Shp 500","Sim",IF(ISNA(_xlfn.XLOOKUP(C404,'Shp 500'!D:D,'Shp 500'!D:D)),"Não","Sim"))</f>
        <v>Não</v>
      </c>
      <c r="N404" s="21" t="str">
        <f>IF(L404="Fastmoss 500","Sim",IF(ISNA(_xlfn.XLOOKUP(_xlfn.XLOOKUP(C404,'Same Seller Hist'!E:E,'Same Seller Hist'!H:H),'Fastmoss 500'!D:D,'Fastmoss 500'!D:D)),"Não","Sim"))</f>
        <v>Sim</v>
      </c>
      <c r="O404" s="21" t="str">
        <f>IF(AND(M404="Sim",N404="Sim"),"Sim","Não")</f>
        <v>Não</v>
      </c>
      <c r="P404" s="21" t="str">
        <f>IF(I404&gt;K404,"Sim","Não")</f>
        <v>Não</v>
      </c>
      <c r="Q404" s="21">
        <f>COUNTIFS(C:C,C404)</f>
        <v>1</v>
      </c>
    </row>
    <row r="405" spans="3:17" hidden="1" x14ac:dyDescent="0.35">
      <c r="C405" s="5">
        <f>_xlfn.XLOOKUP(F405,'Same Seller Hist'!H:H,'Same Seller Hist'!E:E)</f>
        <v>988182060</v>
      </c>
      <c r="D405" s="5" t="str">
        <f>_xlfn.XLOOKUP(F405,'Same Seller Hist'!H:H,'Same Seller Hist'!D:D)</f>
        <v>Inova&amp;Basike</v>
      </c>
      <c r="E405" s="5">
        <f>_xlfn.XLOOKUP(F405,'Same Seller Hist'!H:H,'Same Seller Hist'!I:I)</f>
        <v>7.4942013576800799E+18</v>
      </c>
      <c r="F405" s="5" t="s">
        <v>867</v>
      </c>
      <c r="G405" s="5">
        <f>_xlfn.XLOOKUP(C405,'Same Seller Hist'!E:E,'Same Seller Hist'!F:F)</f>
        <v>0</v>
      </c>
      <c r="H405" s="19">
        <f>_xlfn.IFNA(_xlfn.XLOOKUP(C405,'Shp 500'!D:D,'Shp 500'!I:I),0)</f>
        <v>0</v>
      </c>
      <c r="I405" s="19">
        <f>_xlfn.IFNA(_xlfn.XLOOKUP(C405,'Shp 500'!D:D,'Shp 500'!J:J),0)</f>
        <v>0</v>
      </c>
      <c r="J405" s="19">
        <v>209.67741935483872</v>
      </c>
      <c r="K405" s="19">
        <v>15480.645161290322</v>
      </c>
      <c r="L405" s="21" t="s">
        <v>2530</v>
      </c>
      <c r="M405" s="21" t="str">
        <f>IF(L405="Shp 500","Sim",IF(ISNA(_xlfn.XLOOKUP(C405,'Shp 500'!D:D,'Shp 500'!D:D)),"Não","Sim"))</f>
        <v>Não</v>
      </c>
      <c r="N405" s="21" t="str">
        <f>IF(L405="Fastmoss 500","Sim",IF(ISNA(_xlfn.XLOOKUP(_xlfn.XLOOKUP(C405,'Same Seller Hist'!E:E,'Same Seller Hist'!H:H),'Fastmoss 500'!D:D,'Fastmoss 500'!D:D)),"Não","Sim"))</f>
        <v>Sim</v>
      </c>
      <c r="O405" s="21" t="str">
        <f>IF(AND(M405="Sim",N405="Sim"),"Sim","Não")</f>
        <v>Não</v>
      </c>
      <c r="P405" s="21" t="str">
        <f>IF(I405&gt;K405,"Sim","Não")</f>
        <v>Não</v>
      </c>
      <c r="Q405" s="21">
        <f>COUNTIFS(C:C,C405)</f>
        <v>1</v>
      </c>
    </row>
    <row r="406" spans="3:17" hidden="1" x14ac:dyDescent="0.35">
      <c r="C406" s="5">
        <f>_xlfn.XLOOKUP(F406,'Same Seller Hist'!H:H,'Same Seller Hist'!E:E)</f>
        <v>754144273</v>
      </c>
      <c r="D406" s="5" t="str">
        <f>_xlfn.XLOOKUP(F406,'Same Seller Hist'!H:H,'Same Seller Hist'!D:D)</f>
        <v>Tudo Aki Express</v>
      </c>
      <c r="E406" s="5">
        <f>_xlfn.XLOOKUP(F406,'Same Seller Hist'!H:H,'Same Seller Hist'!I:I)</f>
        <v>7.4941685956726303E+18</v>
      </c>
      <c r="F406" s="5" t="s">
        <v>899</v>
      </c>
      <c r="G406" s="5">
        <f>_xlfn.XLOOKUP(C406,'Same Seller Hist'!E:E,'Same Seller Hist'!F:F)</f>
        <v>0</v>
      </c>
      <c r="H406" s="19">
        <f>_xlfn.IFNA(_xlfn.XLOOKUP(C406,'Shp 500'!D:D,'Shp 500'!I:I),0)</f>
        <v>0</v>
      </c>
      <c r="I406" s="19">
        <f>_xlfn.IFNA(_xlfn.XLOOKUP(C406,'Shp 500'!D:D,'Shp 500'!J:J),0)</f>
        <v>0</v>
      </c>
      <c r="J406" s="19">
        <v>209.67741935483872</v>
      </c>
      <c r="K406" s="19">
        <v>9248.3870967741932</v>
      </c>
      <c r="L406" s="21" t="s">
        <v>2530</v>
      </c>
      <c r="M406" s="21" t="str">
        <f>IF(L406="Shp 500","Sim",IF(ISNA(_xlfn.XLOOKUP(C406,'Shp 500'!D:D,'Shp 500'!D:D)),"Não","Sim"))</f>
        <v>Não</v>
      </c>
      <c r="N406" s="21" t="str">
        <f>IF(L406="Fastmoss 500","Sim",IF(ISNA(_xlfn.XLOOKUP(_xlfn.XLOOKUP(C406,'Same Seller Hist'!E:E,'Same Seller Hist'!H:H),'Fastmoss 500'!D:D,'Fastmoss 500'!D:D)),"Não","Sim"))</f>
        <v>Sim</v>
      </c>
      <c r="O406" s="21" t="str">
        <f>IF(AND(M406="Sim",N406="Sim"),"Sim","Não")</f>
        <v>Não</v>
      </c>
      <c r="P406" s="21" t="str">
        <f>IF(I406&gt;K406,"Sim","Não")</f>
        <v>Não</v>
      </c>
      <c r="Q406" s="21">
        <f>COUNTIFS(C:C,C406)</f>
        <v>1</v>
      </c>
    </row>
    <row r="407" spans="3:17" hidden="1" x14ac:dyDescent="0.35">
      <c r="C407" s="5">
        <f>_xlfn.XLOOKUP(F407,'Same Seller Hist'!H:H,'Same Seller Hist'!E:E)</f>
        <v>288181836</v>
      </c>
      <c r="D407" s="5" t="str">
        <f>_xlfn.XLOOKUP(F407,'Same Seller Hist'!H:H,'Same Seller Hist'!D:D)</f>
        <v>Atena Fashion Store</v>
      </c>
      <c r="E407" s="5">
        <f>_xlfn.XLOOKUP(F407,'Same Seller Hist'!H:H,'Same Seller Hist'!I:I)</f>
        <v>7.4961820389373696E+18</v>
      </c>
      <c r="F407" s="5" t="s">
        <v>850</v>
      </c>
      <c r="G407" s="5">
        <f>_xlfn.XLOOKUP(C407,'Same Seller Hist'!E:E,'Same Seller Hist'!F:F)</f>
        <v>0</v>
      </c>
      <c r="H407" s="19">
        <f>_xlfn.IFNA(_xlfn.XLOOKUP(C407,'Shp 500'!D:D,'Shp 500'!I:I),0)</f>
        <v>0</v>
      </c>
      <c r="I407" s="19">
        <f>_xlfn.IFNA(_xlfn.XLOOKUP(C407,'Shp 500'!D:D,'Shp 500'!J:J),0)</f>
        <v>0</v>
      </c>
      <c r="J407" s="19">
        <v>206.45161290322579</v>
      </c>
      <c r="K407" s="19">
        <v>7067.7419354838712</v>
      </c>
      <c r="L407" s="21" t="s">
        <v>2530</v>
      </c>
      <c r="M407" s="21" t="str">
        <f>IF(L407="Shp 500","Sim",IF(ISNA(_xlfn.XLOOKUP(C407,'Shp 500'!D:D,'Shp 500'!D:D)),"Não","Sim"))</f>
        <v>Não</v>
      </c>
      <c r="N407" s="21" t="str">
        <f>IF(L407="Fastmoss 500","Sim",IF(ISNA(_xlfn.XLOOKUP(_xlfn.XLOOKUP(C407,'Same Seller Hist'!E:E,'Same Seller Hist'!H:H),'Fastmoss 500'!D:D,'Fastmoss 500'!D:D)),"Não","Sim"))</f>
        <v>Sim</v>
      </c>
      <c r="O407" s="21" t="str">
        <f>IF(AND(M407="Sim",N407="Sim"),"Sim","Não")</f>
        <v>Não</v>
      </c>
      <c r="P407" s="21" t="str">
        <f>IF(I407&gt;K407,"Sim","Não")</f>
        <v>Não</v>
      </c>
      <c r="Q407" s="21">
        <f>COUNTIFS(C:C,C407)</f>
        <v>1</v>
      </c>
    </row>
    <row r="408" spans="3:17" hidden="1" x14ac:dyDescent="0.35">
      <c r="C408" s="5">
        <f>_xlfn.XLOOKUP(F408,'Same Seller Hist'!H:H,'Same Seller Hist'!E:E)</f>
        <v>942739865</v>
      </c>
      <c r="D408" s="5" t="str">
        <f>_xlfn.XLOOKUP(F408,'Same Seller Hist'!H:H,'Same Seller Hist'!D:D)</f>
        <v>Laisa Modas</v>
      </c>
      <c r="E408" s="5">
        <f>_xlfn.XLOOKUP(F408,'Same Seller Hist'!H:H,'Same Seller Hist'!I:I)</f>
        <v>7.4961883164609997E+18</v>
      </c>
      <c r="F408" s="5" t="s">
        <v>754</v>
      </c>
      <c r="G408" s="5" t="str">
        <f>_xlfn.XLOOKUP(C408,'Same Seller Hist'!E:E,'Same Seller Hist'!F:F)</f>
        <v>Fashion</v>
      </c>
      <c r="H408" s="19">
        <f>_xlfn.IFNA(_xlfn.XLOOKUP(C408,'Shp 500'!D:D,'Shp 500'!I:I),0)</f>
        <v>0</v>
      </c>
      <c r="I408" s="19">
        <f>_xlfn.IFNA(_xlfn.XLOOKUP(C408,'Shp 500'!D:D,'Shp 500'!J:J),0)</f>
        <v>0</v>
      </c>
      <c r="J408" s="19">
        <v>206.45161290322579</v>
      </c>
      <c r="K408" s="19">
        <v>9141.9354838709678</v>
      </c>
      <c r="L408" s="21" t="s">
        <v>2530</v>
      </c>
      <c r="M408" s="21" t="str">
        <f>IF(L408="Shp 500","Sim",IF(ISNA(_xlfn.XLOOKUP(C408,'Shp 500'!D:D,'Shp 500'!D:D)),"Não","Sim"))</f>
        <v>Não</v>
      </c>
      <c r="N408" s="21" t="str">
        <f>IF(L408="Fastmoss 500","Sim",IF(ISNA(_xlfn.XLOOKUP(_xlfn.XLOOKUP(C408,'Same Seller Hist'!E:E,'Same Seller Hist'!H:H),'Fastmoss 500'!D:D,'Fastmoss 500'!D:D)),"Não","Sim"))</f>
        <v>Sim</v>
      </c>
      <c r="O408" s="21" t="str">
        <f>IF(AND(M408="Sim",N408="Sim"),"Sim","Não")</f>
        <v>Não</v>
      </c>
      <c r="P408" s="21" t="str">
        <f>IF(I408&gt;K408,"Sim","Não")</f>
        <v>Não</v>
      </c>
      <c r="Q408" s="21">
        <f>COUNTIFS(C:C,C408)</f>
        <v>1</v>
      </c>
    </row>
    <row r="409" spans="3:17" hidden="1" x14ac:dyDescent="0.35">
      <c r="C409" s="5">
        <f>_xlfn.XLOOKUP(F409,'Same Seller Hist'!H:H,'Same Seller Hist'!E:E)</f>
        <v>1670335645</v>
      </c>
      <c r="D409" s="5" t="str">
        <f>_xlfn.XLOOKUP(F409,'Same Seller Hist'!H:H,'Same Seller Hist'!D:D)</f>
        <v>Dami MundoÚtil</v>
      </c>
      <c r="E409" s="5">
        <f>_xlfn.XLOOKUP(F409,'Same Seller Hist'!H:H,'Same Seller Hist'!I:I)</f>
        <v>7.4941309604384205E+18</v>
      </c>
      <c r="F409" s="5" t="s">
        <v>858</v>
      </c>
      <c r="G409" s="5">
        <f>_xlfn.XLOOKUP(C409,'Same Seller Hist'!E:E,'Same Seller Hist'!F:F)</f>
        <v>0</v>
      </c>
      <c r="H409" s="19">
        <f>_xlfn.IFNA(_xlfn.XLOOKUP(C409,'Shp 500'!D:D,'Shp 500'!I:I),0)</f>
        <v>0</v>
      </c>
      <c r="I409" s="19">
        <f>_xlfn.IFNA(_xlfn.XLOOKUP(C409,'Shp 500'!D:D,'Shp 500'!J:J),0)</f>
        <v>0</v>
      </c>
      <c r="J409" s="19">
        <v>206.45161290322579</v>
      </c>
      <c r="K409" s="19">
        <v>6658.0645161290322</v>
      </c>
      <c r="L409" s="21" t="s">
        <v>2530</v>
      </c>
      <c r="M409" s="21" t="str">
        <f>IF(L409="Shp 500","Sim",IF(ISNA(_xlfn.XLOOKUP(C409,'Shp 500'!D:D,'Shp 500'!D:D)),"Não","Sim"))</f>
        <v>Não</v>
      </c>
      <c r="N409" s="21" t="str">
        <f>IF(L409="Fastmoss 500","Sim",IF(ISNA(_xlfn.XLOOKUP(_xlfn.XLOOKUP(C409,'Same Seller Hist'!E:E,'Same Seller Hist'!H:H),'Fastmoss 500'!D:D,'Fastmoss 500'!D:D)),"Não","Sim"))</f>
        <v>Sim</v>
      </c>
      <c r="O409" s="21" t="str">
        <f>IF(AND(M409="Sim",N409="Sim"),"Sim","Não")</f>
        <v>Não</v>
      </c>
      <c r="P409" s="21" t="str">
        <f>IF(I409&gt;K409,"Sim","Não")</f>
        <v>Não</v>
      </c>
      <c r="Q409" s="21">
        <f>COUNTIFS(C:C,C409)</f>
        <v>1</v>
      </c>
    </row>
    <row r="410" spans="3:17" hidden="1" x14ac:dyDescent="0.35">
      <c r="C410" s="5">
        <f>_xlfn.XLOOKUP(F410,'Same Seller Hist'!H:H,'Same Seller Hist'!E:E)</f>
        <v>311489677</v>
      </c>
      <c r="D410" s="5" t="str">
        <f>_xlfn.XLOOKUP(F410,'Same Seller Hist'!H:H,'Same Seller Hist'!D:D)</f>
        <v>DF TOP MODAS</v>
      </c>
      <c r="E410" s="5">
        <f>_xlfn.XLOOKUP(F410,'Same Seller Hist'!H:H,'Same Seller Hist'!I:I)</f>
        <v>7.4961886433408102E+18</v>
      </c>
      <c r="F410" s="5" t="s">
        <v>859</v>
      </c>
      <c r="G410" s="5">
        <f>_xlfn.XLOOKUP(C410,'Same Seller Hist'!E:E,'Same Seller Hist'!F:F)</f>
        <v>0</v>
      </c>
      <c r="H410" s="19">
        <f>_xlfn.IFNA(_xlfn.XLOOKUP(C410,'Shp 500'!D:D,'Shp 500'!I:I),0)</f>
        <v>0</v>
      </c>
      <c r="I410" s="19">
        <f>_xlfn.IFNA(_xlfn.XLOOKUP(C410,'Shp 500'!D:D,'Shp 500'!J:J),0)</f>
        <v>0</v>
      </c>
      <c r="J410" s="19">
        <v>206.45161290322579</v>
      </c>
      <c r="K410" s="19">
        <v>7435.4838709677415</v>
      </c>
      <c r="L410" s="21" t="s">
        <v>2530</v>
      </c>
      <c r="M410" s="21" t="str">
        <f>IF(L410="Shp 500","Sim",IF(ISNA(_xlfn.XLOOKUP(C410,'Shp 500'!D:D,'Shp 500'!D:D)),"Não","Sim"))</f>
        <v>Não</v>
      </c>
      <c r="N410" s="21" t="str">
        <f>IF(L410="Fastmoss 500","Sim",IF(ISNA(_xlfn.XLOOKUP(_xlfn.XLOOKUP(C410,'Same Seller Hist'!E:E,'Same Seller Hist'!H:H),'Fastmoss 500'!D:D,'Fastmoss 500'!D:D)),"Não","Sim"))</f>
        <v>Sim</v>
      </c>
      <c r="O410" s="21" t="str">
        <f>IF(AND(M410="Sim",N410="Sim"),"Sim","Não")</f>
        <v>Não</v>
      </c>
      <c r="P410" s="21" t="str">
        <f>IF(I410&gt;K410,"Sim","Não")</f>
        <v>Não</v>
      </c>
      <c r="Q410" s="21">
        <f>COUNTIFS(C:C,C410)</f>
        <v>1</v>
      </c>
    </row>
    <row r="411" spans="3:17" hidden="1" x14ac:dyDescent="0.35">
      <c r="C411" s="5">
        <f>_xlfn.XLOOKUP(F411,'Same Seller Hist'!H:H,'Same Seller Hist'!E:E)</f>
        <v>372238728</v>
      </c>
      <c r="D411" s="5" t="str">
        <f>_xlfn.XLOOKUP(F411,'Same Seller Hist'!H:H,'Same Seller Hist'!D:D)</f>
        <v>micasadecor</v>
      </c>
      <c r="E411" s="5">
        <f>_xlfn.XLOOKUP(F411,'Same Seller Hist'!H:H,'Same Seller Hist'!I:I)</f>
        <v>7.4942117658811095E+18</v>
      </c>
      <c r="F411" s="5" t="s">
        <v>882</v>
      </c>
      <c r="G411" s="5">
        <f>_xlfn.XLOOKUP(C411,'Same Seller Hist'!E:E,'Same Seller Hist'!F:F)</f>
        <v>0</v>
      </c>
      <c r="H411" s="19">
        <f>_xlfn.IFNA(_xlfn.XLOOKUP(C411,'Shp 500'!D:D,'Shp 500'!I:I),0)</f>
        <v>0</v>
      </c>
      <c r="I411" s="19">
        <f>_xlfn.IFNA(_xlfn.XLOOKUP(C411,'Shp 500'!D:D,'Shp 500'!J:J),0)</f>
        <v>0</v>
      </c>
      <c r="J411" s="19">
        <v>206.45161290322579</v>
      </c>
      <c r="K411" s="19">
        <v>9045.1612903225814</v>
      </c>
      <c r="L411" s="21" t="s">
        <v>2530</v>
      </c>
      <c r="M411" s="21" t="str">
        <f>IF(L411="Shp 500","Sim",IF(ISNA(_xlfn.XLOOKUP(C411,'Shp 500'!D:D,'Shp 500'!D:D)),"Não","Sim"))</f>
        <v>Não</v>
      </c>
      <c r="N411" s="21" t="str">
        <f>IF(L411="Fastmoss 500","Sim",IF(ISNA(_xlfn.XLOOKUP(_xlfn.XLOOKUP(C411,'Same Seller Hist'!E:E,'Same Seller Hist'!H:H),'Fastmoss 500'!D:D,'Fastmoss 500'!D:D)),"Não","Sim"))</f>
        <v>Sim</v>
      </c>
      <c r="O411" s="21" t="str">
        <f>IF(AND(M411="Sim",N411="Sim"),"Sim","Não")</f>
        <v>Não</v>
      </c>
      <c r="P411" s="21" t="str">
        <f>IF(I411&gt;K411,"Sim","Não")</f>
        <v>Não</v>
      </c>
      <c r="Q411" s="21">
        <f>COUNTIFS(C:C,C411)</f>
        <v>1</v>
      </c>
    </row>
    <row r="412" spans="3:17" hidden="1" x14ac:dyDescent="0.35">
      <c r="C412" s="5">
        <f>_xlfn.XLOOKUP(F412,'Same Seller Hist'!H:H,'Same Seller Hist'!E:E)</f>
        <v>557450125</v>
      </c>
      <c r="D412" s="5" t="str">
        <f>_xlfn.XLOOKUP(F412,'Same Seller Hist'!H:H,'Same Seller Hist'!D:D)</f>
        <v>PW ECOMM</v>
      </c>
      <c r="E412" s="5">
        <f>_xlfn.XLOOKUP(F412,'Same Seller Hist'!H:H,'Same Seller Hist'!I:I)</f>
        <v>7.4941196415581798E+18</v>
      </c>
      <c r="F412" s="5" t="s">
        <v>894</v>
      </c>
      <c r="G412" s="5">
        <f>_xlfn.XLOOKUP(C412,'Same Seller Hist'!E:E,'Same Seller Hist'!F:F)</f>
        <v>0</v>
      </c>
      <c r="H412" s="19">
        <f>_xlfn.IFNA(_xlfn.XLOOKUP(C412,'Shp 500'!D:D,'Shp 500'!I:I),0)</f>
        <v>0</v>
      </c>
      <c r="I412" s="19">
        <f>_xlfn.IFNA(_xlfn.XLOOKUP(C412,'Shp 500'!D:D,'Shp 500'!J:J),0)</f>
        <v>0</v>
      </c>
      <c r="J412" s="19">
        <v>203.2258064516129</v>
      </c>
      <c r="K412" s="19">
        <v>2638.7096774193546</v>
      </c>
      <c r="L412" s="21" t="s">
        <v>2530</v>
      </c>
      <c r="M412" s="21" t="str">
        <f>IF(L412="Shp 500","Sim",IF(ISNA(_xlfn.XLOOKUP(C412,'Shp 500'!D:D,'Shp 500'!D:D)),"Não","Sim"))</f>
        <v>Não</v>
      </c>
      <c r="N412" s="21" t="str">
        <f>IF(L412="Fastmoss 500","Sim",IF(ISNA(_xlfn.XLOOKUP(_xlfn.XLOOKUP(C412,'Same Seller Hist'!E:E,'Same Seller Hist'!H:H),'Fastmoss 500'!D:D,'Fastmoss 500'!D:D)),"Não","Sim"))</f>
        <v>Sim</v>
      </c>
      <c r="O412" s="21" t="str">
        <f>IF(AND(M412="Sim",N412="Sim"),"Sim","Não")</f>
        <v>Não</v>
      </c>
      <c r="P412" s="21" t="str">
        <f>IF(I412&gt;K412,"Sim","Não")</f>
        <v>Não</v>
      </c>
      <c r="Q412" s="21">
        <f>COUNTIFS(C:C,C412)</f>
        <v>1</v>
      </c>
    </row>
    <row r="413" spans="3:17" hidden="1" x14ac:dyDescent="0.35">
      <c r="C413" s="5">
        <f>_xlfn.XLOOKUP(F413,'Same Seller Hist'!H:H,'Same Seller Hist'!E:E)</f>
        <v>450546427</v>
      </c>
      <c r="D413" s="5" t="str">
        <f>_xlfn.XLOOKUP(F413,'Same Seller Hist'!H:H,'Same Seller Hist'!D:D)</f>
        <v>SUPER LAR</v>
      </c>
      <c r="E413" s="5">
        <f>_xlfn.XLOOKUP(F413,'Same Seller Hist'!H:H,'Same Seller Hist'!I:I)</f>
        <v>7.4961617264784497E+18</v>
      </c>
      <c r="F413" s="5" t="s">
        <v>582</v>
      </c>
      <c r="G413" s="5" t="str">
        <f>_xlfn.XLOOKUP(C413,'Same Seller Hist'!E:E,'Same Seller Hist'!F:F)</f>
        <v>Lifestyle</v>
      </c>
      <c r="H413" s="19">
        <f>_xlfn.IFNA(_xlfn.XLOOKUP(C413,'Shp 500'!D:D,'Shp 500'!I:I),0)</f>
        <v>0</v>
      </c>
      <c r="I413" s="19">
        <f>_xlfn.IFNA(_xlfn.XLOOKUP(C413,'Shp 500'!D:D,'Shp 500'!J:J),0)</f>
        <v>0</v>
      </c>
      <c r="J413" s="19">
        <v>203.2258064516129</v>
      </c>
      <c r="K413" s="19">
        <v>4770.9677419354839</v>
      </c>
      <c r="L413" s="21" t="s">
        <v>2530</v>
      </c>
      <c r="M413" s="21" t="str">
        <f>IF(L413="Shp 500","Sim",IF(ISNA(_xlfn.XLOOKUP(C413,'Shp 500'!D:D,'Shp 500'!D:D)),"Não","Sim"))</f>
        <v>Não</v>
      </c>
      <c r="N413" s="21" t="str">
        <f>IF(L413="Fastmoss 500","Sim",IF(ISNA(_xlfn.XLOOKUP(_xlfn.XLOOKUP(C413,'Same Seller Hist'!E:E,'Same Seller Hist'!H:H),'Fastmoss 500'!D:D,'Fastmoss 500'!D:D)),"Não","Sim"))</f>
        <v>Sim</v>
      </c>
      <c r="O413" s="21" t="str">
        <f>IF(AND(M413="Sim",N413="Sim"),"Sim","Não")</f>
        <v>Não</v>
      </c>
      <c r="P413" s="21" t="str">
        <f>IF(I413&gt;K413,"Sim","Não")</f>
        <v>Não</v>
      </c>
      <c r="Q413" s="21">
        <f>COUNTIFS(C:C,C413)</f>
        <v>1</v>
      </c>
    </row>
    <row r="414" spans="3:17" x14ac:dyDescent="0.35">
      <c r="C414" s="5">
        <v>1430626556</v>
      </c>
      <c r="D414" s="5" t="s">
        <v>1317</v>
      </c>
      <c r="E414" s="5">
        <f>_xlfn.XLOOKUP(C414,'Same Seller Hist'!E:E,'Same Seller Hist'!I:I)</f>
        <v>7.4942416334340403E+18</v>
      </c>
      <c r="F414" s="5" t="str">
        <f>_xlfn.XLOOKUP(C414,'Same Seller Hist'!E:E,'Same Seller Hist'!H:H)</f>
        <v>New Show BR</v>
      </c>
      <c r="G414" s="5" t="s">
        <v>1734</v>
      </c>
      <c r="H414" s="19">
        <v>2634.1290322580644</v>
      </c>
      <c r="I414" s="19">
        <v>10867.422575253418</v>
      </c>
      <c r="J414" s="19">
        <f>_xlfn.IFNA(_xlfn.XLOOKUP(F414,'Fastmoss 500'!D:D,'Fastmoss 500'!O:O),0)</f>
        <v>438.70967741935482</v>
      </c>
      <c r="K414" s="19">
        <f>_xlfn.IFNA(_xlfn.XLOOKUP(F414,'Fastmoss 500'!D:D,'Fastmoss 500'!N:N),0)</f>
        <v>4348.3870967741932</v>
      </c>
      <c r="L414" s="21" t="s">
        <v>2528</v>
      </c>
      <c r="M414" s="21" t="str">
        <f>IF(L414="Shp 500","Sim",IF(ISNA(_xlfn.XLOOKUP(C414,'Shp 500'!D:D,'Shp 500'!D:D)),"Não","Sim"))</f>
        <v>Sim</v>
      </c>
      <c r="N414" s="21" t="str">
        <f>IF(L414="Fastmoss 500","Sim",IF(ISNA(_xlfn.XLOOKUP(_xlfn.XLOOKUP(C414,'Same Seller Hist'!E:E,'Same Seller Hist'!H:H),'Fastmoss 500'!D:D,'Fastmoss 500'!D:D)),"Não","Sim"))</f>
        <v>Sim</v>
      </c>
      <c r="O414" s="21" t="str">
        <f>IF(AND(M414="Sim",N414="Sim"),"Sim","Não")</f>
        <v>Sim</v>
      </c>
      <c r="P414" s="21" t="str">
        <f>IF(I414&gt;K414,"Sim","Não")</f>
        <v>Sim</v>
      </c>
      <c r="Q414" s="21">
        <f>COUNTIFS(C:C,C414)</f>
        <v>2</v>
      </c>
    </row>
    <row r="415" spans="3:17" hidden="1" x14ac:dyDescent="0.35">
      <c r="C415" s="5">
        <f>_xlfn.XLOOKUP(F415,'Same Seller Hist'!H:H,'Same Seller Hist'!E:E)</f>
        <v>316082146</v>
      </c>
      <c r="D415" s="5" t="str">
        <f>_xlfn.XLOOKUP(F415,'Same Seller Hist'!H:H,'Same Seller Hist'!D:D)</f>
        <v>By.MaisonStore</v>
      </c>
      <c r="E415" s="5">
        <f>_xlfn.XLOOKUP(F415,'Same Seller Hist'!H:H,'Same Seller Hist'!I:I)</f>
        <v>7.4942360840209295E+18</v>
      </c>
      <c r="F415" s="5" t="s">
        <v>853</v>
      </c>
      <c r="G415" s="5">
        <f>_xlfn.XLOOKUP(C415,'Same Seller Hist'!E:E,'Same Seller Hist'!F:F)</f>
        <v>0</v>
      </c>
      <c r="H415" s="19">
        <f>_xlfn.IFNA(_xlfn.XLOOKUP(C415,'Shp 500'!D:D,'Shp 500'!I:I),0)</f>
        <v>0</v>
      </c>
      <c r="I415" s="19">
        <f>_xlfn.IFNA(_xlfn.XLOOKUP(C415,'Shp 500'!D:D,'Shp 500'!J:J),0)</f>
        <v>0</v>
      </c>
      <c r="J415" s="19">
        <v>203.2258064516129</v>
      </c>
      <c r="K415" s="19">
        <v>45161.290322580644</v>
      </c>
      <c r="L415" s="21" t="s">
        <v>2530</v>
      </c>
      <c r="M415" s="21" t="str">
        <f>IF(L415="Shp 500","Sim",IF(ISNA(_xlfn.XLOOKUP(C415,'Shp 500'!D:D,'Shp 500'!D:D)),"Não","Sim"))</f>
        <v>Não</v>
      </c>
      <c r="N415" s="21" t="str">
        <f>IF(L415="Fastmoss 500","Sim",IF(ISNA(_xlfn.XLOOKUP(_xlfn.XLOOKUP(C415,'Same Seller Hist'!E:E,'Same Seller Hist'!H:H),'Fastmoss 500'!D:D,'Fastmoss 500'!D:D)),"Não","Sim"))</f>
        <v>Sim</v>
      </c>
      <c r="O415" s="21" t="str">
        <f>IF(AND(M415="Sim",N415="Sim"),"Sim","Não")</f>
        <v>Não</v>
      </c>
      <c r="P415" s="21" t="str">
        <f>IF(I415&gt;K415,"Sim","Não")</f>
        <v>Não</v>
      </c>
      <c r="Q415" s="21">
        <f>COUNTIFS(C:C,C415)</f>
        <v>1</v>
      </c>
    </row>
    <row r="416" spans="3:17" hidden="1" x14ac:dyDescent="0.35">
      <c r="C416" s="5">
        <f>_xlfn.XLOOKUP(F416,'Same Seller Hist'!H:H,'Same Seller Hist'!E:E)</f>
        <v>458312705</v>
      </c>
      <c r="D416" s="5" t="str">
        <f>_xlfn.XLOOKUP(F416,'Same Seller Hist'!H:H,'Same Seller Hist'!D:D)</f>
        <v>Olivia Chic</v>
      </c>
      <c r="E416" s="5">
        <f>_xlfn.XLOOKUP(F416,'Same Seller Hist'!H:H,'Same Seller Hist'!I:I)</f>
        <v>7.4963148321252004E+18</v>
      </c>
      <c r="F416" s="5" t="s">
        <v>889</v>
      </c>
      <c r="G416" s="5">
        <f>_xlfn.XLOOKUP(C416,'Same Seller Hist'!E:E,'Same Seller Hist'!F:F)</f>
        <v>0</v>
      </c>
      <c r="H416" s="19">
        <f>_xlfn.IFNA(_xlfn.XLOOKUP(C416,'Shp 500'!D:D,'Shp 500'!I:I),0)</f>
        <v>0</v>
      </c>
      <c r="I416" s="19">
        <f>_xlfn.IFNA(_xlfn.XLOOKUP(C416,'Shp 500'!D:D,'Shp 500'!J:J),0)</f>
        <v>0</v>
      </c>
      <c r="J416" s="19">
        <v>203.2258064516129</v>
      </c>
      <c r="K416" s="19">
        <v>7325.8064516129034</v>
      </c>
      <c r="L416" s="21" t="s">
        <v>2530</v>
      </c>
      <c r="M416" s="21" t="str">
        <f>IF(L416="Shp 500","Sim",IF(ISNA(_xlfn.XLOOKUP(C416,'Shp 500'!D:D,'Shp 500'!D:D)),"Não","Sim"))</f>
        <v>Não</v>
      </c>
      <c r="N416" s="21" t="str">
        <f>IF(L416="Fastmoss 500","Sim",IF(ISNA(_xlfn.XLOOKUP(_xlfn.XLOOKUP(C416,'Same Seller Hist'!E:E,'Same Seller Hist'!H:H),'Fastmoss 500'!D:D,'Fastmoss 500'!D:D)),"Não","Sim"))</f>
        <v>Sim</v>
      </c>
      <c r="O416" s="21" t="str">
        <f>IF(AND(M416="Sim",N416="Sim"),"Sim","Não")</f>
        <v>Não</v>
      </c>
      <c r="P416" s="21" t="str">
        <f>IF(I416&gt;K416,"Sim","Não")</f>
        <v>Não</v>
      </c>
      <c r="Q416" s="21">
        <f>COUNTIFS(C:C,C416)</f>
        <v>1</v>
      </c>
    </row>
    <row r="417" spans="3:17" hidden="1" x14ac:dyDescent="0.35">
      <c r="C417" s="5">
        <f>_xlfn.XLOOKUP(F417,'Same Seller Hist'!H:H,'Same Seller Hist'!E:E)</f>
        <v>1448347966</v>
      </c>
      <c r="D417" s="5" t="str">
        <f>_xlfn.XLOOKUP(F417,'Same Seller Hist'!H:H,'Same Seller Hist'!D:D)</f>
        <v>Big Produtos e Variedades</v>
      </c>
      <c r="E417" s="5">
        <f>_xlfn.XLOOKUP(F417,'Same Seller Hist'!H:H,'Same Seller Hist'!I:I)</f>
        <v>7.4961533937958605E+18</v>
      </c>
      <c r="F417" s="5" t="s">
        <v>265</v>
      </c>
      <c r="G417" s="5" t="str">
        <f>_xlfn.XLOOKUP(C417,'Same Seller Hist'!E:E,'Same Seller Hist'!F:F)</f>
        <v>Fashion</v>
      </c>
      <c r="H417" s="19">
        <f>_xlfn.IFNA(_xlfn.XLOOKUP(C417,'Shp 500'!D:D,'Shp 500'!I:I),0)</f>
        <v>0</v>
      </c>
      <c r="I417" s="19">
        <f>_xlfn.IFNA(_xlfn.XLOOKUP(C417,'Shp 500'!D:D,'Shp 500'!J:J),0)</f>
        <v>0</v>
      </c>
      <c r="J417" s="19">
        <v>203.2258064516129</v>
      </c>
      <c r="K417" s="19">
        <v>9087.0967741935492</v>
      </c>
      <c r="L417" s="21" t="s">
        <v>2530</v>
      </c>
      <c r="M417" s="21" t="str">
        <f>IF(L417="Shp 500","Sim",IF(ISNA(_xlfn.XLOOKUP(C417,'Shp 500'!D:D,'Shp 500'!D:D)),"Não","Sim"))</f>
        <v>Não</v>
      </c>
      <c r="N417" s="21" t="str">
        <f>IF(L417="Fastmoss 500","Sim",IF(ISNA(_xlfn.XLOOKUP(_xlfn.XLOOKUP(C417,'Same Seller Hist'!E:E,'Same Seller Hist'!H:H),'Fastmoss 500'!D:D,'Fastmoss 500'!D:D)),"Não","Sim"))</f>
        <v>Sim</v>
      </c>
      <c r="O417" s="21" t="str">
        <f>IF(AND(M417="Sim",N417="Sim"),"Sim","Não")</f>
        <v>Não</v>
      </c>
      <c r="P417" s="21" t="str">
        <f>IF(I417&gt;K417,"Sim","Não")</f>
        <v>Não</v>
      </c>
      <c r="Q417" s="21">
        <f>COUNTIFS(C:C,C417)</f>
        <v>1</v>
      </c>
    </row>
    <row r="418" spans="3:17" x14ac:dyDescent="0.35">
      <c r="C418" s="5">
        <f>_xlfn.XLOOKUP(F418,'Same Seller Hist'!H:H,'Same Seller Hist'!E:E)</f>
        <v>1430626556</v>
      </c>
      <c r="D418" s="5" t="str">
        <f>_xlfn.XLOOKUP(F418,'Same Seller Hist'!H:H,'Same Seller Hist'!D:D)</f>
        <v>New Show BR</v>
      </c>
      <c r="E418" s="5">
        <f>_xlfn.XLOOKUP(F418,'Same Seller Hist'!H:H,'Same Seller Hist'!I:I)</f>
        <v>7.4942416334340403E+18</v>
      </c>
      <c r="F418" s="5" t="s">
        <v>887</v>
      </c>
      <c r="G418" s="5">
        <f>_xlfn.XLOOKUP(C418,'Same Seller Hist'!E:E,'Same Seller Hist'!F:F)</f>
        <v>0</v>
      </c>
      <c r="H418" s="19">
        <f>_xlfn.IFNA(_xlfn.XLOOKUP(C418,'Shp 500'!D:D,'Shp 500'!I:I),0)</f>
        <v>2634.1290322580644</v>
      </c>
      <c r="I418" s="19">
        <f>_xlfn.IFNA(_xlfn.XLOOKUP(C418,'Shp 500'!D:D,'Shp 500'!J:J),0)</f>
        <v>10867.422575253418</v>
      </c>
      <c r="J418" s="19">
        <v>438.70967741935482</v>
      </c>
      <c r="K418" s="19">
        <v>4348.3870967741932</v>
      </c>
      <c r="L418" s="21" t="s">
        <v>2530</v>
      </c>
      <c r="M418" s="21" t="str">
        <f>IF(L418="Shp 500","Sim",IF(ISNA(_xlfn.XLOOKUP(C418,'Shp 500'!D:D,'Shp 500'!D:D)),"Não","Sim"))</f>
        <v>Sim</v>
      </c>
      <c r="N418" s="21" t="str">
        <f>IF(L418="Fastmoss 500","Sim",IF(ISNA(_xlfn.XLOOKUP(_xlfn.XLOOKUP(C418,'Same Seller Hist'!E:E,'Same Seller Hist'!H:H),'Fastmoss 500'!D:D,'Fastmoss 500'!D:D)),"Não","Sim"))</f>
        <v>Sim</v>
      </c>
      <c r="O418" s="21" t="str">
        <f>IF(AND(M418="Sim",N418="Sim"),"Sim","Não")</f>
        <v>Sim</v>
      </c>
      <c r="P418" s="21" t="str">
        <f>IF(I418&gt;K418,"Sim","Não")</f>
        <v>Sim</v>
      </c>
      <c r="Q418" s="21">
        <f>COUNTIFS(C:C,C418)</f>
        <v>2</v>
      </c>
    </row>
    <row r="419" spans="3:17" hidden="1" x14ac:dyDescent="0.35">
      <c r="C419" s="5">
        <f>_xlfn.XLOOKUP(F419,'Same Seller Hist'!H:H,'Same Seller Hist'!E:E)</f>
        <v>1369557762</v>
      </c>
      <c r="D419" s="5" t="str">
        <f>_xlfn.XLOOKUP(F419,'Same Seller Hist'!H:H,'Same Seller Hist'!D:D)</f>
        <v>Philklen</v>
      </c>
      <c r="E419" s="5">
        <f>_xlfn.XLOOKUP(F419,'Same Seller Hist'!H:H,'Same Seller Hist'!I:I)</f>
        <v>7.4962556492550902E+18</v>
      </c>
      <c r="F419" s="5" t="s">
        <v>891</v>
      </c>
      <c r="G419" s="5">
        <f>_xlfn.XLOOKUP(C419,'Same Seller Hist'!E:E,'Same Seller Hist'!F:F)</f>
        <v>0</v>
      </c>
      <c r="H419" s="19">
        <f>_xlfn.IFNA(_xlfn.XLOOKUP(C419,'Shp 500'!D:D,'Shp 500'!I:I),0)</f>
        <v>0</v>
      </c>
      <c r="I419" s="19">
        <f>_xlfn.IFNA(_xlfn.XLOOKUP(C419,'Shp 500'!D:D,'Shp 500'!J:J),0)</f>
        <v>0</v>
      </c>
      <c r="J419" s="19">
        <v>203.2258064516129</v>
      </c>
      <c r="K419" s="19">
        <v>7429.0322580645161</v>
      </c>
      <c r="L419" s="21" t="s">
        <v>2530</v>
      </c>
      <c r="M419" s="21" t="str">
        <f>IF(L419="Shp 500","Sim",IF(ISNA(_xlfn.XLOOKUP(C419,'Shp 500'!D:D,'Shp 500'!D:D)),"Não","Sim"))</f>
        <v>Não</v>
      </c>
      <c r="N419" s="21" t="str">
        <f>IF(L419="Fastmoss 500","Sim",IF(ISNA(_xlfn.XLOOKUP(_xlfn.XLOOKUP(C419,'Same Seller Hist'!E:E,'Same Seller Hist'!H:H),'Fastmoss 500'!D:D,'Fastmoss 500'!D:D)),"Não","Sim"))</f>
        <v>Sim</v>
      </c>
      <c r="O419" s="21" t="str">
        <f t="shared" ref="O356:O419" si="0">IF(AND(M419="Sim",N419="Sim"),"Sim","Não")</f>
        <v>Não</v>
      </c>
      <c r="P419" s="21" t="str">
        <f t="shared" ref="P356:P419" si="1">IF(I419&gt;K419,"Sim","Não")</f>
        <v>Não</v>
      </c>
      <c r="Q419" s="21">
        <f t="shared" ref="Q393:Q422" si="2">COUNTIFS(C:C,C419)</f>
        <v>1</v>
      </c>
    </row>
    <row r="420" spans="3:17" hidden="1" x14ac:dyDescent="0.35">
      <c r="C420" s="5">
        <f>_xlfn.XLOOKUP(F420,'Same Seller Hist'!H:H,'Same Seller Hist'!E:E)</f>
        <v>673316979</v>
      </c>
      <c r="D420" s="5" t="str">
        <f>_xlfn.XLOOKUP(F420,'Same Seller Hist'!H:H,'Same Seller Hist'!D:D)</f>
        <v>Veneza Enxovais</v>
      </c>
      <c r="E420" s="5">
        <f>_xlfn.XLOOKUP(F420,'Same Seller Hist'!H:H,'Same Seller Hist'!I:I)</f>
        <v>7.4962535981516401E+18</v>
      </c>
      <c r="F420" s="5" t="s">
        <v>670</v>
      </c>
      <c r="G420" s="5" t="str">
        <f>_xlfn.XLOOKUP(C420,'Same Seller Hist'!E:E,'Same Seller Hist'!F:F)</f>
        <v>Lifestyle</v>
      </c>
      <c r="H420" s="19">
        <f>_xlfn.IFNA(_xlfn.XLOOKUP(C420,'Shp 500'!D:D,'Shp 500'!I:I),0)</f>
        <v>0</v>
      </c>
      <c r="I420" s="19">
        <f>_xlfn.IFNA(_xlfn.XLOOKUP(C420,'Shp 500'!D:D,'Shp 500'!J:J),0)</f>
        <v>0</v>
      </c>
      <c r="J420" s="19">
        <v>200</v>
      </c>
      <c r="K420" s="19">
        <v>6370.9677419354839</v>
      </c>
      <c r="L420" s="21" t="s">
        <v>2530</v>
      </c>
      <c r="M420" s="21" t="str">
        <f>IF(L420="Shp 500","Sim",IF(ISNA(_xlfn.XLOOKUP(C420,'Shp 500'!D:D,'Shp 500'!D:D)),"Não","Sim"))</f>
        <v>Não</v>
      </c>
      <c r="N420" s="21" t="str">
        <f>IF(L420="Fastmoss 500","Sim",IF(ISNA(_xlfn.XLOOKUP(_xlfn.XLOOKUP(C420,'Same Seller Hist'!E:E,'Same Seller Hist'!H:H),'Fastmoss 500'!D:D,'Fastmoss 500'!D:D)),"Não","Sim"))</f>
        <v>Sim</v>
      </c>
      <c r="O420" s="21" t="str">
        <f t="shared" ref="O420:O422" si="3">IF(AND(M420="Sim",N420="Sim"),"Sim","Não")</f>
        <v>Não</v>
      </c>
      <c r="P420" s="21" t="str">
        <f t="shared" ref="P420:P422" si="4">IF(I420&gt;K420,"Sim","Não")</f>
        <v>Não</v>
      </c>
      <c r="Q420" s="21">
        <f t="shared" si="2"/>
        <v>1</v>
      </c>
    </row>
    <row r="421" spans="3:17" hidden="1" x14ac:dyDescent="0.35">
      <c r="C421" s="5">
        <f>_xlfn.XLOOKUP(F421,'Same Seller Hist'!H:H,'Same Seller Hist'!E:E)</f>
        <v>1399263967</v>
      </c>
      <c r="D421" s="5" t="str">
        <f>_xlfn.XLOOKUP(F421,'Same Seller Hist'!H:H,'Same Seller Hist'!D:D)</f>
        <v>KAMIANIMALS</v>
      </c>
      <c r="E421" s="5">
        <f>_xlfn.XLOOKUP(F421,'Same Seller Hist'!H:H,'Same Seller Hist'!I:I)</f>
        <v>7.4961725030229299E+18</v>
      </c>
      <c r="F421" s="5" t="s">
        <v>247</v>
      </c>
      <c r="G421" s="5" t="str">
        <f>_xlfn.XLOOKUP(C421,'Same Seller Hist'!E:E,'Same Seller Hist'!F:F)</f>
        <v>FMCG</v>
      </c>
      <c r="H421" s="19">
        <f>_xlfn.IFNA(_xlfn.XLOOKUP(C421,'Shp 500'!D:D,'Shp 500'!I:I),0)</f>
        <v>0</v>
      </c>
      <c r="I421" s="19">
        <f>_xlfn.IFNA(_xlfn.XLOOKUP(C421,'Shp 500'!D:D,'Shp 500'!J:J),0)</f>
        <v>0</v>
      </c>
      <c r="J421" s="19">
        <v>200</v>
      </c>
      <c r="K421" s="19">
        <v>3677.4193548387098</v>
      </c>
      <c r="L421" s="21" t="s">
        <v>2530</v>
      </c>
      <c r="M421" s="21" t="str">
        <f>IF(L421="Shp 500","Sim",IF(ISNA(_xlfn.XLOOKUP(C421,'Shp 500'!D:D,'Shp 500'!D:D)),"Não","Sim"))</f>
        <v>Não</v>
      </c>
      <c r="N421" s="21" t="str">
        <f>IF(L421="Fastmoss 500","Sim",IF(ISNA(_xlfn.XLOOKUP(_xlfn.XLOOKUP(C421,'Same Seller Hist'!E:E,'Same Seller Hist'!H:H),'Fastmoss 500'!D:D,'Fastmoss 500'!D:D)),"Não","Sim"))</f>
        <v>Sim</v>
      </c>
      <c r="O421" s="21" t="str">
        <f t="shared" si="3"/>
        <v>Não</v>
      </c>
      <c r="P421" s="21" t="str">
        <f t="shared" si="4"/>
        <v>Não</v>
      </c>
      <c r="Q421" s="21">
        <f t="shared" si="2"/>
        <v>1</v>
      </c>
    </row>
    <row r="422" spans="3:17" hidden="1" x14ac:dyDescent="0.35">
      <c r="C422" s="5">
        <f>_xlfn.XLOOKUP(F422,'Same Seller Hist'!H:H,'Same Seller Hist'!E:E)</f>
        <v>427106553</v>
      </c>
      <c r="D422" s="5" t="str">
        <f>_xlfn.XLOOKUP(F422,'Same Seller Hist'!H:H,'Same Seller Hist'!D:D)</f>
        <v>Forever Liss</v>
      </c>
      <c r="E422" s="5">
        <f>_xlfn.XLOOKUP(F422,'Same Seller Hist'!H:H,'Same Seller Hist'!I:I)</f>
        <v>7.4961529166007101E+18</v>
      </c>
      <c r="F422" s="5" t="s">
        <v>564</v>
      </c>
      <c r="G422" s="5" t="str">
        <f>_xlfn.XLOOKUP(C422,'Same Seller Hist'!E:E,'Same Seller Hist'!F:F)</f>
        <v>FMCG</v>
      </c>
      <c r="H422" s="19">
        <f>_xlfn.IFNA(_xlfn.XLOOKUP(C422,'Shp 500'!D:D,'Shp 500'!I:I),0)</f>
        <v>0</v>
      </c>
      <c r="I422" s="19">
        <f>_xlfn.IFNA(_xlfn.XLOOKUP(C422,'Shp 500'!D:D,'Shp 500'!J:J),0)</f>
        <v>0</v>
      </c>
      <c r="J422" s="19">
        <v>200</v>
      </c>
      <c r="K422" s="19">
        <v>7561.2903225806449</v>
      </c>
      <c r="L422" s="21" t="s">
        <v>2530</v>
      </c>
      <c r="M422" s="21" t="str">
        <f>IF(L422="Shp 500","Sim",IF(ISNA(_xlfn.XLOOKUP(C422,'Shp 500'!D:D,'Shp 500'!D:D)),"Não","Sim"))</f>
        <v>Não</v>
      </c>
      <c r="N422" s="21" t="str">
        <f>IF(L422="Fastmoss 500","Sim",IF(ISNA(_xlfn.XLOOKUP(_xlfn.XLOOKUP(C422,'Same Seller Hist'!E:E,'Same Seller Hist'!H:H),'Fastmoss 500'!D:D,'Fastmoss 500'!D:D)),"Não","Sim"))</f>
        <v>Sim</v>
      </c>
      <c r="O422" s="21" t="str">
        <f t="shared" si="3"/>
        <v>Não</v>
      </c>
      <c r="P422" s="21" t="str">
        <f t="shared" si="4"/>
        <v>Não</v>
      </c>
      <c r="Q422" s="21">
        <f t="shared" si="2"/>
        <v>1</v>
      </c>
    </row>
  </sheetData>
  <autoFilter ref="C7:Q422" xr:uid="{6146805A-AD85-43E4-A401-B6D0DC75B240}">
    <filterColumn colId="14">
      <filters>
        <filter val="2"/>
      </filters>
    </filterColumn>
    <sortState xmlns:xlrd2="http://schemas.microsoft.com/office/spreadsheetml/2017/richdata2" ref="C8:Q418">
      <sortCondition ref="C7:C42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61187-F57A-4C9B-A15D-72C4D2026E45}">
  <sheetPr>
    <tabColor rgb="FFEE4D2D"/>
  </sheetPr>
  <dimension ref="A1"/>
  <sheetViews>
    <sheetView zoomScale="70" zoomScaleNormal="70"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0E48-792B-46D1-A587-038624EEE1CA}">
  <sheetPr>
    <tabColor theme="1"/>
  </sheetPr>
  <dimension ref="B1:K100"/>
  <sheetViews>
    <sheetView zoomScale="70" zoomScaleNormal="70" workbookViewId="0">
      <selection activeCell="K8" sqref="K8"/>
    </sheetView>
  </sheetViews>
  <sheetFormatPr defaultRowHeight="14.5" x14ac:dyDescent="0.35"/>
  <cols>
    <col min="1" max="2" width="2.6328125" customWidth="1"/>
    <col min="3" max="9" width="13.6328125" customWidth="1"/>
    <col min="10" max="10" width="13.1796875" bestFit="1" customWidth="1"/>
    <col min="11" max="11" width="12.81640625" customWidth="1"/>
  </cols>
  <sheetData>
    <row r="1" spans="2:11" s="1" customFormat="1" x14ac:dyDescent="0.35"/>
    <row r="2" spans="2:11" s="1" customFormat="1" x14ac:dyDescent="0.35"/>
    <row r="3" spans="2:11" s="1" customFormat="1" ht="21" x14ac:dyDescent="0.5">
      <c r="B3" s="4" t="s">
        <v>37</v>
      </c>
    </row>
    <row r="4" spans="2:11" s="1" customFormat="1" x14ac:dyDescent="0.35">
      <c r="B4" s="6" t="s">
        <v>35</v>
      </c>
    </row>
    <row r="5" spans="2:11" s="2" customFormat="1" x14ac:dyDescent="0.35"/>
    <row r="7" spans="2:11" x14ac:dyDescent="0.35">
      <c r="C7" s="3" t="s">
        <v>0</v>
      </c>
      <c r="D7" s="3" t="s">
        <v>5</v>
      </c>
      <c r="E7" s="3" t="s">
        <v>6</v>
      </c>
      <c r="F7" s="3" t="s">
        <v>24</v>
      </c>
      <c r="G7" s="3" t="s">
        <v>41</v>
      </c>
      <c r="H7" s="3" t="s">
        <v>12</v>
      </c>
      <c r="I7" s="7" t="s">
        <v>22</v>
      </c>
      <c r="J7" s="7" t="s">
        <v>1</v>
      </c>
      <c r="K7" s="7" t="s">
        <v>36</v>
      </c>
    </row>
    <row r="8" spans="2:11" x14ac:dyDescent="0.35">
      <c r="C8" s="5"/>
      <c r="D8" s="5"/>
      <c r="E8" s="5"/>
      <c r="F8" s="5"/>
      <c r="G8" s="5"/>
      <c r="H8" s="5"/>
      <c r="I8" s="8"/>
      <c r="J8" s="8"/>
      <c r="K8" s="8"/>
    </row>
    <row r="9" spans="2:11" x14ac:dyDescent="0.35">
      <c r="C9" s="5"/>
      <c r="D9" s="5"/>
      <c r="E9" s="5"/>
      <c r="F9" s="5"/>
      <c r="G9" s="5"/>
      <c r="H9" s="5"/>
      <c r="I9" s="8"/>
      <c r="J9" s="8"/>
      <c r="K9" s="8"/>
    </row>
    <row r="10" spans="2:11" x14ac:dyDescent="0.35">
      <c r="C10" s="5"/>
      <c r="D10" s="5"/>
      <c r="E10" s="5"/>
      <c r="F10" s="5"/>
      <c r="G10" s="5"/>
      <c r="H10" s="5"/>
      <c r="I10" s="8"/>
      <c r="J10" s="8"/>
      <c r="K10" s="8"/>
    </row>
    <row r="11" spans="2:11" x14ac:dyDescent="0.35">
      <c r="C11" s="5"/>
      <c r="D11" s="5"/>
      <c r="E11" s="5"/>
      <c r="F11" s="5"/>
      <c r="G11" s="5"/>
      <c r="H11" s="5"/>
      <c r="I11" s="8"/>
      <c r="J11" s="8"/>
      <c r="K11" s="8"/>
    </row>
    <row r="12" spans="2:11" x14ac:dyDescent="0.35">
      <c r="C12" s="5"/>
      <c r="D12" s="5"/>
      <c r="E12" s="5"/>
      <c r="F12" s="5"/>
      <c r="G12" s="5"/>
      <c r="H12" s="5"/>
      <c r="I12" s="8"/>
      <c r="J12" s="8"/>
      <c r="K12" s="8"/>
    </row>
    <row r="13" spans="2:11" x14ac:dyDescent="0.35">
      <c r="C13" s="5"/>
      <c r="D13" s="5"/>
      <c r="E13" s="5"/>
      <c r="F13" s="5"/>
      <c r="G13" s="5"/>
      <c r="H13" s="5"/>
      <c r="I13" s="8"/>
      <c r="J13" s="8"/>
      <c r="K13" s="8"/>
    </row>
    <row r="14" spans="2:11" x14ac:dyDescent="0.35">
      <c r="C14" s="5"/>
      <c r="D14" s="5"/>
      <c r="E14" s="5"/>
      <c r="F14" s="5"/>
      <c r="G14" s="5"/>
      <c r="H14" s="5"/>
      <c r="I14" s="8"/>
      <c r="J14" s="8"/>
      <c r="K14" s="8"/>
    </row>
    <row r="15" spans="2:11" x14ac:dyDescent="0.35">
      <c r="C15" s="5"/>
      <c r="D15" s="5"/>
      <c r="E15" s="5"/>
      <c r="F15" s="5"/>
      <c r="G15" s="5"/>
      <c r="H15" s="5"/>
      <c r="I15" s="8"/>
      <c r="J15" s="8"/>
      <c r="K15" s="8"/>
    </row>
    <row r="16" spans="2:11" x14ac:dyDescent="0.35">
      <c r="C16" s="5"/>
      <c r="D16" s="5"/>
      <c r="E16" s="5"/>
      <c r="F16" s="5"/>
      <c r="G16" s="5"/>
      <c r="H16" s="5"/>
      <c r="I16" s="8"/>
      <c r="J16" s="8"/>
      <c r="K16" s="8"/>
    </row>
    <row r="17" spans="3:11" x14ac:dyDescent="0.35">
      <c r="C17" s="5"/>
      <c r="D17" s="5"/>
      <c r="E17" s="5"/>
      <c r="F17" s="5"/>
      <c r="G17" s="5"/>
      <c r="H17" s="5"/>
      <c r="I17" s="8"/>
      <c r="J17" s="8"/>
      <c r="K17" s="8"/>
    </row>
    <row r="18" spans="3:11" x14ac:dyDescent="0.35">
      <c r="C18" s="5"/>
      <c r="D18" s="5"/>
      <c r="E18" s="5"/>
      <c r="F18" s="5"/>
      <c r="G18" s="5"/>
      <c r="H18" s="5"/>
      <c r="I18" s="8"/>
      <c r="J18" s="8"/>
      <c r="K18" s="8"/>
    </row>
    <row r="19" spans="3:11" x14ac:dyDescent="0.35">
      <c r="C19" s="5"/>
      <c r="D19" s="5"/>
      <c r="E19" s="5"/>
      <c r="F19" s="5"/>
      <c r="G19" s="5"/>
      <c r="H19" s="5"/>
      <c r="I19" s="8"/>
      <c r="J19" s="8"/>
      <c r="K19" s="8"/>
    </row>
    <row r="20" spans="3:11" x14ac:dyDescent="0.35">
      <c r="C20" s="5"/>
      <c r="D20" s="5"/>
      <c r="E20" s="5"/>
      <c r="F20" s="5"/>
      <c r="G20" s="5"/>
      <c r="H20" s="5"/>
      <c r="I20" s="8"/>
      <c r="J20" s="8"/>
      <c r="K20" s="8"/>
    </row>
    <row r="21" spans="3:11" x14ac:dyDescent="0.35">
      <c r="C21" s="5"/>
      <c r="D21" s="5"/>
      <c r="E21" s="5"/>
      <c r="F21" s="5"/>
      <c r="G21" s="5"/>
      <c r="H21" s="5"/>
      <c r="I21" s="8"/>
      <c r="J21" s="8"/>
      <c r="K21" s="8"/>
    </row>
    <row r="22" spans="3:11" x14ac:dyDescent="0.35">
      <c r="C22" s="5"/>
      <c r="D22" s="5"/>
      <c r="E22" s="5"/>
      <c r="F22" s="5"/>
      <c r="G22" s="5"/>
      <c r="H22" s="5"/>
      <c r="I22" s="8"/>
      <c r="J22" s="8"/>
      <c r="K22" s="8"/>
    </row>
    <row r="23" spans="3:11" x14ac:dyDescent="0.35">
      <c r="C23" s="5"/>
      <c r="D23" s="5"/>
      <c r="E23" s="5"/>
      <c r="F23" s="5"/>
      <c r="G23" s="5"/>
      <c r="H23" s="5"/>
      <c r="I23" s="8"/>
      <c r="J23" s="8"/>
      <c r="K23" s="8"/>
    </row>
    <row r="24" spans="3:11" x14ac:dyDescent="0.35">
      <c r="C24" s="5"/>
      <c r="D24" s="5"/>
      <c r="E24" s="5"/>
      <c r="F24" s="5"/>
      <c r="G24" s="5"/>
      <c r="H24" s="5"/>
      <c r="I24" s="8"/>
      <c r="J24" s="8"/>
      <c r="K24" s="8"/>
    </row>
    <row r="25" spans="3:11" x14ac:dyDescent="0.35">
      <c r="C25" s="5"/>
      <c r="D25" s="5"/>
      <c r="E25" s="5"/>
      <c r="F25" s="5"/>
      <c r="G25" s="5"/>
      <c r="H25" s="5"/>
      <c r="I25" s="8"/>
      <c r="J25" s="8"/>
      <c r="K25" s="8"/>
    </row>
    <row r="26" spans="3:11" x14ac:dyDescent="0.35">
      <c r="C26" s="5"/>
      <c r="D26" s="5"/>
      <c r="E26" s="5"/>
      <c r="F26" s="5"/>
      <c r="G26" s="5"/>
      <c r="H26" s="5"/>
      <c r="I26" s="8"/>
      <c r="J26" s="8"/>
      <c r="K26" s="8"/>
    </row>
    <row r="27" spans="3:11" x14ac:dyDescent="0.35">
      <c r="C27" s="5"/>
      <c r="D27" s="5"/>
      <c r="E27" s="5"/>
      <c r="F27" s="5"/>
      <c r="G27" s="5"/>
      <c r="H27" s="5"/>
      <c r="I27" s="8"/>
      <c r="J27" s="8"/>
      <c r="K27" s="8"/>
    </row>
    <row r="28" spans="3:11" x14ac:dyDescent="0.35">
      <c r="C28" s="5"/>
      <c r="D28" s="5"/>
      <c r="E28" s="5"/>
      <c r="F28" s="5"/>
      <c r="G28" s="5"/>
      <c r="H28" s="5"/>
      <c r="I28" s="8"/>
      <c r="J28" s="8"/>
      <c r="K28" s="8"/>
    </row>
    <row r="29" spans="3:11" x14ac:dyDescent="0.35">
      <c r="C29" s="5"/>
      <c r="D29" s="5"/>
      <c r="E29" s="5"/>
      <c r="F29" s="5"/>
      <c r="G29" s="5"/>
      <c r="H29" s="5"/>
      <c r="I29" s="8"/>
      <c r="J29" s="8"/>
      <c r="K29" s="8"/>
    </row>
    <row r="30" spans="3:11" x14ac:dyDescent="0.35">
      <c r="C30" s="5"/>
      <c r="D30" s="5"/>
      <c r="E30" s="5"/>
      <c r="F30" s="5"/>
      <c r="G30" s="5"/>
      <c r="H30" s="5"/>
      <c r="I30" s="8"/>
      <c r="J30" s="8"/>
      <c r="K30" s="8"/>
    </row>
    <row r="31" spans="3:11" x14ac:dyDescent="0.35">
      <c r="C31" s="5"/>
      <c r="D31" s="5"/>
      <c r="E31" s="5"/>
      <c r="F31" s="5"/>
      <c r="G31" s="5"/>
      <c r="H31" s="5"/>
      <c r="I31" s="8"/>
      <c r="J31" s="8"/>
      <c r="K31" s="8"/>
    </row>
    <row r="32" spans="3:11" x14ac:dyDescent="0.35">
      <c r="C32" s="5"/>
      <c r="D32" s="5"/>
      <c r="E32" s="5"/>
      <c r="F32" s="5"/>
      <c r="G32" s="5"/>
      <c r="H32" s="5"/>
      <c r="I32" s="8"/>
      <c r="J32" s="8"/>
      <c r="K32" s="8"/>
    </row>
    <row r="33" spans="3:11" x14ac:dyDescent="0.35">
      <c r="C33" s="5"/>
      <c r="D33" s="5"/>
      <c r="E33" s="5"/>
      <c r="F33" s="5"/>
      <c r="G33" s="5"/>
      <c r="H33" s="5"/>
      <c r="I33" s="8"/>
      <c r="J33" s="8"/>
      <c r="K33" s="8"/>
    </row>
    <row r="34" spans="3:11" x14ac:dyDescent="0.35">
      <c r="C34" s="5"/>
      <c r="D34" s="5"/>
      <c r="E34" s="5"/>
      <c r="F34" s="5"/>
      <c r="G34" s="5"/>
      <c r="H34" s="5"/>
      <c r="I34" s="8"/>
      <c r="J34" s="8"/>
      <c r="K34" s="8"/>
    </row>
    <row r="35" spans="3:11" x14ac:dyDescent="0.35">
      <c r="C35" s="5"/>
      <c r="D35" s="5"/>
      <c r="E35" s="5"/>
      <c r="F35" s="5"/>
      <c r="G35" s="5"/>
      <c r="H35" s="5"/>
      <c r="I35" s="8"/>
      <c r="J35" s="8"/>
      <c r="K35" s="8"/>
    </row>
    <row r="36" spans="3:11" x14ac:dyDescent="0.35">
      <c r="C36" s="5"/>
      <c r="D36" s="5"/>
      <c r="E36" s="5"/>
      <c r="F36" s="5"/>
      <c r="G36" s="5"/>
      <c r="H36" s="5"/>
      <c r="I36" s="8"/>
      <c r="J36" s="8"/>
      <c r="K36" s="8"/>
    </row>
    <row r="37" spans="3:11" x14ac:dyDescent="0.35">
      <c r="C37" s="5"/>
      <c r="D37" s="5"/>
      <c r="E37" s="5"/>
      <c r="F37" s="5"/>
      <c r="G37" s="5"/>
      <c r="H37" s="5"/>
      <c r="I37" s="8"/>
      <c r="J37" s="8"/>
      <c r="K37" s="8"/>
    </row>
    <row r="38" spans="3:11" x14ac:dyDescent="0.35">
      <c r="C38" s="5"/>
      <c r="D38" s="5"/>
      <c r="E38" s="5"/>
      <c r="F38" s="5"/>
      <c r="G38" s="5"/>
      <c r="H38" s="5"/>
      <c r="I38" s="8"/>
      <c r="J38" s="8"/>
      <c r="K38" s="8"/>
    </row>
    <row r="39" spans="3:11" x14ac:dyDescent="0.35">
      <c r="C39" s="5"/>
      <c r="D39" s="5"/>
      <c r="E39" s="5"/>
      <c r="F39" s="5"/>
      <c r="G39" s="5"/>
      <c r="H39" s="5"/>
      <c r="I39" s="8"/>
      <c r="J39" s="8"/>
      <c r="K39" s="8"/>
    </row>
    <row r="40" spans="3:11" x14ac:dyDescent="0.35">
      <c r="C40" s="5"/>
      <c r="D40" s="5"/>
      <c r="E40" s="5"/>
      <c r="F40" s="5"/>
      <c r="G40" s="5"/>
      <c r="H40" s="5"/>
      <c r="I40" s="8"/>
      <c r="J40" s="8"/>
      <c r="K40" s="8"/>
    </row>
    <row r="41" spans="3:11" x14ac:dyDescent="0.35">
      <c r="C41" s="5"/>
      <c r="D41" s="5"/>
      <c r="E41" s="5"/>
      <c r="F41" s="5"/>
      <c r="G41" s="5"/>
      <c r="H41" s="5"/>
      <c r="I41" s="8"/>
      <c r="J41" s="8"/>
      <c r="K41" s="8"/>
    </row>
    <row r="42" spans="3:11" x14ac:dyDescent="0.35">
      <c r="C42" s="5"/>
      <c r="D42" s="5"/>
      <c r="E42" s="5"/>
      <c r="F42" s="5"/>
      <c r="G42" s="5"/>
      <c r="H42" s="5"/>
      <c r="I42" s="8"/>
      <c r="J42" s="8"/>
      <c r="K42" s="8"/>
    </row>
    <row r="43" spans="3:11" x14ac:dyDescent="0.35">
      <c r="C43" s="5"/>
      <c r="D43" s="5"/>
      <c r="E43" s="5"/>
      <c r="F43" s="5"/>
      <c r="G43" s="5"/>
      <c r="H43" s="5"/>
      <c r="I43" s="8"/>
      <c r="J43" s="8"/>
      <c r="K43" s="8"/>
    </row>
    <row r="44" spans="3:11" x14ac:dyDescent="0.35">
      <c r="C44" s="5"/>
      <c r="D44" s="5"/>
      <c r="E44" s="5"/>
      <c r="F44" s="5"/>
      <c r="G44" s="5"/>
      <c r="H44" s="5"/>
      <c r="I44" s="8"/>
      <c r="J44" s="8"/>
      <c r="K44" s="8"/>
    </row>
    <row r="45" spans="3:11" x14ac:dyDescent="0.35">
      <c r="C45" s="5"/>
      <c r="D45" s="5"/>
      <c r="E45" s="5"/>
      <c r="F45" s="5"/>
      <c r="G45" s="5"/>
      <c r="H45" s="5"/>
      <c r="I45" s="8"/>
      <c r="J45" s="8"/>
      <c r="K45" s="8"/>
    </row>
    <row r="46" spans="3:11" x14ac:dyDescent="0.35">
      <c r="C46" s="5"/>
      <c r="D46" s="5"/>
      <c r="E46" s="5"/>
      <c r="F46" s="5"/>
      <c r="G46" s="5"/>
      <c r="H46" s="5"/>
      <c r="I46" s="8"/>
      <c r="J46" s="8"/>
      <c r="K46" s="8"/>
    </row>
    <row r="47" spans="3:11" x14ac:dyDescent="0.35">
      <c r="C47" s="5"/>
      <c r="D47" s="5"/>
      <c r="E47" s="5"/>
      <c r="F47" s="5"/>
      <c r="G47" s="5"/>
      <c r="H47" s="5"/>
      <c r="I47" s="8"/>
      <c r="J47" s="8"/>
      <c r="K47" s="8"/>
    </row>
    <row r="48" spans="3:11" x14ac:dyDescent="0.35">
      <c r="C48" s="5"/>
      <c r="D48" s="5"/>
      <c r="E48" s="5"/>
      <c r="F48" s="5"/>
      <c r="G48" s="5"/>
      <c r="H48" s="5"/>
      <c r="I48" s="8"/>
      <c r="J48" s="8"/>
      <c r="K48" s="8"/>
    </row>
    <row r="49" spans="3:11" x14ac:dyDescent="0.35">
      <c r="C49" s="5"/>
      <c r="D49" s="5"/>
      <c r="E49" s="5"/>
      <c r="F49" s="5"/>
      <c r="G49" s="5"/>
      <c r="H49" s="5"/>
      <c r="I49" s="8"/>
      <c r="J49" s="8"/>
      <c r="K49" s="8"/>
    </row>
    <row r="50" spans="3:11" x14ac:dyDescent="0.35">
      <c r="C50" s="5"/>
      <c r="D50" s="5"/>
      <c r="E50" s="5"/>
      <c r="F50" s="5"/>
      <c r="G50" s="5"/>
      <c r="H50" s="5"/>
      <c r="I50" s="8"/>
      <c r="J50" s="8"/>
      <c r="K50" s="8"/>
    </row>
    <row r="51" spans="3:11" x14ac:dyDescent="0.35">
      <c r="C51" s="5"/>
      <c r="D51" s="5"/>
      <c r="E51" s="5"/>
      <c r="F51" s="5"/>
      <c r="G51" s="5"/>
      <c r="H51" s="5"/>
      <c r="I51" s="8"/>
      <c r="J51" s="8"/>
      <c r="K51" s="8"/>
    </row>
    <row r="52" spans="3:11" x14ac:dyDescent="0.35">
      <c r="C52" s="5"/>
      <c r="D52" s="5"/>
      <c r="E52" s="5"/>
      <c r="F52" s="5"/>
      <c r="G52" s="5"/>
      <c r="H52" s="5"/>
      <c r="I52" s="8"/>
      <c r="J52" s="8"/>
      <c r="K52" s="8"/>
    </row>
    <row r="53" spans="3:11" x14ac:dyDescent="0.35">
      <c r="C53" s="5"/>
      <c r="D53" s="5"/>
      <c r="E53" s="5"/>
      <c r="F53" s="5"/>
      <c r="G53" s="5"/>
      <c r="H53" s="5"/>
      <c r="I53" s="8"/>
      <c r="J53" s="8"/>
      <c r="K53" s="8"/>
    </row>
    <row r="54" spans="3:11" x14ac:dyDescent="0.35">
      <c r="C54" s="5"/>
      <c r="D54" s="5"/>
      <c r="E54" s="5"/>
      <c r="F54" s="5"/>
      <c r="G54" s="5"/>
      <c r="H54" s="5"/>
      <c r="I54" s="8"/>
      <c r="J54" s="8"/>
      <c r="K54" s="8"/>
    </row>
    <row r="55" spans="3:11" x14ac:dyDescent="0.35">
      <c r="C55" s="5"/>
      <c r="D55" s="5"/>
      <c r="E55" s="5"/>
      <c r="F55" s="5"/>
      <c r="G55" s="5"/>
      <c r="H55" s="5"/>
      <c r="I55" s="8"/>
      <c r="J55" s="8"/>
      <c r="K55" s="8"/>
    </row>
    <row r="56" spans="3:11" x14ac:dyDescent="0.35">
      <c r="C56" s="5"/>
      <c r="D56" s="5"/>
      <c r="E56" s="5"/>
      <c r="F56" s="5"/>
      <c r="G56" s="5"/>
      <c r="H56" s="5"/>
      <c r="I56" s="8"/>
      <c r="J56" s="8"/>
      <c r="K56" s="8"/>
    </row>
    <row r="57" spans="3:11" x14ac:dyDescent="0.35">
      <c r="C57" s="5"/>
      <c r="D57" s="5"/>
      <c r="E57" s="5"/>
      <c r="F57" s="5"/>
      <c r="G57" s="5"/>
      <c r="H57" s="5"/>
      <c r="I57" s="8"/>
      <c r="J57" s="8"/>
      <c r="K57" s="8"/>
    </row>
    <row r="58" spans="3:11" x14ac:dyDescent="0.35">
      <c r="C58" s="5"/>
      <c r="D58" s="5"/>
      <c r="E58" s="5"/>
      <c r="F58" s="5"/>
      <c r="G58" s="5"/>
      <c r="H58" s="5"/>
      <c r="I58" s="8"/>
      <c r="J58" s="8"/>
      <c r="K58" s="8"/>
    </row>
    <row r="59" spans="3:11" x14ac:dyDescent="0.35">
      <c r="C59" s="5"/>
      <c r="D59" s="5"/>
      <c r="E59" s="5"/>
      <c r="F59" s="5"/>
      <c r="G59" s="5"/>
      <c r="H59" s="5"/>
      <c r="I59" s="8"/>
      <c r="J59" s="8"/>
      <c r="K59" s="8"/>
    </row>
    <row r="60" spans="3:11" x14ac:dyDescent="0.35">
      <c r="C60" s="5"/>
      <c r="D60" s="5"/>
      <c r="E60" s="5"/>
      <c r="F60" s="5"/>
      <c r="G60" s="5"/>
      <c r="H60" s="5"/>
      <c r="I60" s="8"/>
      <c r="J60" s="8"/>
      <c r="K60" s="8"/>
    </row>
    <row r="61" spans="3:11" x14ac:dyDescent="0.35">
      <c r="C61" s="5"/>
      <c r="D61" s="5"/>
      <c r="E61" s="5"/>
      <c r="F61" s="5"/>
      <c r="G61" s="5"/>
      <c r="H61" s="5"/>
      <c r="I61" s="8"/>
      <c r="J61" s="8"/>
      <c r="K61" s="8"/>
    </row>
    <row r="62" spans="3:11" x14ac:dyDescent="0.35">
      <c r="C62" s="5"/>
      <c r="D62" s="5"/>
      <c r="E62" s="5"/>
      <c r="F62" s="5"/>
      <c r="G62" s="5"/>
      <c r="H62" s="5"/>
      <c r="I62" s="8"/>
      <c r="J62" s="8"/>
      <c r="K62" s="8"/>
    </row>
    <row r="63" spans="3:11" x14ac:dyDescent="0.35">
      <c r="C63" s="5"/>
      <c r="D63" s="5"/>
      <c r="E63" s="5"/>
      <c r="F63" s="5"/>
      <c r="G63" s="5"/>
      <c r="H63" s="5"/>
      <c r="I63" s="8"/>
      <c r="J63" s="8"/>
      <c r="K63" s="8"/>
    </row>
    <row r="64" spans="3:11" x14ac:dyDescent="0.35">
      <c r="C64" s="5"/>
      <c r="D64" s="5"/>
      <c r="E64" s="5"/>
      <c r="F64" s="5"/>
      <c r="G64" s="5"/>
      <c r="H64" s="5"/>
      <c r="I64" s="8"/>
      <c r="J64" s="8"/>
      <c r="K64" s="8"/>
    </row>
    <row r="65" spans="3:11" x14ac:dyDescent="0.35">
      <c r="C65" s="5"/>
      <c r="D65" s="5"/>
      <c r="E65" s="5"/>
      <c r="F65" s="5"/>
      <c r="G65" s="5"/>
      <c r="H65" s="5"/>
      <c r="I65" s="8"/>
      <c r="J65" s="8"/>
      <c r="K65" s="8"/>
    </row>
    <row r="66" spans="3:11" x14ac:dyDescent="0.35">
      <c r="C66" s="5"/>
      <c r="D66" s="5"/>
      <c r="E66" s="5"/>
      <c r="F66" s="5"/>
      <c r="G66" s="5"/>
      <c r="H66" s="5"/>
      <c r="I66" s="8"/>
      <c r="J66" s="8"/>
      <c r="K66" s="8"/>
    </row>
    <row r="67" spans="3:11" x14ac:dyDescent="0.35">
      <c r="C67" s="5"/>
      <c r="D67" s="5"/>
      <c r="E67" s="5"/>
      <c r="F67" s="5"/>
      <c r="G67" s="5"/>
      <c r="H67" s="5"/>
      <c r="I67" s="8"/>
      <c r="J67" s="8"/>
      <c r="K67" s="8"/>
    </row>
    <row r="68" spans="3:11" x14ac:dyDescent="0.35">
      <c r="C68" s="5"/>
      <c r="D68" s="5"/>
      <c r="E68" s="5"/>
      <c r="F68" s="5"/>
      <c r="G68" s="5"/>
      <c r="H68" s="5"/>
      <c r="I68" s="8"/>
      <c r="J68" s="8"/>
      <c r="K68" s="8"/>
    </row>
    <row r="69" spans="3:11" x14ac:dyDescent="0.35">
      <c r="C69" s="5"/>
      <c r="D69" s="5"/>
      <c r="E69" s="5"/>
      <c r="F69" s="5"/>
      <c r="G69" s="5"/>
      <c r="H69" s="5"/>
      <c r="I69" s="8"/>
      <c r="J69" s="8"/>
      <c r="K69" s="8"/>
    </row>
    <row r="70" spans="3:11" x14ac:dyDescent="0.35">
      <c r="C70" s="5"/>
      <c r="D70" s="5"/>
      <c r="E70" s="5"/>
      <c r="F70" s="5"/>
      <c r="G70" s="5"/>
      <c r="H70" s="5"/>
      <c r="I70" s="8"/>
      <c r="J70" s="8"/>
      <c r="K70" s="8"/>
    </row>
    <row r="71" spans="3:11" x14ac:dyDescent="0.35">
      <c r="C71" s="5"/>
      <c r="D71" s="5"/>
      <c r="E71" s="5"/>
      <c r="F71" s="5"/>
      <c r="G71" s="5"/>
      <c r="H71" s="5"/>
      <c r="I71" s="8"/>
      <c r="J71" s="8"/>
      <c r="K71" s="8"/>
    </row>
    <row r="72" spans="3:11" x14ac:dyDescent="0.35">
      <c r="C72" s="5"/>
      <c r="D72" s="5"/>
      <c r="E72" s="5"/>
      <c r="F72" s="5"/>
      <c r="G72" s="5"/>
      <c r="H72" s="5"/>
      <c r="I72" s="8"/>
      <c r="J72" s="8"/>
      <c r="K72" s="8"/>
    </row>
    <row r="73" spans="3:11" x14ac:dyDescent="0.35">
      <c r="C73" s="5"/>
      <c r="D73" s="5"/>
      <c r="E73" s="5"/>
      <c r="F73" s="5"/>
      <c r="G73" s="5"/>
      <c r="H73" s="5"/>
      <c r="I73" s="8"/>
      <c r="J73" s="8"/>
      <c r="K73" s="8"/>
    </row>
    <row r="74" spans="3:11" x14ac:dyDescent="0.35">
      <c r="C74" s="5"/>
      <c r="D74" s="5"/>
      <c r="E74" s="5"/>
      <c r="F74" s="5"/>
      <c r="G74" s="5"/>
      <c r="H74" s="5"/>
      <c r="I74" s="8"/>
      <c r="J74" s="8"/>
      <c r="K74" s="8"/>
    </row>
    <row r="75" spans="3:11" x14ac:dyDescent="0.35">
      <c r="C75" s="5"/>
      <c r="D75" s="5"/>
      <c r="E75" s="5"/>
      <c r="F75" s="5"/>
      <c r="G75" s="5"/>
      <c r="H75" s="5"/>
      <c r="I75" s="8"/>
      <c r="J75" s="8"/>
      <c r="K75" s="8"/>
    </row>
    <row r="76" spans="3:11" x14ac:dyDescent="0.35">
      <c r="C76" s="5"/>
      <c r="D76" s="5"/>
      <c r="E76" s="5"/>
      <c r="F76" s="5"/>
      <c r="G76" s="5"/>
      <c r="H76" s="5"/>
      <c r="I76" s="8"/>
      <c r="J76" s="8"/>
      <c r="K76" s="8"/>
    </row>
    <row r="77" spans="3:11" x14ac:dyDescent="0.35">
      <c r="C77" s="5"/>
      <c r="D77" s="5"/>
      <c r="E77" s="5"/>
      <c r="F77" s="5"/>
      <c r="G77" s="5"/>
      <c r="H77" s="5"/>
      <c r="I77" s="8"/>
      <c r="J77" s="8"/>
      <c r="K77" s="8"/>
    </row>
    <row r="78" spans="3:11" x14ac:dyDescent="0.35">
      <c r="C78" s="5"/>
      <c r="D78" s="5"/>
      <c r="E78" s="5"/>
      <c r="F78" s="5"/>
      <c r="G78" s="5"/>
      <c r="H78" s="5"/>
      <c r="I78" s="8"/>
      <c r="J78" s="8"/>
      <c r="K78" s="8"/>
    </row>
    <row r="79" spans="3:11" x14ac:dyDescent="0.35">
      <c r="C79" s="5"/>
      <c r="D79" s="5"/>
      <c r="E79" s="5"/>
      <c r="F79" s="5"/>
      <c r="G79" s="5"/>
      <c r="H79" s="5"/>
      <c r="I79" s="8"/>
      <c r="J79" s="8"/>
      <c r="K79" s="8"/>
    </row>
    <row r="80" spans="3:11" x14ac:dyDescent="0.35">
      <c r="C80" s="5"/>
      <c r="D80" s="5"/>
      <c r="E80" s="5"/>
      <c r="F80" s="5"/>
      <c r="G80" s="5"/>
      <c r="H80" s="5"/>
      <c r="I80" s="8"/>
      <c r="J80" s="8"/>
      <c r="K80" s="8"/>
    </row>
    <row r="81" spans="3:11" x14ac:dyDescent="0.35">
      <c r="C81" s="5"/>
      <c r="D81" s="5"/>
      <c r="E81" s="5"/>
      <c r="F81" s="5"/>
      <c r="G81" s="5"/>
      <c r="H81" s="5"/>
      <c r="I81" s="8"/>
      <c r="J81" s="8"/>
      <c r="K81" s="8"/>
    </row>
    <row r="82" spans="3:11" x14ac:dyDescent="0.35">
      <c r="C82" s="5"/>
      <c r="D82" s="5"/>
      <c r="E82" s="5"/>
      <c r="F82" s="5"/>
      <c r="G82" s="5"/>
      <c r="H82" s="5"/>
      <c r="I82" s="8"/>
      <c r="J82" s="8"/>
      <c r="K82" s="8"/>
    </row>
    <row r="83" spans="3:11" x14ac:dyDescent="0.35">
      <c r="C83" s="5"/>
      <c r="D83" s="5"/>
      <c r="E83" s="5"/>
      <c r="F83" s="5"/>
      <c r="G83" s="5"/>
      <c r="H83" s="5"/>
      <c r="I83" s="8"/>
      <c r="J83" s="8"/>
      <c r="K83" s="8"/>
    </row>
    <row r="84" spans="3:11" x14ac:dyDescent="0.35">
      <c r="C84" s="5"/>
      <c r="D84" s="5"/>
      <c r="E84" s="5"/>
      <c r="F84" s="5"/>
      <c r="G84" s="5"/>
      <c r="H84" s="5"/>
      <c r="I84" s="8"/>
      <c r="J84" s="8"/>
      <c r="K84" s="8"/>
    </row>
    <row r="85" spans="3:11" x14ac:dyDescent="0.35">
      <c r="C85" s="5"/>
      <c r="D85" s="5"/>
      <c r="E85" s="5"/>
      <c r="F85" s="5"/>
      <c r="G85" s="5"/>
      <c r="H85" s="5"/>
      <c r="I85" s="8"/>
      <c r="J85" s="8"/>
      <c r="K85" s="8"/>
    </row>
    <row r="86" spans="3:11" x14ac:dyDescent="0.35">
      <c r="C86" s="5"/>
      <c r="D86" s="5"/>
      <c r="E86" s="5"/>
      <c r="F86" s="5"/>
      <c r="G86" s="5"/>
      <c r="H86" s="5"/>
      <c r="I86" s="8"/>
      <c r="J86" s="8"/>
      <c r="K86" s="8"/>
    </row>
    <row r="87" spans="3:11" x14ac:dyDescent="0.35">
      <c r="C87" s="5"/>
      <c r="D87" s="5"/>
      <c r="E87" s="5"/>
      <c r="F87" s="5"/>
      <c r="G87" s="5"/>
      <c r="H87" s="5"/>
      <c r="I87" s="8"/>
      <c r="J87" s="8"/>
      <c r="K87" s="8"/>
    </row>
    <row r="88" spans="3:11" x14ac:dyDescent="0.35">
      <c r="C88" s="5"/>
      <c r="D88" s="5"/>
      <c r="E88" s="5"/>
      <c r="F88" s="5"/>
      <c r="G88" s="5"/>
      <c r="H88" s="5"/>
      <c r="I88" s="8"/>
      <c r="J88" s="8"/>
      <c r="K88" s="8"/>
    </row>
    <row r="89" spans="3:11" x14ac:dyDescent="0.35">
      <c r="C89" s="5"/>
      <c r="D89" s="5"/>
      <c r="E89" s="5"/>
      <c r="F89" s="5"/>
      <c r="G89" s="5"/>
      <c r="H89" s="5"/>
      <c r="I89" s="8"/>
      <c r="J89" s="8"/>
      <c r="K89" s="8"/>
    </row>
    <row r="90" spans="3:11" x14ac:dyDescent="0.35">
      <c r="C90" s="5"/>
      <c r="D90" s="5"/>
      <c r="E90" s="5"/>
      <c r="F90" s="5"/>
      <c r="G90" s="5"/>
      <c r="H90" s="5"/>
      <c r="I90" s="8"/>
      <c r="J90" s="8"/>
      <c r="K90" s="8"/>
    </row>
    <row r="91" spans="3:11" x14ac:dyDescent="0.35">
      <c r="C91" s="5"/>
      <c r="D91" s="5"/>
      <c r="E91" s="5"/>
      <c r="F91" s="5"/>
      <c r="G91" s="5"/>
      <c r="H91" s="5"/>
      <c r="I91" s="8"/>
      <c r="J91" s="8"/>
      <c r="K91" s="8"/>
    </row>
    <row r="92" spans="3:11" x14ac:dyDescent="0.35">
      <c r="C92" s="5"/>
      <c r="D92" s="5"/>
      <c r="E92" s="5"/>
      <c r="F92" s="5"/>
      <c r="G92" s="5"/>
      <c r="H92" s="5"/>
      <c r="I92" s="8"/>
      <c r="J92" s="8"/>
      <c r="K92" s="8"/>
    </row>
    <row r="93" spans="3:11" x14ac:dyDescent="0.35">
      <c r="C93" s="5"/>
      <c r="D93" s="5"/>
      <c r="E93" s="5"/>
      <c r="F93" s="5"/>
      <c r="G93" s="5"/>
      <c r="H93" s="5"/>
      <c r="I93" s="8"/>
      <c r="J93" s="8"/>
      <c r="K93" s="8"/>
    </row>
    <row r="94" spans="3:11" x14ac:dyDescent="0.35">
      <c r="C94" s="5"/>
      <c r="D94" s="5"/>
      <c r="E94" s="5"/>
      <c r="F94" s="5"/>
      <c r="G94" s="5"/>
      <c r="H94" s="5"/>
      <c r="I94" s="8"/>
      <c r="J94" s="8"/>
      <c r="K94" s="8"/>
    </row>
    <row r="95" spans="3:11" x14ac:dyDescent="0.35">
      <c r="C95" s="5"/>
      <c r="D95" s="5"/>
      <c r="E95" s="5"/>
      <c r="F95" s="5"/>
      <c r="G95" s="5"/>
      <c r="H95" s="5"/>
      <c r="I95" s="8"/>
      <c r="J95" s="8"/>
      <c r="K95" s="8"/>
    </row>
    <row r="96" spans="3:11" x14ac:dyDescent="0.35">
      <c r="C96" s="5"/>
      <c r="D96" s="5"/>
      <c r="E96" s="5"/>
      <c r="F96" s="5"/>
      <c r="G96" s="5"/>
      <c r="H96" s="5"/>
      <c r="I96" s="8"/>
      <c r="J96" s="8"/>
      <c r="K96" s="8"/>
    </row>
    <row r="97" spans="3:11" x14ac:dyDescent="0.35">
      <c r="C97" s="5"/>
      <c r="D97" s="5"/>
      <c r="E97" s="5"/>
      <c r="F97" s="5"/>
      <c r="G97" s="5"/>
      <c r="H97" s="5"/>
      <c r="I97" s="8"/>
      <c r="J97" s="8"/>
      <c r="K97" s="8"/>
    </row>
    <row r="98" spans="3:11" x14ac:dyDescent="0.35">
      <c r="C98" s="5"/>
      <c r="D98" s="5"/>
      <c r="E98" s="5"/>
      <c r="F98" s="5"/>
      <c r="G98" s="5"/>
      <c r="H98" s="5"/>
      <c r="I98" s="8"/>
      <c r="J98" s="8"/>
      <c r="K98" s="8"/>
    </row>
    <row r="99" spans="3:11" x14ac:dyDescent="0.35">
      <c r="C99" s="5"/>
      <c r="D99" s="5"/>
      <c r="E99" s="5"/>
      <c r="F99" s="5"/>
      <c r="G99" s="5"/>
      <c r="H99" s="5"/>
      <c r="I99" s="8"/>
      <c r="J99" s="8"/>
      <c r="K99" s="8"/>
    </row>
    <row r="100" spans="3:11" x14ac:dyDescent="0.35">
      <c r="C100" s="5"/>
      <c r="D100" s="5"/>
      <c r="E100" s="5"/>
      <c r="F100" s="5"/>
      <c r="G100" s="5"/>
      <c r="H100" s="5"/>
      <c r="I100" s="8"/>
      <c r="J100" s="8"/>
      <c r="K10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46EDC-F92E-4376-A4A6-477C0E62CB7D}">
  <sheetPr>
    <tabColor theme="1"/>
  </sheetPr>
  <dimension ref="B1:N100"/>
  <sheetViews>
    <sheetView zoomScale="70" zoomScaleNormal="70" workbookViewId="0">
      <selection activeCell="H20" sqref="H20"/>
    </sheetView>
  </sheetViews>
  <sheetFormatPr defaultRowHeight="14.5" x14ac:dyDescent="0.35"/>
  <cols>
    <col min="1" max="2" width="2.6328125" customWidth="1"/>
    <col min="3" max="10" width="13.6328125" customWidth="1"/>
    <col min="11" max="11" width="13.1796875" bestFit="1" customWidth="1"/>
    <col min="12" max="12" width="12.81640625" customWidth="1"/>
    <col min="14" max="14" width="20.36328125" bestFit="1" customWidth="1"/>
  </cols>
  <sheetData>
    <row r="1" spans="2:14" s="1" customFormat="1" x14ac:dyDescent="0.35"/>
    <row r="2" spans="2:14" s="1" customFormat="1" x14ac:dyDescent="0.35"/>
    <row r="3" spans="2:14" s="1" customFormat="1" ht="21" x14ac:dyDescent="0.5">
      <c r="B3" s="4" t="s">
        <v>38</v>
      </c>
    </row>
    <row r="4" spans="2:14" s="1" customFormat="1" x14ac:dyDescent="0.35">
      <c r="B4" s="6" t="s">
        <v>35</v>
      </c>
    </row>
    <row r="5" spans="2:14" s="2" customFormat="1" x14ac:dyDescent="0.35"/>
    <row r="7" spans="2:14" x14ac:dyDescent="0.35">
      <c r="C7" s="3" t="s">
        <v>0</v>
      </c>
      <c r="D7" s="3" t="s">
        <v>1</v>
      </c>
      <c r="E7" s="3" t="s">
        <v>36</v>
      </c>
      <c r="F7" s="3" t="s">
        <v>24</v>
      </c>
      <c r="G7" s="3" t="s">
        <v>39</v>
      </c>
      <c r="H7" s="3" t="s">
        <v>40</v>
      </c>
      <c r="I7" s="7" t="s">
        <v>22</v>
      </c>
      <c r="J7" s="7" t="s">
        <v>42</v>
      </c>
      <c r="K7" s="7" t="s">
        <v>5</v>
      </c>
      <c r="L7" s="7" t="s">
        <v>6</v>
      </c>
      <c r="M7" s="7" t="s">
        <v>43</v>
      </c>
      <c r="N7" s="7" t="s">
        <v>44</v>
      </c>
    </row>
    <row r="8" spans="2:14" x14ac:dyDescent="0.35">
      <c r="C8" s="5"/>
      <c r="D8" s="5"/>
      <c r="E8" s="5"/>
      <c r="F8" s="5"/>
      <c r="G8" s="5"/>
      <c r="H8" s="5"/>
      <c r="I8" s="8"/>
      <c r="J8" s="8"/>
      <c r="K8" s="8"/>
      <c r="L8" s="8"/>
      <c r="M8" s="8"/>
      <c r="N8" s="8"/>
    </row>
    <row r="9" spans="2:14" x14ac:dyDescent="0.35">
      <c r="C9" s="5"/>
      <c r="D9" s="5"/>
      <c r="E9" s="5"/>
      <c r="F9" s="5"/>
      <c r="G9" s="5"/>
      <c r="H9" s="5"/>
      <c r="I9" s="8"/>
      <c r="J9" s="8"/>
      <c r="K9" s="8"/>
      <c r="L9" s="8"/>
      <c r="M9" s="8"/>
      <c r="N9" s="8"/>
    </row>
    <row r="10" spans="2:14" x14ac:dyDescent="0.35">
      <c r="C10" s="5"/>
      <c r="D10" s="5"/>
      <c r="E10" s="5"/>
      <c r="F10" s="5"/>
      <c r="G10" s="5"/>
      <c r="H10" s="5"/>
      <c r="I10" s="8"/>
      <c r="J10" s="8"/>
      <c r="K10" s="8"/>
      <c r="L10" s="8"/>
      <c r="M10" s="8"/>
      <c r="N10" s="8"/>
    </row>
    <row r="11" spans="2:14" x14ac:dyDescent="0.35">
      <c r="C11" s="5"/>
      <c r="D11" s="5"/>
      <c r="E11" s="5"/>
      <c r="F11" s="5"/>
      <c r="G11" s="5"/>
      <c r="H11" s="5"/>
      <c r="I11" s="8"/>
      <c r="J11" s="8"/>
      <c r="K11" s="8"/>
      <c r="L11" s="8"/>
      <c r="M11" s="8"/>
      <c r="N11" s="8"/>
    </row>
    <row r="12" spans="2:14" x14ac:dyDescent="0.35">
      <c r="C12" s="5"/>
      <c r="D12" s="5"/>
      <c r="E12" s="5"/>
      <c r="F12" s="5"/>
      <c r="G12" s="5"/>
      <c r="H12" s="5"/>
      <c r="I12" s="8"/>
      <c r="J12" s="8"/>
      <c r="K12" s="8"/>
      <c r="L12" s="8"/>
      <c r="M12" s="8"/>
      <c r="N12" s="8"/>
    </row>
    <row r="13" spans="2:14" x14ac:dyDescent="0.35">
      <c r="C13" s="5"/>
      <c r="D13" s="5"/>
      <c r="E13" s="5"/>
      <c r="F13" s="5"/>
      <c r="G13" s="5"/>
      <c r="H13" s="5"/>
      <c r="I13" s="8"/>
      <c r="J13" s="8"/>
      <c r="K13" s="8"/>
      <c r="L13" s="8"/>
      <c r="M13" s="8"/>
      <c r="N13" s="8"/>
    </row>
    <row r="14" spans="2:14" x14ac:dyDescent="0.35">
      <c r="C14" s="5"/>
      <c r="D14" s="5"/>
      <c r="E14" s="5"/>
      <c r="F14" s="5"/>
      <c r="G14" s="5"/>
      <c r="H14" s="5"/>
      <c r="I14" s="8"/>
      <c r="J14" s="8"/>
      <c r="K14" s="8"/>
      <c r="L14" s="8"/>
      <c r="M14" s="8"/>
      <c r="N14" s="8"/>
    </row>
    <row r="15" spans="2:14" x14ac:dyDescent="0.35">
      <c r="C15" s="5"/>
      <c r="D15" s="5"/>
      <c r="E15" s="5"/>
      <c r="F15" s="5"/>
      <c r="G15" s="5"/>
      <c r="H15" s="5"/>
      <c r="I15" s="8"/>
      <c r="J15" s="8"/>
      <c r="K15" s="8"/>
      <c r="L15" s="8"/>
      <c r="M15" s="8"/>
      <c r="N15" s="8"/>
    </row>
    <row r="16" spans="2:14" x14ac:dyDescent="0.35">
      <c r="C16" s="5"/>
      <c r="D16" s="5"/>
      <c r="E16" s="5"/>
      <c r="F16" s="5"/>
      <c r="G16" s="5"/>
      <c r="H16" s="5"/>
      <c r="I16" s="8"/>
      <c r="J16" s="8"/>
      <c r="K16" s="8"/>
      <c r="L16" s="8"/>
      <c r="M16" s="8"/>
      <c r="N16" s="8"/>
    </row>
    <row r="17" spans="3:14" x14ac:dyDescent="0.35">
      <c r="C17" s="5"/>
      <c r="D17" s="5"/>
      <c r="E17" s="5"/>
      <c r="F17" s="5"/>
      <c r="G17" s="5"/>
      <c r="H17" s="5"/>
      <c r="I17" s="8"/>
      <c r="J17" s="8"/>
      <c r="K17" s="8"/>
      <c r="L17" s="8"/>
      <c r="M17" s="8"/>
      <c r="N17" s="8"/>
    </row>
    <row r="18" spans="3:14" x14ac:dyDescent="0.35">
      <c r="C18" s="5"/>
      <c r="D18" s="5"/>
      <c r="E18" s="5"/>
      <c r="F18" s="5"/>
      <c r="G18" s="5"/>
      <c r="H18" s="5"/>
      <c r="I18" s="8"/>
      <c r="J18" s="8"/>
      <c r="K18" s="8"/>
      <c r="L18" s="8"/>
      <c r="M18" s="8"/>
      <c r="N18" s="8"/>
    </row>
    <row r="19" spans="3:14" x14ac:dyDescent="0.35">
      <c r="C19" s="5"/>
      <c r="D19" s="5"/>
      <c r="E19" s="5"/>
      <c r="F19" s="5"/>
      <c r="G19" s="5"/>
      <c r="H19" s="5"/>
      <c r="I19" s="8"/>
      <c r="J19" s="8"/>
      <c r="K19" s="8"/>
      <c r="L19" s="8"/>
      <c r="M19" s="8"/>
      <c r="N19" s="8"/>
    </row>
    <row r="20" spans="3:14" x14ac:dyDescent="0.35">
      <c r="C20" s="5"/>
      <c r="D20" s="5"/>
      <c r="E20" s="5"/>
      <c r="F20" s="5"/>
      <c r="G20" s="5"/>
      <c r="H20" s="5"/>
      <c r="I20" s="8"/>
      <c r="J20" s="8"/>
      <c r="K20" s="8"/>
      <c r="L20" s="8"/>
      <c r="M20" s="8"/>
      <c r="N20" s="8"/>
    </row>
    <row r="21" spans="3:14" x14ac:dyDescent="0.35">
      <c r="C21" s="5"/>
      <c r="D21" s="5"/>
      <c r="E21" s="5"/>
      <c r="F21" s="5"/>
      <c r="G21" s="5"/>
      <c r="H21" s="5"/>
      <c r="I21" s="8"/>
      <c r="J21" s="8"/>
      <c r="K21" s="8"/>
      <c r="L21" s="8"/>
      <c r="M21" s="8"/>
      <c r="N21" s="8"/>
    </row>
    <row r="22" spans="3:14" x14ac:dyDescent="0.35">
      <c r="C22" s="5"/>
      <c r="D22" s="5"/>
      <c r="E22" s="5"/>
      <c r="F22" s="5"/>
      <c r="G22" s="5"/>
      <c r="H22" s="5"/>
      <c r="I22" s="8"/>
      <c r="J22" s="8"/>
      <c r="K22" s="8"/>
      <c r="L22" s="8"/>
      <c r="M22" s="8"/>
      <c r="N22" s="8"/>
    </row>
    <row r="23" spans="3:14" x14ac:dyDescent="0.35">
      <c r="C23" s="5"/>
      <c r="D23" s="5"/>
      <c r="E23" s="5"/>
      <c r="F23" s="5"/>
      <c r="G23" s="5"/>
      <c r="H23" s="5"/>
      <c r="I23" s="8"/>
      <c r="J23" s="8"/>
      <c r="K23" s="8"/>
      <c r="L23" s="8"/>
      <c r="M23" s="8"/>
      <c r="N23" s="8"/>
    </row>
    <row r="24" spans="3:14" x14ac:dyDescent="0.35">
      <c r="C24" s="5"/>
      <c r="D24" s="5"/>
      <c r="E24" s="5"/>
      <c r="F24" s="5"/>
      <c r="G24" s="5"/>
      <c r="H24" s="5"/>
      <c r="I24" s="8"/>
      <c r="J24" s="8"/>
      <c r="K24" s="8"/>
      <c r="L24" s="8"/>
      <c r="M24" s="8"/>
      <c r="N24" s="8"/>
    </row>
    <row r="25" spans="3:14" x14ac:dyDescent="0.35">
      <c r="C25" s="5"/>
      <c r="D25" s="5"/>
      <c r="E25" s="5"/>
      <c r="F25" s="5"/>
      <c r="G25" s="5"/>
      <c r="H25" s="5"/>
      <c r="I25" s="8"/>
      <c r="J25" s="8"/>
      <c r="K25" s="8"/>
      <c r="L25" s="8"/>
      <c r="M25" s="8"/>
      <c r="N25" s="8"/>
    </row>
    <row r="26" spans="3:14" x14ac:dyDescent="0.35">
      <c r="C26" s="5"/>
      <c r="D26" s="5"/>
      <c r="E26" s="5"/>
      <c r="F26" s="5"/>
      <c r="G26" s="5"/>
      <c r="H26" s="5"/>
      <c r="I26" s="8"/>
      <c r="J26" s="8"/>
      <c r="K26" s="8"/>
      <c r="L26" s="8"/>
      <c r="M26" s="8"/>
      <c r="N26" s="8"/>
    </row>
    <row r="27" spans="3:14" x14ac:dyDescent="0.35">
      <c r="C27" s="5"/>
      <c r="D27" s="5"/>
      <c r="E27" s="5"/>
      <c r="F27" s="5"/>
      <c r="G27" s="5"/>
      <c r="H27" s="5"/>
      <c r="I27" s="8"/>
      <c r="J27" s="8"/>
      <c r="K27" s="8"/>
      <c r="L27" s="8"/>
      <c r="M27" s="8"/>
      <c r="N27" s="8"/>
    </row>
    <row r="28" spans="3:14" x14ac:dyDescent="0.35">
      <c r="C28" s="5"/>
      <c r="D28" s="5"/>
      <c r="E28" s="5"/>
      <c r="F28" s="5"/>
      <c r="G28" s="5"/>
      <c r="H28" s="5"/>
      <c r="I28" s="8"/>
      <c r="J28" s="8"/>
      <c r="K28" s="8"/>
      <c r="L28" s="8"/>
      <c r="M28" s="8"/>
      <c r="N28" s="8"/>
    </row>
    <row r="29" spans="3:14" x14ac:dyDescent="0.35">
      <c r="C29" s="5"/>
      <c r="D29" s="5"/>
      <c r="E29" s="5"/>
      <c r="F29" s="5"/>
      <c r="G29" s="5"/>
      <c r="H29" s="5"/>
      <c r="I29" s="8"/>
      <c r="J29" s="8"/>
      <c r="K29" s="8"/>
      <c r="L29" s="8"/>
      <c r="M29" s="8"/>
      <c r="N29" s="8"/>
    </row>
    <row r="30" spans="3:14" x14ac:dyDescent="0.35">
      <c r="C30" s="5"/>
      <c r="D30" s="5"/>
      <c r="E30" s="5"/>
      <c r="F30" s="5"/>
      <c r="G30" s="5"/>
      <c r="H30" s="5"/>
      <c r="I30" s="8"/>
      <c r="J30" s="8"/>
      <c r="K30" s="8"/>
      <c r="L30" s="8"/>
      <c r="M30" s="8"/>
      <c r="N30" s="8"/>
    </row>
    <row r="31" spans="3:14" x14ac:dyDescent="0.35">
      <c r="C31" s="5"/>
      <c r="D31" s="5"/>
      <c r="E31" s="5"/>
      <c r="F31" s="5"/>
      <c r="G31" s="5"/>
      <c r="H31" s="5"/>
      <c r="I31" s="8"/>
      <c r="J31" s="8"/>
      <c r="K31" s="8"/>
      <c r="L31" s="8"/>
      <c r="M31" s="8"/>
      <c r="N31" s="8"/>
    </row>
    <row r="32" spans="3:14" x14ac:dyDescent="0.35">
      <c r="C32" s="5"/>
      <c r="D32" s="5"/>
      <c r="E32" s="5"/>
      <c r="F32" s="5"/>
      <c r="G32" s="5"/>
      <c r="H32" s="5"/>
      <c r="I32" s="8"/>
      <c r="J32" s="8"/>
      <c r="K32" s="8"/>
      <c r="L32" s="8"/>
      <c r="M32" s="8"/>
      <c r="N32" s="8"/>
    </row>
    <row r="33" spans="3:14" x14ac:dyDescent="0.35">
      <c r="C33" s="5"/>
      <c r="D33" s="5"/>
      <c r="E33" s="5"/>
      <c r="F33" s="5"/>
      <c r="G33" s="5"/>
      <c r="H33" s="5"/>
      <c r="I33" s="8"/>
      <c r="J33" s="8"/>
      <c r="K33" s="8"/>
      <c r="L33" s="8"/>
      <c r="M33" s="8"/>
      <c r="N33" s="8"/>
    </row>
    <row r="34" spans="3:14" x14ac:dyDescent="0.35">
      <c r="C34" s="5"/>
      <c r="D34" s="5"/>
      <c r="E34" s="5"/>
      <c r="F34" s="5"/>
      <c r="G34" s="5"/>
      <c r="H34" s="5"/>
      <c r="I34" s="8"/>
      <c r="J34" s="8"/>
      <c r="K34" s="8"/>
      <c r="L34" s="8"/>
      <c r="M34" s="8"/>
      <c r="N34" s="8"/>
    </row>
    <row r="35" spans="3:14" x14ac:dyDescent="0.35">
      <c r="C35" s="5"/>
      <c r="D35" s="5"/>
      <c r="E35" s="5"/>
      <c r="F35" s="5"/>
      <c r="G35" s="5"/>
      <c r="H35" s="5"/>
      <c r="I35" s="8"/>
      <c r="J35" s="8"/>
      <c r="K35" s="8"/>
      <c r="L35" s="8"/>
      <c r="M35" s="8"/>
      <c r="N35" s="8"/>
    </row>
    <row r="36" spans="3:14" x14ac:dyDescent="0.35">
      <c r="C36" s="5"/>
      <c r="D36" s="5"/>
      <c r="E36" s="5"/>
      <c r="F36" s="5"/>
      <c r="G36" s="5"/>
      <c r="H36" s="5"/>
      <c r="I36" s="8"/>
      <c r="J36" s="8"/>
      <c r="K36" s="8"/>
      <c r="L36" s="8"/>
      <c r="M36" s="8"/>
      <c r="N36" s="8"/>
    </row>
    <row r="37" spans="3:14" x14ac:dyDescent="0.35">
      <c r="C37" s="5"/>
      <c r="D37" s="5"/>
      <c r="E37" s="5"/>
      <c r="F37" s="5"/>
      <c r="G37" s="5"/>
      <c r="H37" s="5"/>
      <c r="I37" s="8"/>
      <c r="J37" s="8"/>
      <c r="K37" s="8"/>
      <c r="L37" s="8"/>
      <c r="M37" s="8"/>
      <c r="N37" s="8"/>
    </row>
    <row r="38" spans="3:14" x14ac:dyDescent="0.35">
      <c r="C38" s="5"/>
      <c r="D38" s="5"/>
      <c r="E38" s="5"/>
      <c r="F38" s="5"/>
      <c r="G38" s="5"/>
      <c r="H38" s="5"/>
      <c r="I38" s="8"/>
      <c r="J38" s="8"/>
      <c r="K38" s="8"/>
      <c r="L38" s="8"/>
      <c r="M38" s="8"/>
      <c r="N38" s="8"/>
    </row>
    <row r="39" spans="3:14" x14ac:dyDescent="0.35">
      <c r="C39" s="5"/>
      <c r="D39" s="5"/>
      <c r="E39" s="5"/>
      <c r="F39" s="5"/>
      <c r="G39" s="5"/>
      <c r="H39" s="5"/>
      <c r="I39" s="8"/>
      <c r="J39" s="8"/>
      <c r="K39" s="8"/>
      <c r="L39" s="8"/>
      <c r="M39" s="8"/>
      <c r="N39" s="8"/>
    </row>
    <row r="40" spans="3:14" x14ac:dyDescent="0.35">
      <c r="C40" s="5"/>
      <c r="D40" s="5"/>
      <c r="E40" s="5"/>
      <c r="F40" s="5"/>
      <c r="G40" s="5"/>
      <c r="H40" s="5"/>
      <c r="I40" s="8"/>
      <c r="J40" s="8"/>
      <c r="K40" s="8"/>
      <c r="L40" s="8"/>
      <c r="M40" s="8"/>
      <c r="N40" s="8"/>
    </row>
    <row r="41" spans="3:14" x14ac:dyDescent="0.35">
      <c r="C41" s="5"/>
      <c r="D41" s="5"/>
      <c r="E41" s="5"/>
      <c r="F41" s="5"/>
      <c r="G41" s="5"/>
      <c r="H41" s="5"/>
      <c r="I41" s="8"/>
      <c r="J41" s="8"/>
      <c r="K41" s="8"/>
      <c r="L41" s="8"/>
      <c r="M41" s="8"/>
      <c r="N41" s="8"/>
    </row>
    <row r="42" spans="3:14" x14ac:dyDescent="0.35">
      <c r="C42" s="5"/>
      <c r="D42" s="5"/>
      <c r="E42" s="5"/>
      <c r="F42" s="5"/>
      <c r="G42" s="5"/>
      <c r="H42" s="5"/>
      <c r="I42" s="8"/>
      <c r="J42" s="8"/>
      <c r="K42" s="8"/>
      <c r="L42" s="8"/>
      <c r="M42" s="8"/>
      <c r="N42" s="8"/>
    </row>
    <row r="43" spans="3:14" x14ac:dyDescent="0.35">
      <c r="C43" s="5"/>
      <c r="D43" s="5"/>
      <c r="E43" s="5"/>
      <c r="F43" s="5"/>
      <c r="G43" s="5"/>
      <c r="H43" s="5"/>
      <c r="I43" s="8"/>
      <c r="J43" s="8"/>
      <c r="K43" s="8"/>
      <c r="L43" s="8"/>
      <c r="M43" s="8"/>
      <c r="N43" s="8"/>
    </row>
    <row r="44" spans="3:14" x14ac:dyDescent="0.35">
      <c r="C44" s="5"/>
      <c r="D44" s="5"/>
      <c r="E44" s="5"/>
      <c r="F44" s="5"/>
      <c r="G44" s="5"/>
      <c r="H44" s="5"/>
      <c r="I44" s="8"/>
      <c r="J44" s="8"/>
      <c r="K44" s="8"/>
      <c r="L44" s="8"/>
      <c r="M44" s="8"/>
      <c r="N44" s="8"/>
    </row>
    <row r="45" spans="3:14" x14ac:dyDescent="0.35">
      <c r="C45" s="5"/>
      <c r="D45" s="5"/>
      <c r="E45" s="5"/>
      <c r="F45" s="5"/>
      <c r="G45" s="5"/>
      <c r="H45" s="5"/>
      <c r="I45" s="8"/>
      <c r="J45" s="8"/>
      <c r="K45" s="8"/>
      <c r="L45" s="8"/>
      <c r="M45" s="8"/>
      <c r="N45" s="8"/>
    </row>
    <row r="46" spans="3:14" x14ac:dyDescent="0.35">
      <c r="C46" s="5"/>
      <c r="D46" s="5"/>
      <c r="E46" s="5"/>
      <c r="F46" s="5"/>
      <c r="G46" s="5"/>
      <c r="H46" s="5"/>
      <c r="I46" s="8"/>
      <c r="J46" s="8"/>
      <c r="K46" s="8"/>
      <c r="L46" s="8"/>
      <c r="M46" s="8"/>
      <c r="N46" s="8"/>
    </row>
    <row r="47" spans="3:14" x14ac:dyDescent="0.35">
      <c r="C47" s="5"/>
      <c r="D47" s="5"/>
      <c r="E47" s="5"/>
      <c r="F47" s="5"/>
      <c r="G47" s="5"/>
      <c r="H47" s="5"/>
      <c r="I47" s="8"/>
      <c r="J47" s="8"/>
      <c r="K47" s="8"/>
      <c r="L47" s="8"/>
      <c r="M47" s="8"/>
      <c r="N47" s="8"/>
    </row>
    <row r="48" spans="3:14" x14ac:dyDescent="0.35">
      <c r="C48" s="5"/>
      <c r="D48" s="5"/>
      <c r="E48" s="5"/>
      <c r="F48" s="5"/>
      <c r="G48" s="5"/>
      <c r="H48" s="5"/>
      <c r="I48" s="8"/>
      <c r="J48" s="8"/>
      <c r="K48" s="8"/>
      <c r="L48" s="8"/>
      <c r="M48" s="8"/>
      <c r="N48" s="8"/>
    </row>
    <row r="49" spans="3:14" x14ac:dyDescent="0.35">
      <c r="C49" s="5"/>
      <c r="D49" s="5"/>
      <c r="E49" s="5"/>
      <c r="F49" s="5"/>
      <c r="G49" s="5"/>
      <c r="H49" s="5"/>
      <c r="I49" s="8"/>
      <c r="J49" s="8"/>
      <c r="K49" s="8"/>
      <c r="L49" s="8"/>
      <c r="M49" s="8"/>
      <c r="N49" s="8"/>
    </row>
    <row r="50" spans="3:14" x14ac:dyDescent="0.35">
      <c r="C50" s="5"/>
      <c r="D50" s="5"/>
      <c r="E50" s="5"/>
      <c r="F50" s="5"/>
      <c r="G50" s="5"/>
      <c r="H50" s="5"/>
      <c r="I50" s="8"/>
      <c r="J50" s="8"/>
      <c r="K50" s="8"/>
      <c r="L50" s="8"/>
      <c r="M50" s="8"/>
      <c r="N50" s="8"/>
    </row>
    <row r="51" spans="3:14" x14ac:dyDescent="0.35">
      <c r="C51" s="5"/>
      <c r="D51" s="5"/>
      <c r="E51" s="5"/>
      <c r="F51" s="5"/>
      <c r="G51" s="5"/>
      <c r="H51" s="5"/>
      <c r="I51" s="8"/>
      <c r="J51" s="8"/>
      <c r="K51" s="8"/>
      <c r="L51" s="8"/>
      <c r="M51" s="8"/>
      <c r="N51" s="8"/>
    </row>
    <row r="52" spans="3:14" x14ac:dyDescent="0.35">
      <c r="C52" s="5"/>
      <c r="D52" s="5"/>
      <c r="E52" s="5"/>
      <c r="F52" s="5"/>
      <c r="G52" s="5"/>
      <c r="H52" s="5"/>
      <c r="I52" s="8"/>
      <c r="J52" s="8"/>
      <c r="K52" s="8"/>
      <c r="L52" s="8"/>
      <c r="M52" s="8"/>
      <c r="N52" s="8"/>
    </row>
    <row r="53" spans="3:14" x14ac:dyDescent="0.35">
      <c r="C53" s="5"/>
      <c r="D53" s="5"/>
      <c r="E53" s="5"/>
      <c r="F53" s="5"/>
      <c r="G53" s="5"/>
      <c r="H53" s="5"/>
      <c r="I53" s="8"/>
      <c r="J53" s="8"/>
      <c r="K53" s="8"/>
      <c r="L53" s="8"/>
      <c r="M53" s="8"/>
      <c r="N53" s="8"/>
    </row>
    <row r="54" spans="3:14" x14ac:dyDescent="0.35">
      <c r="C54" s="5"/>
      <c r="D54" s="5"/>
      <c r="E54" s="5"/>
      <c r="F54" s="5"/>
      <c r="G54" s="5"/>
      <c r="H54" s="5"/>
      <c r="I54" s="8"/>
      <c r="J54" s="8"/>
      <c r="K54" s="8"/>
      <c r="L54" s="8"/>
      <c r="M54" s="8"/>
      <c r="N54" s="8"/>
    </row>
    <row r="55" spans="3:14" x14ac:dyDescent="0.35">
      <c r="C55" s="5"/>
      <c r="D55" s="5"/>
      <c r="E55" s="5"/>
      <c r="F55" s="5"/>
      <c r="G55" s="5"/>
      <c r="H55" s="5"/>
      <c r="I55" s="8"/>
      <c r="J55" s="8"/>
      <c r="K55" s="8"/>
      <c r="L55" s="8"/>
      <c r="M55" s="8"/>
      <c r="N55" s="8"/>
    </row>
    <row r="56" spans="3:14" x14ac:dyDescent="0.35">
      <c r="C56" s="5"/>
      <c r="D56" s="5"/>
      <c r="E56" s="5"/>
      <c r="F56" s="5"/>
      <c r="G56" s="5"/>
      <c r="H56" s="5"/>
      <c r="I56" s="8"/>
      <c r="J56" s="8"/>
      <c r="K56" s="8"/>
      <c r="L56" s="8"/>
      <c r="M56" s="8"/>
      <c r="N56" s="8"/>
    </row>
    <row r="57" spans="3:14" x14ac:dyDescent="0.35">
      <c r="C57" s="5"/>
      <c r="D57" s="5"/>
      <c r="E57" s="5"/>
      <c r="F57" s="5"/>
      <c r="G57" s="5"/>
      <c r="H57" s="5"/>
      <c r="I57" s="8"/>
      <c r="J57" s="8"/>
      <c r="K57" s="8"/>
      <c r="L57" s="8"/>
      <c r="M57" s="8"/>
      <c r="N57" s="8"/>
    </row>
    <row r="58" spans="3:14" x14ac:dyDescent="0.35">
      <c r="C58" s="5"/>
      <c r="D58" s="5"/>
      <c r="E58" s="5"/>
      <c r="F58" s="5"/>
      <c r="G58" s="5"/>
      <c r="H58" s="5"/>
      <c r="I58" s="8"/>
      <c r="J58" s="8"/>
      <c r="K58" s="8"/>
      <c r="L58" s="8"/>
      <c r="M58" s="8"/>
      <c r="N58" s="8"/>
    </row>
    <row r="59" spans="3:14" x14ac:dyDescent="0.35">
      <c r="C59" s="5"/>
      <c r="D59" s="5"/>
      <c r="E59" s="5"/>
      <c r="F59" s="5"/>
      <c r="G59" s="5"/>
      <c r="H59" s="5"/>
      <c r="I59" s="8"/>
      <c r="J59" s="8"/>
      <c r="K59" s="8"/>
      <c r="L59" s="8"/>
      <c r="M59" s="8"/>
      <c r="N59" s="8"/>
    </row>
    <row r="60" spans="3:14" x14ac:dyDescent="0.35">
      <c r="C60" s="5"/>
      <c r="D60" s="5"/>
      <c r="E60" s="5"/>
      <c r="F60" s="5"/>
      <c r="G60" s="5"/>
      <c r="H60" s="5"/>
      <c r="I60" s="8"/>
      <c r="J60" s="8"/>
      <c r="K60" s="8"/>
      <c r="L60" s="8"/>
      <c r="M60" s="8"/>
      <c r="N60" s="8"/>
    </row>
    <row r="61" spans="3:14" x14ac:dyDescent="0.35">
      <c r="C61" s="5"/>
      <c r="D61" s="5"/>
      <c r="E61" s="5"/>
      <c r="F61" s="5"/>
      <c r="G61" s="5"/>
      <c r="H61" s="5"/>
      <c r="I61" s="8"/>
      <c r="J61" s="8"/>
      <c r="K61" s="8"/>
      <c r="L61" s="8"/>
      <c r="M61" s="8"/>
      <c r="N61" s="8"/>
    </row>
    <row r="62" spans="3:14" x14ac:dyDescent="0.35">
      <c r="C62" s="5"/>
      <c r="D62" s="5"/>
      <c r="E62" s="5"/>
      <c r="F62" s="5"/>
      <c r="G62" s="5"/>
      <c r="H62" s="5"/>
      <c r="I62" s="8"/>
      <c r="J62" s="8"/>
      <c r="K62" s="8"/>
      <c r="L62" s="8"/>
      <c r="M62" s="8"/>
      <c r="N62" s="8"/>
    </row>
    <row r="63" spans="3:14" x14ac:dyDescent="0.35">
      <c r="C63" s="5"/>
      <c r="D63" s="5"/>
      <c r="E63" s="5"/>
      <c r="F63" s="5"/>
      <c r="G63" s="5"/>
      <c r="H63" s="5"/>
      <c r="I63" s="8"/>
      <c r="J63" s="8"/>
      <c r="K63" s="8"/>
      <c r="L63" s="8"/>
      <c r="M63" s="8"/>
      <c r="N63" s="8"/>
    </row>
    <row r="64" spans="3:14" x14ac:dyDescent="0.35">
      <c r="C64" s="5"/>
      <c r="D64" s="5"/>
      <c r="E64" s="5"/>
      <c r="F64" s="5"/>
      <c r="G64" s="5"/>
      <c r="H64" s="5"/>
      <c r="I64" s="8"/>
      <c r="J64" s="8"/>
      <c r="K64" s="8"/>
      <c r="L64" s="8"/>
      <c r="M64" s="8"/>
      <c r="N64" s="8"/>
    </row>
    <row r="65" spans="3:14" x14ac:dyDescent="0.35">
      <c r="C65" s="5"/>
      <c r="D65" s="5"/>
      <c r="E65" s="5"/>
      <c r="F65" s="5"/>
      <c r="G65" s="5"/>
      <c r="H65" s="5"/>
      <c r="I65" s="8"/>
      <c r="J65" s="8"/>
      <c r="K65" s="8"/>
      <c r="L65" s="8"/>
      <c r="M65" s="8"/>
      <c r="N65" s="8"/>
    </row>
    <row r="66" spans="3:14" x14ac:dyDescent="0.35">
      <c r="C66" s="5"/>
      <c r="D66" s="5"/>
      <c r="E66" s="5"/>
      <c r="F66" s="5"/>
      <c r="G66" s="5"/>
      <c r="H66" s="5"/>
      <c r="I66" s="8"/>
      <c r="J66" s="8"/>
      <c r="K66" s="8"/>
      <c r="L66" s="8"/>
      <c r="M66" s="8"/>
      <c r="N66" s="8"/>
    </row>
    <row r="67" spans="3:14" x14ac:dyDescent="0.35">
      <c r="C67" s="5"/>
      <c r="D67" s="5"/>
      <c r="E67" s="5"/>
      <c r="F67" s="5"/>
      <c r="G67" s="5"/>
      <c r="H67" s="5"/>
      <c r="I67" s="8"/>
      <c r="J67" s="8"/>
      <c r="K67" s="8"/>
      <c r="L67" s="8"/>
      <c r="M67" s="8"/>
      <c r="N67" s="8"/>
    </row>
    <row r="68" spans="3:14" x14ac:dyDescent="0.35">
      <c r="C68" s="5"/>
      <c r="D68" s="5"/>
      <c r="E68" s="5"/>
      <c r="F68" s="5"/>
      <c r="G68" s="5"/>
      <c r="H68" s="5"/>
      <c r="I68" s="8"/>
      <c r="J68" s="8"/>
      <c r="K68" s="8"/>
      <c r="L68" s="8"/>
      <c r="M68" s="8"/>
      <c r="N68" s="8"/>
    </row>
    <row r="69" spans="3:14" x14ac:dyDescent="0.35">
      <c r="C69" s="5"/>
      <c r="D69" s="5"/>
      <c r="E69" s="5"/>
      <c r="F69" s="5"/>
      <c r="G69" s="5"/>
      <c r="H69" s="5"/>
      <c r="I69" s="8"/>
      <c r="J69" s="8"/>
      <c r="K69" s="8"/>
      <c r="L69" s="8"/>
      <c r="M69" s="8"/>
      <c r="N69" s="8"/>
    </row>
    <row r="70" spans="3:14" x14ac:dyDescent="0.35">
      <c r="C70" s="5"/>
      <c r="D70" s="5"/>
      <c r="E70" s="5"/>
      <c r="F70" s="5"/>
      <c r="G70" s="5"/>
      <c r="H70" s="5"/>
      <c r="I70" s="8"/>
      <c r="J70" s="8"/>
      <c r="K70" s="8"/>
      <c r="L70" s="8"/>
      <c r="M70" s="8"/>
      <c r="N70" s="8"/>
    </row>
    <row r="71" spans="3:14" x14ac:dyDescent="0.35">
      <c r="C71" s="5"/>
      <c r="D71" s="5"/>
      <c r="E71" s="5"/>
      <c r="F71" s="5"/>
      <c r="G71" s="5"/>
      <c r="H71" s="5"/>
      <c r="I71" s="8"/>
      <c r="J71" s="8"/>
      <c r="K71" s="8"/>
      <c r="L71" s="8"/>
      <c r="M71" s="8"/>
      <c r="N71" s="8"/>
    </row>
    <row r="72" spans="3:14" x14ac:dyDescent="0.35">
      <c r="C72" s="5"/>
      <c r="D72" s="5"/>
      <c r="E72" s="5"/>
      <c r="F72" s="5"/>
      <c r="G72" s="5"/>
      <c r="H72" s="5"/>
      <c r="I72" s="8"/>
      <c r="J72" s="8"/>
      <c r="K72" s="8"/>
      <c r="L72" s="8"/>
      <c r="M72" s="8"/>
      <c r="N72" s="8"/>
    </row>
    <row r="73" spans="3:14" x14ac:dyDescent="0.35">
      <c r="C73" s="5"/>
      <c r="D73" s="5"/>
      <c r="E73" s="5"/>
      <c r="F73" s="5"/>
      <c r="G73" s="5"/>
      <c r="H73" s="5"/>
      <c r="I73" s="8"/>
      <c r="J73" s="8"/>
      <c r="K73" s="8"/>
      <c r="L73" s="8"/>
      <c r="M73" s="8"/>
      <c r="N73" s="8"/>
    </row>
    <row r="74" spans="3:14" x14ac:dyDescent="0.35">
      <c r="C74" s="5"/>
      <c r="D74" s="5"/>
      <c r="E74" s="5"/>
      <c r="F74" s="5"/>
      <c r="G74" s="5"/>
      <c r="H74" s="5"/>
      <c r="I74" s="8"/>
      <c r="J74" s="8"/>
      <c r="K74" s="8"/>
      <c r="L74" s="8"/>
      <c r="M74" s="8"/>
      <c r="N74" s="8"/>
    </row>
    <row r="75" spans="3:14" x14ac:dyDescent="0.35">
      <c r="C75" s="5"/>
      <c r="D75" s="5"/>
      <c r="E75" s="5"/>
      <c r="F75" s="5"/>
      <c r="G75" s="5"/>
      <c r="H75" s="5"/>
      <c r="I75" s="8"/>
      <c r="J75" s="8"/>
      <c r="K75" s="8"/>
      <c r="L75" s="8"/>
      <c r="M75" s="8"/>
      <c r="N75" s="8"/>
    </row>
    <row r="76" spans="3:14" x14ac:dyDescent="0.35">
      <c r="C76" s="5"/>
      <c r="D76" s="5"/>
      <c r="E76" s="5"/>
      <c r="F76" s="5"/>
      <c r="G76" s="5"/>
      <c r="H76" s="5"/>
      <c r="I76" s="8"/>
      <c r="J76" s="8"/>
      <c r="K76" s="8"/>
      <c r="L76" s="8"/>
      <c r="M76" s="8"/>
      <c r="N76" s="8"/>
    </row>
    <row r="77" spans="3:14" x14ac:dyDescent="0.35">
      <c r="C77" s="5"/>
      <c r="D77" s="5"/>
      <c r="E77" s="5"/>
      <c r="F77" s="5"/>
      <c r="G77" s="5"/>
      <c r="H77" s="5"/>
      <c r="I77" s="8"/>
      <c r="J77" s="8"/>
      <c r="K77" s="8"/>
      <c r="L77" s="8"/>
      <c r="M77" s="8"/>
      <c r="N77" s="8"/>
    </row>
    <row r="78" spans="3:14" x14ac:dyDescent="0.35">
      <c r="C78" s="5"/>
      <c r="D78" s="5"/>
      <c r="E78" s="5"/>
      <c r="F78" s="5"/>
      <c r="G78" s="5"/>
      <c r="H78" s="5"/>
      <c r="I78" s="8"/>
      <c r="J78" s="8"/>
      <c r="K78" s="8"/>
      <c r="L78" s="8"/>
      <c r="M78" s="8"/>
      <c r="N78" s="8"/>
    </row>
    <row r="79" spans="3:14" x14ac:dyDescent="0.35">
      <c r="C79" s="5"/>
      <c r="D79" s="5"/>
      <c r="E79" s="5"/>
      <c r="F79" s="5"/>
      <c r="G79" s="5"/>
      <c r="H79" s="5"/>
      <c r="I79" s="8"/>
      <c r="J79" s="8"/>
      <c r="K79" s="8"/>
      <c r="L79" s="8"/>
      <c r="M79" s="8"/>
      <c r="N79" s="8"/>
    </row>
    <row r="80" spans="3:14" x14ac:dyDescent="0.35">
      <c r="C80" s="5"/>
      <c r="D80" s="5"/>
      <c r="E80" s="5"/>
      <c r="F80" s="5"/>
      <c r="G80" s="5"/>
      <c r="H80" s="5"/>
      <c r="I80" s="8"/>
      <c r="J80" s="8"/>
      <c r="K80" s="8"/>
      <c r="L80" s="8"/>
      <c r="M80" s="8"/>
      <c r="N80" s="8"/>
    </row>
    <row r="81" spans="3:14" x14ac:dyDescent="0.35">
      <c r="C81" s="5"/>
      <c r="D81" s="5"/>
      <c r="E81" s="5"/>
      <c r="F81" s="5"/>
      <c r="G81" s="5"/>
      <c r="H81" s="5"/>
      <c r="I81" s="8"/>
      <c r="J81" s="8"/>
      <c r="K81" s="8"/>
      <c r="L81" s="8"/>
      <c r="M81" s="8"/>
      <c r="N81" s="8"/>
    </row>
    <row r="82" spans="3:14" x14ac:dyDescent="0.35">
      <c r="C82" s="5"/>
      <c r="D82" s="5"/>
      <c r="E82" s="5"/>
      <c r="F82" s="5"/>
      <c r="G82" s="5"/>
      <c r="H82" s="5"/>
      <c r="I82" s="8"/>
      <c r="J82" s="8"/>
      <c r="K82" s="8"/>
      <c r="L82" s="8"/>
      <c r="M82" s="8"/>
      <c r="N82" s="8"/>
    </row>
    <row r="83" spans="3:14" x14ac:dyDescent="0.35">
      <c r="C83" s="5"/>
      <c r="D83" s="5"/>
      <c r="E83" s="5"/>
      <c r="F83" s="5"/>
      <c r="G83" s="5"/>
      <c r="H83" s="5"/>
      <c r="I83" s="8"/>
      <c r="J83" s="8"/>
      <c r="K83" s="8"/>
      <c r="L83" s="8"/>
      <c r="M83" s="8"/>
      <c r="N83" s="8"/>
    </row>
    <row r="84" spans="3:14" x14ac:dyDescent="0.35">
      <c r="C84" s="5"/>
      <c r="D84" s="5"/>
      <c r="E84" s="5"/>
      <c r="F84" s="5"/>
      <c r="G84" s="5"/>
      <c r="H84" s="5"/>
      <c r="I84" s="8"/>
      <c r="J84" s="8"/>
      <c r="K84" s="8"/>
      <c r="L84" s="8"/>
      <c r="M84" s="8"/>
      <c r="N84" s="8"/>
    </row>
    <row r="85" spans="3:14" x14ac:dyDescent="0.35">
      <c r="C85" s="5"/>
      <c r="D85" s="5"/>
      <c r="E85" s="5"/>
      <c r="F85" s="5"/>
      <c r="G85" s="5"/>
      <c r="H85" s="5"/>
      <c r="I85" s="8"/>
      <c r="J85" s="8"/>
      <c r="K85" s="8"/>
      <c r="L85" s="8"/>
      <c r="M85" s="8"/>
      <c r="N85" s="8"/>
    </row>
    <row r="86" spans="3:14" x14ac:dyDescent="0.35">
      <c r="C86" s="5"/>
      <c r="D86" s="5"/>
      <c r="E86" s="5"/>
      <c r="F86" s="5"/>
      <c r="G86" s="5"/>
      <c r="H86" s="5"/>
      <c r="I86" s="8"/>
      <c r="J86" s="8"/>
      <c r="K86" s="8"/>
      <c r="L86" s="8"/>
      <c r="M86" s="8"/>
      <c r="N86" s="8"/>
    </row>
    <row r="87" spans="3:14" x14ac:dyDescent="0.35">
      <c r="C87" s="5"/>
      <c r="D87" s="5"/>
      <c r="E87" s="5"/>
      <c r="F87" s="5"/>
      <c r="G87" s="5"/>
      <c r="H87" s="5"/>
      <c r="I87" s="8"/>
      <c r="J87" s="8"/>
      <c r="K87" s="8"/>
      <c r="L87" s="8"/>
      <c r="M87" s="8"/>
      <c r="N87" s="8"/>
    </row>
    <row r="88" spans="3:14" x14ac:dyDescent="0.35">
      <c r="C88" s="5"/>
      <c r="D88" s="5"/>
      <c r="E88" s="5"/>
      <c r="F88" s="5"/>
      <c r="G88" s="5"/>
      <c r="H88" s="5"/>
      <c r="I88" s="8"/>
      <c r="J88" s="8"/>
      <c r="K88" s="8"/>
      <c r="L88" s="8"/>
      <c r="M88" s="8"/>
      <c r="N88" s="8"/>
    </row>
    <row r="89" spans="3:14" x14ac:dyDescent="0.35">
      <c r="C89" s="5"/>
      <c r="D89" s="5"/>
      <c r="E89" s="5"/>
      <c r="F89" s="5"/>
      <c r="G89" s="5"/>
      <c r="H89" s="5"/>
      <c r="I89" s="8"/>
      <c r="J89" s="8"/>
      <c r="K89" s="8"/>
      <c r="L89" s="8"/>
      <c r="M89" s="8"/>
      <c r="N89" s="8"/>
    </row>
    <row r="90" spans="3:14" x14ac:dyDescent="0.35">
      <c r="C90" s="5"/>
      <c r="D90" s="5"/>
      <c r="E90" s="5"/>
      <c r="F90" s="5"/>
      <c r="G90" s="5"/>
      <c r="H90" s="5"/>
      <c r="I90" s="8"/>
      <c r="J90" s="8"/>
      <c r="K90" s="8"/>
      <c r="L90" s="8"/>
      <c r="M90" s="8"/>
      <c r="N90" s="8"/>
    </row>
    <row r="91" spans="3:14" x14ac:dyDescent="0.35">
      <c r="C91" s="5"/>
      <c r="D91" s="5"/>
      <c r="E91" s="5"/>
      <c r="F91" s="5"/>
      <c r="G91" s="5"/>
      <c r="H91" s="5"/>
      <c r="I91" s="8"/>
      <c r="J91" s="8"/>
      <c r="K91" s="8"/>
      <c r="L91" s="8"/>
      <c r="M91" s="8"/>
      <c r="N91" s="8"/>
    </row>
    <row r="92" spans="3:14" x14ac:dyDescent="0.35">
      <c r="C92" s="5"/>
      <c r="D92" s="5"/>
      <c r="E92" s="5"/>
      <c r="F92" s="5"/>
      <c r="G92" s="5"/>
      <c r="H92" s="5"/>
      <c r="I92" s="8"/>
      <c r="J92" s="8"/>
      <c r="K92" s="8"/>
      <c r="L92" s="8"/>
      <c r="M92" s="8"/>
      <c r="N92" s="8"/>
    </row>
    <row r="93" spans="3:14" x14ac:dyDescent="0.35">
      <c r="C93" s="5"/>
      <c r="D93" s="5"/>
      <c r="E93" s="5"/>
      <c r="F93" s="5"/>
      <c r="G93" s="5"/>
      <c r="H93" s="5"/>
      <c r="I93" s="8"/>
      <c r="J93" s="8"/>
      <c r="K93" s="8"/>
      <c r="L93" s="8"/>
      <c r="M93" s="8"/>
      <c r="N93" s="8"/>
    </row>
    <row r="94" spans="3:14" x14ac:dyDescent="0.35">
      <c r="C94" s="5"/>
      <c r="D94" s="5"/>
      <c r="E94" s="5"/>
      <c r="F94" s="5"/>
      <c r="G94" s="5"/>
      <c r="H94" s="5"/>
      <c r="I94" s="8"/>
      <c r="J94" s="8"/>
      <c r="K94" s="8"/>
      <c r="L94" s="8"/>
      <c r="M94" s="8"/>
      <c r="N94" s="8"/>
    </row>
    <row r="95" spans="3:14" x14ac:dyDescent="0.35">
      <c r="C95" s="5"/>
      <c r="D95" s="5"/>
      <c r="E95" s="5"/>
      <c r="F95" s="5"/>
      <c r="G95" s="5"/>
      <c r="H95" s="5"/>
      <c r="I95" s="8"/>
      <c r="J95" s="8"/>
      <c r="K95" s="8"/>
      <c r="L95" s="8"/>
      <c r="M95" s="8"/>
      <c r="N95" s="8"/>
    </row>
    <row r="96" spans="3:14" x14ac:dyDescent="0.35">
      <c r="C96" s="5"/>
      <c r="D96" s="5"/>
      <c r="E96" s="5"/>
      <c r="F96" s="5"/>
      <c r="G96" s="5"/>
      <c r="H96" s="5"/>
      <c r="I96" s="8"/>
      <c r="J96" s="8"/>
      <c r="K96" s="8"/>
      <c r="L96" s="8"/>
      <c r="M96" s="8"/>
      <c r="N96" s="8"/>
    </row>
    <row r="97" spans="3:14" x14ac:dyDescent="0.35">
      <c r="C97" s="5"/>
      <c r="D97" s="5"/>
      <c r="E97" s="5"/>
      <c r="F97" s="5"/>
      <c r="G97" s="5"/>
      <c r="H97" s="5"/>
      <c r="I97" s="8"/>
      <c r="J97" s="8"/>
      <c r="K97" s="8"/>
      <c r="L97" s="8"/>
      <c r="M97" s="8"/>
      <c r="N97" s="8"/>
    </row>
    <row r="98" spans="3:14" x14ac:dyDescent="0.35">
      <c r="C98" s="5"/>
      <c r="D98" s="5"/>
      <c r="E98" s="5"/>
      <c r="F98" s="5"/>
      <c r="G98" s="5"/>
      <c r="H98" s="5"/>
      <c r="I98" s="8"/>
      <c r="J98" s="8"/>
      <c r="K98" s="8"/>
      <c r="L98" s="8"/>
      <c r="M98" s="8"/>
      <c r="N98" s="8"/>
    </row>
    <row r="99" spans="3:14" x14ac:dyDescent="0.35">
      <c r="C99" s="5"/>
      <c r="D99" s="5"/>
      <c r="E99" s="5"/>
      <c r="F99" s="5"/>
      <c r="G99" s="5"/>
      <c r="H99" s="5"/>
      <c r="I99" s="8"/>
      <c r="J99" s="8"/>
      <c r="K99" s="8"/>
      <c r="L99" s="8"/>
      <c r="M99" s="8"/>
      <c r="N99" s="8"/>
    </row>
    <row r="100" spans="3:14" x14ac:dyDescent="0.35">
      <c r="C100" s="5"/>
      <c r="D100" s="5"/>
      <c r="E100" s="5"/>
      <c r="F100" s="5"/>
      <c r="G100" s="5"/>
      <c r="H100" s="5"/>
      <c r="I100" s="8"/>
      <c r="J100" s="8"/>
      <c r="K100" s="8"/>
      <c r="L100" s="8"/>
      <c r="M100" s="8"/>
      <c r="N100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90518-A9E4-4C26-8381-70559E4D381D}">
  <sheetPr filterMode="1">
    <tabColor theme="5" tint="0.79998168889431442"/>
  </sheetPr>
  <dimension ref="B1:M507"/>
  <sheetViews>
    <sheetView zoomScale="70" zoomScaleNormal="70" workbookViewId="0">
      <selection activeCell="H13" sqref="H13"/>
    </sheetView>
  </sheetViews>
  <sheetFormatPr defaultRowHeight="14.5" x14ac:dyDescent="0.35"/>
  <cols>
    <col min="1" max="2" width="2.6328125" customWidth="1"/>
    <col min="3" max="13" width="13.6328125" customWidth="1"/>
  </cols>
  <sheetData>
    <row r="1" spans="2:13" s="1" customFormat="1" x14ac:dyDescent="0.35"/>
    <row r="2" spans="2:13" s="1" customFormat="1" x14ac:dyDescent="0.35"/>
    <row r="3" spans="2:13" s="1" customFormat="1" ht="21" x14ac:dyDescent="0.5">
      <c r="B3" s="4" t="s">
        <v>23</v>
      </c>
    </row>
    <row r="4" spans="2:13" s="1" customFormat="1" x14ac:dyDescent="0.35"/>
    <row r="5" spans="2:13" s="2" customFormat="1" x14ac:dyDescent="0.35"/>
    <row r="7" spans="2:13" x14ac:dyDescent="0.35">
      <c r="C7" s="3" t="s">
        <v>0</v>
      </c>
      <c r="D7" s="3" t="s">
        <v>15</v>
      </c>
      <c r="E7" s="3" t="s">
        <v>16</v>
      </c>
      <c r="F7" s="3" t="s">
        <v>33</v>
      </c>
      <c r="G7" s="3" t="s">
        <v>17</v>
      </c>
      <c r="H7" s="3" t="s">
        <v>18</v>
      </c>
      <c r="I7" s="3" t="s">
        <v>21</v>
      </c>
      <c r="J7" s="3" t="s">
        <v>32</v>
      </c>
      <c r="K7" s="3" t="s">
        <v>20</v>
      </c>
      <c r="L7" s="20" t="s">
        <v>22</v>
      </c>
      <c r="M7" s="20" t="s">
        <v>9</v>
      </c>
    </row>
    <row r="8" spans="2:13" hidden="1" x14ac:dyDescent="0.35">
      <c r="C8" s="18">
        <v>45992</v>
      </c>
      <c r="D8" s="5">
        <v>1006215031</v>
      </c>
      <c r="E8" s="5" t="s">
        <v>1277</v>
      </c>
      <c r="F8" s="5" t="s">
        <v>903</v>
      </c>
      <c r="G8" s="5">
        <v>0</v>
      </c>
      <c r="H8" s="5">
        <v>1</v>
      </c>
      <c r="I8" s="19">
        <v>77674.774193548074</v>
      </c>
      <c r="J8" s="19">
        <v>286189.98128906003</v>
      </c>
      <c r="K8" s="5">
        <v>1</v>
      </c>
      <c r="L8" s="21" t="str">
        <f>IF(ISNA(_xlfn.XLOOKUP(D8,'Same Seller Hist'!E:E,'Same Seller Hist'!E:E)),"Não","Sim")</f>
        <v>Não</v>
      </c>
      <c r="M8" s="21" t="str">
        <f>_xlfn.IFNA(_xlfn.XLOOKUP(D8,'Same Seller Hist'!E:E,'Same Seller Hist'!M:M),"Não Match")</f>
        <v>Não Match</v>
      </c>
    </row>
    <row r="9" spans="2:13" x14ac:dyDescent="0.35">
      <c r="C9" s="18">
        <v>45992</v>
      </c>
      <c r="D9" s="5">
        <v>391739739</v>
      </c>
      <c r="E9" s="5" t="s">
        <v>1278</v>
      </c>
      <c r="F9" s="5" t="s">
        <v>1734</v>
      </c>
      <c r="G9" s="5">
        <v>1</v>
      </c>
      <c r="H9" s="5">
        <v>1</v>
      </c>
      <c r="I9" s="19">
        <v>6695.3225806451292</v>
      </c>
      <c r="J9" s="19">
        <v>52809.985030649033</v>
      </c>
      <c r="K9" s="5">
        <v>2</v>
      </c>
      <c r="L9" s="21" t="str">
        <f>IF(ISNA(_xlfn.XLOOKUP(D9,'Same Seller Hist'!E:E,'Same Seller Hist'!E:E)),"Não","Sim")</f>
        <v>Sim</v>
      </c>
      <c r="M9" s="21" t="str">
        <f>_xlfn.IFNA(_xlfn.XLOOKUP(D9,'Same Seller Hist'!E:E,'Same Seller Hist'!M:M),"Não Match")</f>
        <v>Ativo</v>
      </c>
    </row>
    <row r="10" spans="2:13" x14ac:dyDescent="0.35">
      <c r="C10" s="18">
        <v>45992</v>
      </c>
      <c r="D10" s="5">
        <v>616222685</v>
      </c>
      <c r="E10" s="5" t="s">
        <v>651</v>
      </c>
      <c r="F10" s="5" t="s">
        <v>906</v>
      </c>
      <c r="G10" s="5">
        <v>0</v>
      </c>
      <c r="H10" s="5">
        <v>1</v>
      </c>
      <c r="I10" s="19">
        <v>5865.1935483870648</v>
      </c>
      <c r="J10" s="19">
        <v>37595.713625974196</v>
      </c>
      <c r="K10" s="5">
        <v>3</v>
      </c>
      <c r="L10" s="21" t="str">
        <f>IF(ISNA(_xlfn.XLOOKUP(D10,'Same Seller Hist'!E:E,'Same Seller Hist'!E:E)),"Não","Sim")</f>
        <v>Sim</v>
      </c>
      <c r="M10" s="21" t="str">
        <f>_xlfn.IFNA(_xlfn.XLOOKUP(D10,'Same Seller Hist'!E:E,'Same Seller Hist'!M:M),"Não Match")</f>
        <v>Ativo</v>
      </c>
    </row>
    <row r="11" spans="2:13" hidden="1" x14ac:dyDescent="0.35">
      <c r="C11" s="18">
        <v>45992</v>
      </c>
      <c r="D11" s="5">
        <v>426378412</v>
      </c>
      <c r="E11" s="5" t="s">
        <v>1279</v>
      </c>
      <c r="F11" s="5" t="s">
        <v>903</v>
      </c>
      <c r="G11" s="5">
        <v>0</v>
      </c>
      <c r="H11" s="5">
        <v>0</v>
      </c>
      <c r="I11" s="19">
        <v>5217.5483870967419</v>
      </c>
      <c r="J11" s="19">
        <v>50635.703335102255</v>
      </c>
      <c r="K11" s="5">
        <v>4</v>
      </c>
      <c r="L11" s="21" t="str">
        <f>IF(ISNA(_xlfn.XLOOKUP(D11,'Same Seller Hist'!E:E,'Same Seller Hist'!E:E)),"Não","Sim")</f>
        <v>Não</v>
      </c>
      <c r="M11" s="21" t="str">
        <f>_xlfn.IFNA(_xlfn.XLOOKUP(D11,'Same Seller Hist'!E:E,'Same Seller Hist'!M:M),"Não Match")</f>
        <v>Não Match</v>
      </c>
    </row>
    <row r="12" spans="2:13" x14ac:dyDescent="0.35">
      <c r="C12" s="18">
        <v>45992</v>
      </c>
      <c r="D12" s="5">
        <v>552896405</v>
      </c>
      <c r="E12" s="5" t="s">
        <v>1280</v>
      </c>
      <c r="F12" s="5" t="s">
        <v>905</v>
      </c>
      <c r="G12" s="5">
        <v>0</v>
      </c>
      <c r="H12" s="5">
        <v>1</v>
      </c>
      <c r="I12" s="19">
        <v>5043.8387096773877</v>
      </c>
      <c r="J12" s="19">
        <v>53289.3035561</v>
      </c>
      <c r="K12" s="5">
        <v>5</v>
      </c>
      <c r="L12" s="21" t="str">
        <f>IF(ISNA(_xlfn.XLOOKUP(D12,'Same Seller Hist'!E:E,'Same Seller Hist'!E:E)),"Não","Sim")</f>
        <v>Sim</v>
      </c>
      <c r="M12" s="21" t="str">
        <f>_xlfn.IFNA(_xlfn.XLOOKUP(D12,'Same Seller Hist'!E:E,'Same Seller Hist'!M:M),"Não Match")</f>
        <v>Ativo</v>
      </c>
    </row>
    <row r="13" spans="2:13" x14ac:dyDescent="0.35">
      <c r="C13" s="18">
        <v>45992</v>
      </c>
      <c r="D13" s="5">
        <v>974102638</v>
      </c>
      <c r="E13" s="5" t="s">
        <v>1281</v>
      </c>
      <c r="F13" s="5" t="s">
        <v>1734</v>
      </c>
      <c r="G13" s="5">
        <v>1</v>
      </c>
      <c r="H13" s="5">
        <v>1</v>
      </c>
      <c r="I13" s="19">
        <v>4870.1612903225487</v>
      </c>
      <c r="J13" s="19">
        <v>49065.870932193873</v>
      </c>
      <c r="K13" s="5">
        <v>6</v>
      </c>
      <c r="L13" s="21" t="str">
        <f>IF(ISNA(_xlfn.XLOOKUP(D13,'Same Seller Hist'!E:E,'Same Seller Hist'!E:E)),"Não","Sim")</f>
        <v>Sim</v>
      </c>
      <c r="M13" s="21" t="str">
        <f>_xlfn.IFNA(_xlfn.XLOOKUP(D13,'Same Seller Hist'!E:E,'Same Seller Hist'!M:M),"Não Match")</f>
        <v>Ativo</v>
      </c>
    </row>
    <row r="14" spans="2:13" hidden="1" x14ac:dyDescent="0.35">
      <c r="C14" s="18">
        <v>45992</v>
      </c>
      <c r="D14" s="5">
        <v>400311012</v>
      </c>
      <c r="E14" s="5" t="s">
        <v>1282</v>
      </c>
      <c r="F14" s="5" t="s">
        <v>1734</v>
      </c>
      <c r="G14" s="5">
        <v>1</v>
      </c>
      <c r="H14" s="5">
        <v>1</v>
      </c>
      <c r="I14" s="19">
        <v>4771.9677419354521</v>
      </c>
      <c r="J14" s="19">
        <v>26969.904764311999</v>
      </c>
      <c r="K14" s="5">
        <v>7</v>
      </c>
      <c r="L14" s="21" t="str">
        <f>IF(ISNA(_xlfn.XLOOKUP(D14,'Same Seller Hist'!E:E,'Same Seller Hist'!E:E)),"Não","Sim")</f>
        <v>Não</v>
      </c>
      <c r="M14" s="21" t="str">
        <f>_xlfn.IFNA(_xlfn.XLOOKUP(D14,'Same Seller Hist'!E:E,'Same Seller Hist'!M:M),"Não Match")</f>
        <v>Não Match</v>
      </c>
    </row>
    <row r="15" spans="2:13" hidden="1" x14ac:dyDescent="0.35">
      <c r="C15" s="18">
        <v>45992</v>
      </c>
      <c r="D15" s="5">
        <v>526625785</v>
      </c>
      <c r="E15" s="5" t="s">
        <v>1283</v>
      </c>
      <c r="F15" s="5" t="s">
        <v>1734</v>
      </c>
      <c r="G15" s="5">
        <v>1</v>
      </c>
      <c r="H15" s="5">
        <v>1</v>
      </c>
      <c r="I15" s="19">
        <v>4614.4838709677097</v>
      </c>
      <c r="J15" s="19">
        <v>32376.695168381935</v>
      </c>
      <c r="K15" s="5">
        <v>8</v>
      </c>
      <c r="L15" s="21" t="str">
        <f>IF(ISNA(_xlfn.XLOOKUP(D15,'Same Seller Hist'!E:E,'Same Seller Hist'!E:E)),"Não","Sim")</f>
        <v>Não</v>
      </c>
      <c r="M15" s="21" t="str">
        <f>_xlfn.IFNA(_xlfn.XLOOKUP(D15,'Same Seller Hist'!E:E,'Same Seller Hist'!M:M),"Não Match")</f>
        <v>Não Match</v>
      </c>
    </row>
    <row r="16" spans="2:13" hidden="1" x14ac:dyDescent="0.35">
      <c r="C16" s="18">
        <v>45992</v>
      </c>
      <c r="D16" s="5">
        <v>811879342</v>
      </c>
      <c r="E16" s="5" t="s">
        <v>1284</v>
      </c>
      <c r="F16" s="5" t="s">
        <v>904</v>
      </c>
      <c r="G16" s="5">
        <v>0</v>
      </c>
      <c r="H16" s="5">
        <v>1</v>
      </c>
      <c r="I16" s="19">
        <v>4605.8709677419356</v>
      </c>
      <c r="J16" s="19">
        <v>117662.56899865001</v>
      </c>
      <c r="K16" s="5">
        <v>9</v>
      </c>
      <c r="L16" s="21" t="str">
        <f>IF(ISNA(_xlfn.XLOOKUP(D16,'Same Seller Hist'!E:E,'Same Seller Hist'!E:E)),"Não","Sim")</f>
        <v>Não</v>
      </c>
      <c r="M16" s="21" t="str">
        <f>_xlfn.IFNA(_xlfn.XLOOKUP(D16,'Same Seller Hist'!E:E,'Same Seller Hist'!M:M),"Não Match")</f>
        <v>Não Match</v>
      </c>
    </row>
    <row r="17" spans="3:13" x14ac:dyDescent="0.35">
      <c r="C17" s="18">
        <v>45992</v>
      </c>
      <c r="D17" s="5">
        <v>362859393</v>
      </c>
      <c r="E17" s="5" t="s">
        <v>1285</v>
      </c>
      <c r="F17" s="5" t="s">
        <v>1734</v>
      </c>
      <c r="G17" s="5">
        <v>1</v>
      </c>
      <c r="H17" s="5">
        <v>0</v>
      </c>
      <c r="I17" s="19">
        <v>4604.9354838709678</v>
      </c>
      <c r="J17" s="19">
        <v>14928.731364747517</v>
      </c>
      <c r="K17" s="5">
        <v>10</v>
      </c>
      <c r="L17" s="21" t="str">
        <f>IF(ISNA(_xlfn.XLOOKUP(D17,'Same Seller Hist'!E:E,'Same Seller Hist'!E:E)),"Não","Sim")</f>
        <v>Sim</v>
      </c>
      <c r="M17" s="21" t="str">
        <f>_xlfn.IFNA(_xlfn.XLOOKUP(D17,'Same Seller Hist'!E:E,'Same Seller Hist'!M:M),"Não Match")</f>
        <v>Ativo</v>
      </c>
    </row>
    <row r="18" spans="3:13" hidden="1" x14ac:dyDescent="0.35">
      <c r="C18" s="18">
        <v>45992</v>
      </c>
      <c r="D18" s="5">
        <v>455834389</v>
      </c>
      <c r="E18" s="5" t="s">
        <v>1286</v>
      </c>
      <c r="F18" s="5" t="s">
        <v>906</v>
      </c>
      <c r="G18" s="5">
        <v>0</v>
      </c>
      <c r="H18" s="5">
        <v>1</v>
      </c>
      <c r="I18" s="19">
        <v>4345.9677419354521</v>
      </c>
      <c r="J18" s="19">
        <v>27679.725641202578</v>
      </c>
      <c r="K18" s="5">
        <v>11</v>
      </c>
      <c r="L18" s="21" t="str">
        <f>IF(ISNA(_xlfn.XLOOKUP(D18,'Same Seller Hist'!E:E,'Same Seller Hist'!E:E)),"Não","Sim")</f>
        <v>Não</v>
      </c>
      <c r="M18" s="21" t="str">
        <f>_xlfn.IFNA(_xlfn.XLOOKUP(D18,'Same Seller Hist'!E:E,'Same Seller Hist'!M:M),"Não Match")</f>
        <v>Não Match</v>
      </c>
    </row>
    <row r="19" spans="3:13" x14ac:dyDescent="0.35">
      <c r="C19" s="18">
        <v>45992</v>
      </c>
      <c r="D19" s="5">
        <v>1045085918</v>
      </c>
      <c r="E19" s="5" t="s">
        <v>71</v>
      </c>
      <c r="F19" s="5" t="s">
        <v>906</v>
      </c>
      <c r="G19" s="5">
        <v>0</v>
      </c>
      <c r="H19" s="5">
        <v>1</v>
      </c>
      <c r="I19" s="19">
        <v>4299.4838709677415</v>
      </c>
      <c r="J19" s="19">
        <v>22995.674944848677</v>
      </c>
      <c r="K19" s="5">
        <v>12</v>
      </c>
      <c r="L19" s="21" t="str">
        <f>IF(ISNA(_xlfn.XLOOKUP(D19,'Same Seller Hist'!E:E,'Same Seller Hist'!E:E)),"Não","Sim")</f>
        <v>Sim</v>
      </c>
      <c r="M19" s="21" t="str">
        <f>_xlfn.IFNA(_xlfn.XLOOKUP(D19,'Same Seller Hist'!E:E,'Same Seller Hist'!M:M),"Não Match")</f>
        <v>Ativo</v>
      </c>
    </row>
    <row r="20" spans="3:13" hidden="1" x14ac:dyDescent="0.35">
      <c r="C20" s="18">
        <v>45992</v>
      </c>
      <c r="D20" s="5">
        <v>1127030290</v>
      </c>
      <c r="E20" s="5" t="s">
        <v>1287</v>
      </c>
      <c r="F20" s="5" t="s">
        <v>1734</v>
      </c>
      <c r="G20" s="5">
        <v>1</v>
      </c>
      <c r="H20" s="5">
        <v>1</v>
      </c>
      <c r="I20" s="19">
        <v>4267.9032258064517</v>
      </c>
      <c r="J20" s="19">
        <v>40516.796432172901</v>
      </c>
      <c r="K20" s="5">
        <v>13</v>
      </c>
      <c r="L20" s="21" t="str">
        <f>IF(ISNA(_xlfn.XLOOKUP(D20,'Same Seller Hist'!E:E,'Same Seller Hist'!E:E)),"Não","Sim")</f>
        <v>Não</v>
      </c>
      <c r="M20" s="21" t="str">
        <f>_xlfn.IFNA(_xlfn.XLOOKUP(D20,'Same Seller Hist'!E:E,'Same Seller Hist'!M:M),"Não Match")</f>
        <v>Não Match</v>
      </c>
    </row>
    <row r="21" spans="3:13" hidden="1" x14ac:dyDescent="0.35">
      <c r="C21" s="18">
        <v>45992</v>
      </c>
      <c r="D21" s="5">
        <v>410705973</v>
      </c>
      <c r="E21" s="5" t="s">
        <v>1288</v>
      </c>
      <c r="F21" s="5" t="s">
        <v>1734</v>
      </c>
      <c r="G21" s="5">
        <v>1</v>
      </c>
      <c r="H21" s="5">
        <v>1</v>
      </c>
      <c r="I21" s="19">
        <v>4241.0967741935483</v>
      </c>
      <c r="J21" s="19">
        <v>33777.304426123876</v>
      </c>
      <c r="K21" s="5">
        <v>14</v>
      </c>
      <c r="L21" s="21" t="str">
        <f>IF(ISNA(_xlfn.XLOOKUP(D21,'Same Seller Hist'!E:E,'Same Seller Hist'!E:E)),"Não","Sim")</f>
        <v>Não</v>
      </c>
      <c r="M21" s="21" t="str">
        <f>_xlfn.IFNA(_xlfn.XLOOKUP(D21,'Same Seller Hist'!E:E,'Same Seller Hist'!M:M),"Não Match")</f>
        <v>Não Match</v>
      </c>
    </row>
    <row r="22" spans="3:13" x14ac:dyDescent="0.35">
      <c r="C22" s="18">
        <v>45992</v>
      </c>
      <c r="D22" s="5">
        <v>874603044</v>
      </c>
      <c r="E22" s="5" t="s">
        <v>739</v>
      </c>
      <c r="F22" s="5" t="s">
        <v>1734</v>
      </c>
      <c r="G22" s="5">
        <v>1</v>
      </c>
      <c r="H22" s="5">
        <v>1</v>
      </c>
      <c r="I22" s="19">
        <v>4215.5483870967746</v>
      </c>
      <c r="J22" s="19">
        <v>37209.630393483545</v>
      </c>
      <c r="K22" s="5">
        <v>15</v>
      </c>
      <c r="L22" s="21" t="str">
        <f>IF(ISNA(_xlfn.XLOOKUP(D22,'Same Seller Hist'!E:E,'Same Seller Hist'!E:E)),"Não","Sim")</f>
        <v>Sim</v>
      </c>
      <c r="M22" s="21" t="str">
        <f>_xlfn.IFNA(_xlfn.XLOOKUP(D22,'Same Seller Hist'!E:E,'Same Seller Hist'!M:M),"Não Match")</f>
        <v>Ativo</v>
      </c>
    </row>
    <row r="23" spans="3:13" x14ac:dyDescent="0.35">
      <c r="C23" s="18">
        <v>45992</v>
      </c>
      <c r="D23" s="5">
        <v>1057319077</v>
      </c>
      <c r="E23" s="5" t="s">
        <v>82</v>
      </c>
      <c r="F23" s="5" t="s">
        <v>1734</v>
      </c>
      <c r="G23" s="5">
        <v>1</v>
      </c>
      <c r="H23" s="5">
        <v>1</v>
      </c>
      <c r="I23" s="19">
        <v>3971.5483870967741</v>
      </c>
      <c r="J23" s="19">
        <v>34373.153014242256</v>
      </c>
      <c r="K23" s="5">
        <v>16</v>
      </c>
      <c r="L23" s="21" t="str">
        <f>IF(ISNA(_xlfn.XLOOKUP(D23,'Same Seller Hist'!E:E,'Same Seller Hist'!E:E)),"Não","Sim")</f>
        <v>Sim</v>
      </c>
      <c r="M23" s="21" t="str">
        <f>_xlfn.IFNA(_xlfn.XLOOKUP(D23,'Same Seller Hist'!E:E,'Same Seller Hist'!M:M),"Não Match")</f>
        <v>Ativo</v>
      </c>
    </row>
    <row r="24" spans="3:13" x14ac:dyDescent="0.35">
      <c r="C24" s="18">
        <v>45992</v>
      </c>
      <c r="D24" s="5">
        <v>872424585</v>
      </c>
      <c r="E24" s="5" t="s">
        <v>1289</v>
      </c>
      <c r="F24" s="5" t="s">
        <v>1734</v>
      </c>
      <c r="G24" s="5">
        <v>1</v>
      </c>
      <c r="H24" s="5">
        <v>1</v>
      </c>
      <c r="I24" s="19">
        <v>3866.0645161290322</v>
      </c>
      <c r="J24" s="19">
        <v>31272.972472217094</v>
      </c>
      <c r="K24" s="5">
        <v>17</v>
      </c>
      <c r="L24" s="21" t="str">
        <f>IF(ISNA(_xlfn.XLOOKUP(D24,'Same Seller Hist'!E:E,'Same Seller Hist'!E:E)),"Não","Sim")</f>
        <v>Sim</v>
      </c>
      <c r="M24" s="21" t="str">
        <f>_xlfn.IFNA(_xlfn.XLOOKUP(D24,'Same Seller Hist'!E:E,'Same Seller Hist'!M:M),"Não Match")</f>
        <v>Ativo</v>
      </c>
    </row>
    <row r="25" spans="3:13" hidden="1" x14ac:dyDescent="0.35">
      <c r="C25" s="18">
        <v>45992</v>
      </c>
      <c r="D25" s="5">
        <v>1097148583</v>
      </c>
      <c r="E25" s="5" t="s">
        <v>1290</v>
      </c>
      <c r="F25" s="5" t="s">
        <v>1734</v>
      </c>
      <c r="G25" s="5">
        <v>1</v>
      </c>
      <c r="H25" s="5">
        <v>0</v>
      </c>
      <c r="I25" s="19">
        <v>3848.5483870967741</v>
      </c>
      <c r="J25" s="19">
        <v>12057.950762321097</v>
      </c>
      <c r="K25" s="5">
        <v>18</v>
      </c>
      <c r="L25" s="21" t="str">
        <f>IF(ISNA(_xlfn.XLOOKUP(D25,'Same Seller Hist'!E:E,'Same Seller Hist'!E:E)),"Não","Sim")</f>
        <v>Não</v>
      </c>
      <c r="M25" s="21" t="str">
        <f>_xlfn.IFNA(_xlfn.XLOOKUP(D25,'Same Seller Hist'!E:E,'Same Seller Hist'!M:M),"Não Match")</f>
        <v>Não Match</v>
      </c>
    </row>
    <row r="26" spans="3:13" x14ac:dyDescent="0.35">
      <c r="C26" s="18">
        <v>45992</v>
      </c>
      <c r="D26" s="5">
        <v>643719371</v>
      </c>
      <c r="E26" s="5" t="s">
        <v>1291</v>
      </c>
      <c r="F26" s="5" t="s">
        <v>1734</v>
      </c>
      <c r="G26" s="5">
        <v>1</v>
      </c>
      <c r="H26" s="5">
        <v>1</v>
      </c>
      <c r="I26" s="19">
        <v>3826.9354838709355</v>
      </c>
      <c r="J26" s="19">
        <v>19013.021016456223</v>
      </c>
      <c r="K26" s="5">
        <v>19</v>
      </c>
      <c r="L26" s="21" t="str">
        <f>IF(ISNA(_xlfn.XLOOKUP(D26,'Same Seller Hist'!E:E,'Same Seller Hist'!E:E)),"Não","Sim")</f>
        <v>Sim</v>
      </c>
      <c r="M26" s="21" t="str">
        <f>_xlfn.IFNA(_xlfn.XLOOKUP(D26,'Same Seller Hist'!E:E,'Same Seller Hist'!M:M),"Não Match")</f>
        <v>Ativo</v>
      </c>
    </row>
    <row r="27" spans="3:13" hidden="1" x14ac:dyDescent="0.35">
      <c r="C27" s="18">
        <v>45992</v>
      </c>
      <c r="D27" s="5">
        <v>372103398</v>
      </c>
      <c r="E27" s="5" t="s">
        <v>1292</v>
      </c>
      <c r="F27" s="5" t="s">
        <v>1734</v>
      </c>
      <c r="G27" s="5">
        <v>1</v>
      </c>
      <c r="H27" s="5">
        <v>1</v>
      </c>
      <c r="I27" s="19">
        <v>3690.6774193548385</v>
      </c>
      <c r="J27" s="19">
        <v>20737.108477948837</v>
      </c>
      <c r="K27" s="5">
        <v>20</v>
      </c>
      <c r="L27" s="21" t="str">
        <f>IF(ISNA(_xlfn.XLOOKUP(D27,'Same Seller Hist'!E:E,'Same Seller Hist'!E:E)),"Não","Sim")</f>
        <v>Não</v>
      </c>
      <c r="M27" s="21" t="str">
        <f>_xlfn.IFNA(_xlfn.XLOOKUP(D27,'Same Seller Hist'!E:E,'Same Seller Hist'!M:M),"Não Match")</f>
        <v>Não Match</v>
      </c>
    </row>
    <row r="28" spans="3:13" x14ac:dyDescent="0.35">
      <c r="C28" s="18">
        <v>45992</v>
      </c>
      <c r="D28" s="5">
        <v>482840775</v>
      </c>
      <c r="E28" s="5" t="s">
        <v>1293</v>
      </c>
      <c r="F28" s="5" t="s">
        <v>906</v>
      </c>
      <c r="G28" s="5">
        <v>0</v>
      </c>
      <c r="H28" s="5">
        <v>1</v>
      </c>
      <c r="I28" s="19">
        <v>3633.5161290322258</v>
      </c>
      <c r="J28" s="19">
        <v>17517.281572933676</v>
      </c>
      <c r="K28" s="5">
        <v>21</v>
      </c>
      <c r="L28" s="21" t="str">
        <f>IF(ISNA(_xlfn.XLOOKUP(D28,'Same Seller Hist'!E:E,'Same Seller Hist'!E:E)),"Não","Sim")</f>
        <v>Sim</v>
      </c>
      <c r="M28" s="21" t="str">
        <f>_xlfn.IFNA(_xlfn.XLOOKUP(D28,'Same Seller Hist'!E:E,'Same Seller Hist'!M:M),"Não Match")</f>
        <v>Ativo</v>
      </c>
    </row>
    <row r="29" spans="3:13" x14ac:dyDescent="0.35">
      <c r="C29" s="18">
        <v>45992</v>
      </c>
      <c r="D29" s="5">
        <v>1064041485</v>
      </c>
      <c r="E29" s="5" t="s">
        <v>1294</v>
      </c>
      <c r="F29" s="5" t="s">
        <v>1734</v>
      </c>
      <c r="G29" s="5">
        <v>1</v>
      </c>
      <c r="H29" s="5">
        <v>1</v>
      </c>
      <c r="I29" s="19">
        <v>3451.0967741935483</v>
      </c>
      <c r="J29" s="19">
        <v>33941.769371964197</v>
      </c>
      <c r="K29" s="5">
        <v>22</v>
      </c>
      <c r="L29" s="21" t="str">
        <f>IF(ISNA(_xlfn.XLOOKUP(D29,'Same Seller Hist'!E:E,'Same Seller Hist'!E:E)),"Não","Sim")</f>
        <v>Sim</v>
      </c>
      <c r="M29" s="21" t="str">
        <f>_xlfn.IFNA(_xlfn.XLOOKUP(D29,'Same Seller Hist'!E:E,'Same Seller Hist'!M:M),"Não Match")</f>
        <v>Ativo</v>
      </c>
    </row>
    <row r="30" spans="3:13" x14ac:dyDescent="0.35">
      <c r="C30" s="18">
        <v>45992</v>
      </c>
      <c r="D30" s="5">
        <v>341167297</v>
      </c>
      <c r="E30" s="5" t="s">
        <v>1295</v>
      </c>
      <c r="F30" s="5" t="s">
        <v>903</v>
      </c>
      <c r="G30" s="5">
        <v>0</v>
      </c>
      <c r="H30" s="5">
        <v>1</v>
      </c>
      <c r="I30" s="19">
        <v>3346.8709677419356</v>
      </c>
      <c r="J30" s="19">
        <v>37236.535039409035</v>
      </c>
      <c r="K30" s="5">
        <v>23</v>
      </c>
      <c r="L30" s="21" t="str">
        <f>IF(ISNA(_xlfn.XLOOKUP(D30,'Same Seller Hist'!E:E,'Same Seller Hist'!E:E)),"Não","Sim")</f>
        <v>Sim</v>
      </c>
      <c r="M30" s="21" t="str">
        <f>_xlfn.IFNA(_xlfn.XLOOKUP(D30,'Same Seller Hist'!E:E,'Same Seller Hist'!M:M),"Não Match")</f>
        <v>Ativo</v>
      </c>
    </row>
    <row r="31" spans="3:13" x14ac:dyDescent="0.35">
      <c r="C31" s="18">
        <v>45992</v>
      </c>
      <c r="D31" s="5">
        <v>313660590</v>
      </c>
      <c r="E31" s="5" t="s">
        <v>404</v>
      </c>
      <c r="F31" s="5" t="s">
        <v>905</v>
      </c>
      <c r="G31" s="5">
        <v>0</v>
      </c>
      <c r="H31" s="5">
        <v>1</v>
      </c>
      <c r="I31" s="19">
        <v>3313.3225806451615</v>
      </c>
      <c r="J31" s="19">
        <v>29155.731930206646</v>
      </c>
      <c r="K31" s="5">
        <v>24</v>
      </c>
      <c r="L31" s="21" t="str">
        <f>IF(ISNA(_xlfn.XLOOKUP(D31,'Same Seller Hist'!E:E,'Same Seller Hist'!E:E)),"Não","Sim")</f>
        <v>Sim</v>
      </c>
      <c r="M31" s="21" t="str">
        <f>_xlfn.IFNA(_xlfn.XLOOKUP(D31,'Same Seller Hist'!E:E,'Same Seller Hist'!M:M),"Não Match")</f>
        <v>Ativo</v>
      </c>
    </row>
    <row r="32" spans="3:13" x14ac:dyDescent="0.35">
      <c r="C32" s="18">
        <v>45992</v>
      </c>
      <c r="D32" s="5">
        <v>1025824477</v>
      </c>
      <c r="E32" s="5" t="s">
        <v>1296</v>
      </c>
      <c r="F32" s="5" t="s">
        <v>1734</v>
      </c>
      <c r="G32" s="5">
        <v>1</v>
      </c>
      <c r="H32" s="5">
        <v>1</v>
      </c>
      <c r="I32" s="19">
        <v>3297.7741935483873</v>
      </c>
      <c r="J32" s="19">
        <v>25555.054528622935</v>
      </c>
      <c r="K32" s="5">
        <v>25</v>
      </c>
      <c r="L32" s="21" t="str">
        <f>IF(ISNA(_xlfn.XLOOKUP(D32,'Same Seller Hist'!E:E,'Same Seller Hist'!E:E)),"Não","Sim")</f>
        <v>Sim</v>
      </c>
      <c r="M32" s="21" t="str">
        <f>_xlfn.IFNA(_xlfn.XLOOKUP(D32,'Same Seller Hist'!E:E,'Same Seller Hist'!M:M),"Não Match")</f>
        <v>Ativo</v>
      </c>
    </row>
    <row r="33" spans="3:13" hidden="1" x14ac:dyDescent="0.35">
      <c r="C33" s="18">
        <v>45992</v>
      </c>
      <c r="D33" s="5">
        <v>967211054</v>
      </c>
      <c r="E33" s="5" t="s">
        <v>1297</v>
      </c>
      <c r="F33" s="5" t="s">
        <v>906</v>
      </c>
      <c r="G33" s="5">
        <v>0</v>
      </c>
      <c r="H33" s="5">
        <v>1</v>
      </c>
      <c r="I33" s="19">
        <v>3286.8064516129034</v>
      </c>
      <c r="J33" s="19">
        <v>12801.046257965934</v>
      </c>
      <c r="K33" s="5">
        <v>26</v>
      </c>
      <c r="L33" s="21" t="str">
        <f>IF(ISNA(_xlfn.XLOOKUP(D33,'Same Seller Hist'!E:E,'Same Seller Hist'!E:E)),"Não","Sim")</f>
        <v>Não</v>
      </c>
      <c r="M33" s="21" t="str">
        <f>_xlfn.IFNA(_xlfn.XLOOKUP(D33,'Same Seller Hist'!E:E,'Same Seller Hist'!M:M),"Não Match")</f>
        <v>Não Match</v>
      </c>
    </row>
    <row r="34" spans="3:13" x14ac:dyDescent="0.35">
      <c r="C34" s="18">
        <v>45992</v>
      </c>
      <c r="D34" s="5">
        <v>542974007</v>
      </c>
      <c r="E34" s="5" t="s">
        <v>1298</v>
      </c>
      <c r="F34" s="5" t="s">
        <v>1734</v>
      </c>
      <c r="G34" s="5">
        <v>1</v>
      </c>
      <c r="H34" s="5">
        <v>1</v>
      </c>
      <c r="I34" s="19">
        <v>3238.8064516129034</v>
      </c>
      <c r="J34" s="19">
        <v>45253.596244435488</v>
      </c>
      <c r="K34" s="5">
        <v>27</v>
      </c>
      <c r="L34" s="21" t="str">
        <f>IF(ISNA(_xlfn.XLOOKUP(D34,'Same Seller Hist'!E:E,'Same Seller Hist'!E:E)),"Não","Sim")</f>
        <v>Sim</v>
      </c>
      <c r="M34" s="21" t="str">
        <f>_xlfn.IFNA(_xlfn.XLOOKUP(D34,'Same Seller Hist'!E:E,'Same Seller Hist'!M:M),"Não Match")</f>
        <v>Ativo</v>
      </c>
    </row>
    <row r="35" spans="3:13" hidden="1" x14ac:dyDescent="0.35">
      <c r="C35" s="18">
        <v>45992</v>
      </c>
      <c r="D35" s="5">
        <v>526596865</v>
      </c>
      <c r="E35" s="5" t="s">
        <v>1299</v>
      </c>
      <c r="F35" s="5" t="s">
        <v>1734</v>
      </c>
      <c r="G35" s="5">
        <v>1</v>
      </c>
      <c r="H35" s="5">
        <v>1</v>
      </c>
      <c r="I35" s="19">
        <v>3238.3548387096776</v>
      </c>
      <c r="J35" s="19">
        <v>36723.029635346124</v>
      </c>
      <c r="K35" s="5">
        <v>28</v>
      </c>
      <c r="L35" s="21" t="str">
        <f>IF(ISNA(_xlfn.XLOOKUP(D35,'Same Seller Hist'!E:E,'Same Seller Hist'!E:E)),"Não","Sim")</f>
        <v>Não</v>
      </c>
      <c r="M35" s="21" t="str">
        <f>_xlfn.IFNA(_xlfn.XLOOKUP(D35,'Same Seller Hist'!E:E,'Same Seller Hist'!M:M),"Não Match")</f>
        <v>Não Match</v>
      </c>
    </row>
    <row r="36" spans="3:13" hidden="1" x14ac:dyDescent="0.35">
      <c r="C36" s="18">
        <v>45992</v>
      </c>
      <c r="D36" s="5">
        <v>318555124</v>
      </c>
      <c r="E36" s="5" t="s">
        <v>1300</v>
      </c>
      <c r="F36" s="5" t="s">
        <v>906</v>
      </c>
      <c r="G36" s="5">
        <v>0</v>
      </c>
      <c r="H36" s="5">
        <v>1</v>
      </c>
      <c r="I36" s="19">
        <v>3185.6129032258063</v>
      </c>
      <c r="J36" s="19">
        <v>15226.997673414226</v>
      </c>
      <c r="K36" s="5">
        <v>29</v>
      </c>
      <c r="L36" s="21" t="str">
        <f>IF(ISNA(_xlfn.XLOOKUP(D36,'Same Seller Hist'!E:E,'Same Seller Hist'!E:E)),"Não","Sim")</f>
        <v>Não</v>
      </c>
      <c r="M36" s="21" t="str">
        <f>_xlfn.IFNA(_xlfn.XLOOKUP(D36,'Same Seller Hist'!E:E,'Same Seller Hist'!M:M),"Não Match")</f>
        <v>Não Match</v>
      </c>
    </row>
    <row r="37" spans="3:13" x14ac:dyDescent="0.35">
      <c r="C37" s="18">
        <v>45992</v>
      </c>
      <c r="D37" s="5">
        <v>1177903362</v>
      </c>
      <c r="E37" s="5" t="s">
        <v>1301</v>
      </c>
      <c r="F37" s="5" t="s">
        <v>906</v>
      </c>
      <c r="G37" s="5">
        <v>0</v>
      </c>
      <c r="H37" s="5">
        <v>1</v>
      </c>
      <c r="I37" s="19">
        <v>3130.3548387096776</v>
      </c>
      <c r="J37" s="19">
        <v>23406.528794378486</v>
      </c>
      <c r="K37" s="5">
        <v>30</v>
      </c>
      <c r="L37" s="21" t="str">
        <f>IF(ISNA(_xlfn.XLOOKUP(D37,'Same Seller Hist'!E:E,'Same Seller Hist'!E:E)),"Não","Sim")</f>
        <v>Sim</v>
      </c>
      <c r="M37" s="21" t="str">
        <f>_xlfn.IFNA(_xlfn.XLOOKUP(D37,'Same Seller Hist'!E:E,'Same Seller Hist'!M:M),"Não Match")</f>
        <v>Ativo</v>
      </c>
    </row>
    <row r="38" spans="3:13" hidden="1" x14ac:dyDescent="0.35">
      <c r="C38" s="18">
        <v>45992</v>
      </c>
      <c r="D38" s="5">
        <v>478697224</v>
      </c>
      <c r="E38" s="5" t="s">
        <v>1302</v>
      </c>
      <c r="F38" s="5" t="s">
        <v>1734</v>
      </c>
      <c r="G38" s="5">
        <v>1</v>
      </c>
      <c r="H38" s="5">
        <v>1</v>
      </c>
      <c r="I38" s="19">
        <v>3115.9677419354807</v>
      </c>
      <c r="J38" s="19">
        <v>27349.32448126145</v>
      </c>
      <c r="K38" s="5">
        <v>31</v>
      </c>
      <c r="L38" s="21" t="str">
        <f>IF(ISNA(_xlfn.XLOOKUP(D38,'Same Seller Hist'!E:E,'Same Seller Hist'!E:E)),"Não","Sim")</f>
        <v>Não</v>
      </c>
      <c r="M38" s="21" t="str">
        <f>_xlfn.IFNA(_xlfn.XLOOKUP(D38,'Same Seller Hist'!E:E,'Same Seller Hist'!M:M),"Não Match")</f>
        <v>Não Match</v>
      </c>
    </row>
    <row r="39" spans="3:13" x14ac:dyDescent="0.35">
      <c r="C39" s="18">
        <v>45992</v>
      </c>
      <c r="D39" s="5">
        <v>343246764</v>
      </c>
      <c r="E39" s="5" t="s">
        <v>452</v>
      </c>
      <c r="F39" s="5" t="s">
        <v>1734</v>
      </c>
      <c r="G39" s="5">
        <v>1</v>
      </c>
      <c r="H39" s="5">
        <v>0</v>
      </c>
      <c r="I39" s="19">
        <v>3018.7419354838707</v>
      </c>
      <c r="J39" s="19">
        <v>12152.887000235289</v>
      </c>
      <c r="K39" s="5">
        <v>32</v>
      </c>
      <c r="L39" s="21" t="str">
        <f>IF(ISNA(_xlfn.XLOOKUP(D39,'Same Seller Hist'!E:E,'Same Seller Hist'!E:E)),"Não","Sim")</f>
        <v>Sim</v>
      </c>
      <c r="M39" s="21" t="str">
        <f>_xlfn.IFNA(_xlfn.XLOOKUP(D39,'Same Seller Hist'!E:E,'Same Seller Hist'!M:M),"Não Match")</f>
        <v>Ativo</v>
      </c>
    </row>
    <row r="40" spans="3:13" x14ac:dyDescent="0.35">
      <c r="C40" s="18">
        <v>45992</v>
      </c>
      <c r="D40" s="5">
        <v>418205294</v>
      </c>
      <c r="E40" s="5" t="s">
        <v>1303</v>
      </c>
      <c r="F40" s="5" t="s">
        <v>1734</v>
      </c>
      <c r="G40" s="5">
        <v>1</v>
      </c>
      <c r="H40" s="5">
        <v>1</v>
      </c>
      <c r="I40" s="19">
        <v>3015.1290322580644</v>
      </c>
      <c r="J40" s="19">
        <v>11080.647420698031</v>
      </c>
      <c r="K40" s="5">
        <v>33</v>
      </c>
      <c r="L40" s="21" t="str">
        <f>IF(ISNA(_xlfn.XLOOKUP(D40,'Same Seller Hist'!E:E,'Same Seller Hist'!E:E)),"Não","Sim")</f>
        <v>Sim</v>
      </c>
      <c r="M40" s="21" t="str">
        <f>_xlfn.IFNA(_xlfn.XLOOKUP(D40,'Same Seller Hist'!E:E,'Same Seller Hist'!M:M),"Não Match")</f>
        <v>Ativo</v>
      </c>
    </row>
    <row r="41" spans="3:13" x14ac:dyDescent="0.35">
      <c r="C41" s="18">
        <v>45992</v>
      </c>
      <c r="D41" s="5">
        <v>300779622</v>
      </c>
      <c r="E41" s="5" t="s">
        <v>391</v>
      </c>
      <c r="F41" s="5" t="s">
        <v>905</v>
      </c>
      <c r="G41" s="5">
        <v>0</v>
      </c>
      <c r="H41" s="5">
        <v>1</v>
      </c>
      <c r="I41" s="19">
        <v>2956.2903225806454</v>
      </c>
      <c r="J41" s="19">
        <v>25985.607129394903</v>
      </c>
      <c r="K41" s="5">
        <v>34</v>
      </c>
      <c r="L41" s="21" t="str">
        <f>IF(ISNA(_xlfn.XLOOKUP(D41,'Same Seller Hist'!E:E,'Same Seller Hist'!E:E)),"Não","Sim")</f>
        <v>Sim</v>
      </c>
      <c r="M41" s="21" t="str">
        <f>_xlfn.IFNA(_xlfn.XLOOKUP(D41,'Same Seller Hist'!E:E,'Same Seller Hist'!M:M),"Não Match")</f>
        <v>Ativo</v>
      </c>
    </row>
    <row r="42" spans="3:13" x14ac:dyDescent="0.35">
      <c r="C42" s="18">
        <v>45992</v>
      </c>
      <c r="D42" s="5">
        <v>394731864</v>
      </c>
      <c r="E42" s="5" t="s">
        <v>1304</v>
      </c>
      <c r="F42" s="5" t="s">
        <v>1734</v>
      </c>
      <c r="G42" s="5">
        <v>1</v>
      </c>
      <c r="H42" s="5">
        <v>1</v>
      </c>
      <c r="I42" s="19">
        <v>2890.548387096771</v>
      </c>
      <c r="J42" s="19">
        <v>11832.645357715677</v>
      </c>
      <c r="K42" s="5">
        <v>35</v>
      </c>
      <c r="L42" s="21" t="str">
        <f>IF(ISNA(_xlfn.XLOOKUP(D42,'Same Seller Hist'!E:E,'Same Seller Hist'!E:E)),"Não","Sim")</f>
        <v>Sim</v>
      </c>
      <c r="M42" s="21" t="str">
        <f>_xlfn.IFNA(_xlfn.XLOOKUP(D42,'Same Seller Hist'!E:E,'Same Seller Hist'!M:M),"Não Match")</f>
        <v>Ativo</v>
      </c>
    </row>
    <row r="43" spans="3:13" x14ac:dyDescent="0.35">
      <c r="C43" s="18">
        <v>45992</v>
      </c>
      <c r="D43" s="5">
        <v>328666563</v>
      </c>
      <c r="E43" s="5" t="s">
        <v>1305</v>
      </c>
      <c r="F43" s="5" t="s">
        <v>1734</v>
      </c>
      <c r="G43" s="5">
        <v>1</v>
      </c>
      <c r="H43" s="5">
        <v>1</v>
      </c>
      <c r="I43" s="19">
        <v>2853.6774193548385</v>
      </c>
      <c r="J43" s="19">
        <v>20794.011596505614</v>
      </c>
      <c r="K43" s="5">
        <v>36</v>
      </c>
      <c r="L43" s="21" t="str">
        <f>IF(ISNA(_xlfn.XLOOKUP(D43,'Same Seller Hist'!E:E,'Same Seller Hist'!E:E)),"Não","Sim")</f>
        <v>Sim</v>
      </c>
      <c r="M43" s="21" t="str">
        <f>_xlfn.IFNA(_xlfn.XLOOKUP(D43,'Same Seller Hist'!E:E,'Same Seller Hist'!M:M),"Não Match")</f>
        <v>Ativo</v>
      </c>
    </row>
    <row r="44" spans="3:13" x14ac:dyDescent="0.35">
      <c r="C44" s="18">
        <v>45992</v>
      </c>
      <c r="D44" s="5">
        <v>378105312</v>
      </c>
      <c r="E44" s="5" t="s">
        <v>1306</v>
      </c>
      <c r="F44" s="5" t="s">
        <v>906</v>
      </c>
      <c r="G44" s="5">
        <v>0</v>
      </c>
      <c r="H44" s="5">
        <v>1</v>
      </c>
      <c r="I44" s="19">
        <v>2847.1935483870934</v>
      </c>
      <c r="J44" s="19">
        <v>14097.538356510644</v>
      </c>
      <c r="K44" s="5">
        <v>37</v>
      </c>
      <c r="L44" s="21" t="str">
        <f>IF(ISNA(_xlfn.XLOOKUP(D44,'Same Seller Hist'!E:E,'Same Seller Hist'!E:E)),"Não","Sim")</f>
        <v>Sim</v>
      </c>
      <c r="M44" s="21" t="str">
        <f>_xlfn.IFNA(_xlfn.XLOOKUP(D44,'Same Seller Hist'!E:E,'Same Seller Hist'!M:M),"Não Match")</f>
        <v>Ativo</v>
      </c>
    </row>
    <row r="45" spans="3:13" hidden="1" x14ac:dyDescent="0.35">
      <c r="C45" s="18">
        <v>45992</v>
      </c>
      <c r="D45" s="5">
        <v>1502069336</v>
      </c>
      <c r="E45" s="5" t="s">
        <v>1307</v>
      </c>
      <c r="F45" s="5" t="s">
        <v>1734</v>
      </c>
      <c r="G45" s="5">
        <v>1</v>
      </c>
      <c r="H45" s="5">
        <v>0</v>
      </c>
      <c r="I45" s="19">
        <v>2808.9677419354807</v>
      </c>
      <c r="J45" s="19">
        <v>11935.651007160872</v>
      </c>
      <c r="K45" s="5">
        <v>38</v>
      </c>
      <c r="L45" s="21" t="str">
        <f>IF(ISNA(_xlfn.XLOOKUP(D45,'Same Seller Hist'!E:E,'Same Seller Hist'!E:E)),"Não","Sim")</f>
        <v>Não</v>
      </c>
      <c r="M45" s="21" t="str">
        <f>_xlfn.IFNA(_xlfn.XLOOKUP(D45,'Same Seller Hist'!E:E,'Same Seller Hist'!M:M),"Não Match")</f>
        <v>Não Match</v>
      </c>
    </row>
    <row r="46" spans="3:13" x14ac:dyDescent="0.35">
      <c r="C46" s="18">
        <v>45992</v>
      </c>
      <c r="D46" s="5">
        <v>1177319319</v>
      </c>
      <c r="E46" s="5" t="s">
        <v>1308</v>
      </c>
      <c r="F46" s="5" t="s">
        <v>1734</v>
      </c>
      <c r="G46" s="5">
        <v>1</v>
      </c>
      <c r="H46" s="5">
        <v>1</v>
      </c>
      <c r="I46" s="19">
        <v>2768.4516129032259</v>
      </c>
      <c r="J46" s="19">
        <v>11635.882039454258</v>
      </c>
      <c r="K46" s="5">
        <v>39</v>
      </c>
      <c r="L46" s="21" t="str">
        <f>IF(ISNA(_xlfn.XLOOKUP(D46,'Same Seller Hist'!E:E,'Same Seller Hist'!E:E)),"Não","Sim")</f>
        <v>Sim</v>
      </c>
      <c r="M46" s="21" t="str">
        <f>_xlfn.IFNA(_xlfn.XLOOKUP(D46,'Same Seller Hist'!E:E,'Same Seller Hist'!M:M),"Não Match")</f>
        <v>Ativo</v>
      </c>
    </row>
    <row r="47" spans="3:13" hidden="1" x14ac:dyDescent="0.35">
      <c r="C47" s="18">
        <v>45992</v>
      </c>
      <c r="D47" s="5">
        <v>638380156</v>
      </c>
      <c r="E47" s="5" t="s">
        <v>1309</v>
      </c>
      <c r="F47" s="5" t="s">
        <v>1734</v>
      </c>
      <c r="G47" s="5">
        <v>1</v>
      </c>
      <c r="H47" s="5">
        <v>0</v>
      </c>
      <c r="I47" s="19">
        <v>2751.1612903225805</v>
      </c>
      <c r="J47" s="19">
        <v>9154.508956151516</v>
      </c>
      <c r="K47" s="5">
        <v>40</v>
      </c>
      <c r="L47" s="21" t="str">
        <f>IF(ISNA(_xlfn.XLOOKUP(D47,'Same Seller Hist'!E:E,'Same Seller Hist'!E:E)),"Não","Sim")</f>
        <v>Não</v>
      </c>
      <c r="M47" s="21" t="str">
        <f>_xlfn.IFNA(_xlfn.XLOOKUP(D47,'Same Seller Hist'!E:E,'Same Seller Hist'!M:M),"Não Match")</f>
        <v>Não Match</v>
      </c>
    </row>
    <row r="48" spans="3:13" hidden="1" x14ac:dyDescent="0.35">
      <c r="C48" s="18">
        <v>45992</v>
      </c>
      <c r="D48" s="5">
        <v>504121816</v>
      </c>
      <c r="E48" s="5" t="s">
        <v>1310</v>
      </c>
      <c r="F48" s="5" t="s">
        <v>906</v>
      </c>
      <c r="G48" s="5">
        <v>0</v>
      </c>
      <c r="H48" s="5">
        <v>1</v>
      </c>
      <c r="I48" s="19">
        <v>2717.6774193548385</v>
      </c>
      <c r="J48" s="19">
        <v>10116.555970577354</v>
      </c>
      <c r="K48" s="5">
        <v>41</v>
      </c>
      <c r="L48" s="21" t="str">
        <f>IF(ISNA(_xlfn.XLOOKUP(D48,'Same Seller Hist'!E:E,'Same Seller Hist'!E:E)),"Não","Sim")</f>
        <v>Não</v>
      </c>
      <c r="M48" s="21" t="str">
        <f>_xlfn.IFNA(_xlfn.XLOOKUP(D48,'Same Seller Hist'!E:E,'Same Seller Hist'!M:M),"Não Match")</f>
        <v>Não Match</v>
      </c>
    </row>
    <row r="49" spans="3:13" hidden="1" x14ac:dyDescent="0.35">
      <c r="C49" s="18">
        <v>45992</v>
      </c>
      <c r="D49" s="5">
        <v>414447070</v>
      </c>
      <c r="E49" s="5" t="s">
        <v>1311</v>
      </c>
      <c r="F49" s="5" t="s">
        <v>1734</v>
      </c>
      <c r="G49" s="5">
        <v>1</v>
      </c>
      <c r="H49" s="5">
        <v>0</v>
      </c>
      <c r="I49" s="19">
        <v>2713.7741935483873</v>
      </c>
      <c r="J49" s="19">
        <v>11364.25075366742</v>
      </c>
      <c r="K49" s="5">
        <v>42</v>
      </c>
      <c r="L49" s="21" t="str">
        <f>IF(ISNA(_xlfn.XLOOKUP(D49,'Same Seller Hist'!E:E,'Same Seller Hist'!E:E)),"Não","Sim")</f>
        <v>Não</v>
      </c>
      <c r="M49" s="21" t="str">
        <f>_xlfn.IFNA(_xlfn.XLOOKUP(D49,'Same Seller Hist'!E:E,'Same Seller Hist'!M:M),"Não Match")</f>
        <v>Não Match</v>
      </c>
    </row>
    <row r="50" spans="3:13" x14ac:dyDescent="0.35">
      <c r="C50" s="18">
        <v>45992</v>
      </c>
      <c r="D50" s="5">
        <v>465623800</v>
      </c>
      <c r="E50" s="5" t="s">
        <v>588</v>
      </c>
      <c r="F50" s="5" t="s">
        <v>1734</v>
      </c>
      <c r="G50" s="5">
        <v>1</v>
      </c>
      <c r="H50" s="5">
        <v>0</v>
      </c>
      <c r="I50" s="19">
        <v>2708.6451612903224</v>
      </c>
      <c r="J50" s="19">
        <v>7044.0811110540972</v>
      </c>
      <c r="K50" s="5">
        <v>43</v>
      </c>
      <c r="L50" s="21" t="str">
        <f>IF(ISNA(_xlfn.XLOOKUP(D50,'Same Seller Hist'!E:E,'Same Seller Hist'!E:E)),"Não","Sim")</f>
        <v>Sim</v>
      </c>
      <c r="M50" s="21" t="str">
        <f>_xlfn.IFNA(_xlfn.XLOOKUP(D50,'Same Seller Hist'!E:E,'Same Seller Hist'!M:M),"Não Match")</f>
        <v>Ativo</v>
      </c>
    </row>
    <row r="51" spans="3:13" hidden="1" x14ac:dyDescent="0.35">
      <c r="C51" s="18">
        <v>45992</v>
      </c>
      <c r="D51" s="5">
        <v>487444734</v>
      </c>
      <c r="E51" s="5" t="s">
        <v>1312</v>
      </c>
      <c r="F51" s="5" t="s">
        <v>903</v>
      </c>
      <c r="G51" s="5">
        <v>0</v>
      </c>
      <c r="H51" s="5">
        <v>1</v>
      </c>
      <c r="I51" s="19">
        <v>2688.6774193548354</v>
      </c>
      <c r="J51" s="19">
        <v>15278.465251312613</v>
      </c>
      <c r="K51" s="5">
        <v>44</v>
      </c>
      <c r="L51" s="21" t="str">
        <f>IF(ISNA(_xlfn.XLOOKUP(D51,'Same Seller Hist'!E:E,'Same Seller Hist'!E:E)),"Não","Sim")</f>
        <v>Não</v>
      </c>
      <c r="M51" s="21" t="str">
        <f>_xlfn.IFNA(_xlfn.XLOOKUP(D51,'Same Seller Hist'!E:E,'Same Seller Hist'!M:M),"Não Match")</f>
        <v>Não Match</v>
      </c>
    </row>
    <row r="52" spans="3:13" hidden="1" x14ac:dyDescent="0.35">
      <c r="C52" s="18">
        <v>45992</v>
      </c>
      <c r="D52" s="5">
        <v>761647073</v>
      </c>
      <c r="E52" s="5" t="s">
        <v>1313</v>
      </c>
      <c r="F52" s="5" t="s">
        <v>906</v>
      </c>
      <c r="G52" s="5">
        <v>0</v>
      </c>
      <c r="H52" s="5">
        <v>1</v>
      </c>
      <c r="I52" s="19">
        <v>2682.7741935483873</v>
      </c>
      <c r="J52" s="19">
        <v>12269.082007282936</v>
      </c>
      <c r="K52" s="5">
        <v>45</v>
      </c>
      <c r="L52" s="21" t="str">
        <f>IF(ISNA(_xlfn.XLOOKUP(D52,'Same Seller Hist'!E:E,'Same Seller Hist'!E:E)),"Não","Sim")</f>
        <v>Não</v>
      </c>
      <c r="M52" s="21" t="str">
        <f>_xlfn.IFNA(_xlfn.XLOOKUP(D52,'Same Seller Hist'!E:E,'Same Seller Hist'!M:M),"Não Match")</f>
        <v>Não Match</v>
      </c>
    </row>
    <row r="53" spans="3:13" hidden="1" x14ac:dyDescent="0.35">
      <c r="C53" s="18">
        <v>45992</v>
      </c>
      <c r="D53" s="5">
        <v>421422443</v>
      </c>
      <c r="E53" s="5" t="s">
        <v>1314</v>
      </c>
      <c r="F53" s="5" t="s">
        <v>1734</v>
      </c>
      <c r="G53" s="5">
        <v>1</v>
      </c>
      <c r="H53" s="5">
        <v>1</v>
      </c>
      <c r="I53" s="19">
        <v>2676.9677419354807</v>
      </c>
      <c r="J53" s="19">
        <v>18874.002763718741</v>
      </c>
      <c r="K53" s="5">
        <v>46</v>
      </c>
      <c r="L53" s="21" t="str">
        <f>IF(ISNA(_xlfn.XLOOKUP(D53,'Same Seller Hist'!E:E,'Same Seller Hist'!E:E)),"Não","Sim")</f>
        <v>Não</v>
      </c>
      <c r="M53" s="21" t="str">
        <f>_xlfn.IFNA(_xlfn.XLOOKUP(D53,'Same Seller Hist'!E:E,'Same Seller Hist'!M:M),"Não Match")</f>
        <v>Não Match</v>
      </c>
    </row>
    <row r="54" spans="3:13" hidden="1" x14ac:dyDescent="0.35">
      <c r="C54" s="18">
        <v>45992</v>
      </c>
      <c r="D54" s="5">
        <v>696313634</v>
      </c>
      <c r="E54" s="5" t="s">
        <v>1315</v>
      </c>
      <c r="F54" s="5" t="s">
        <v>1734</v>
      </c>
      <c r="G54" s="5">
        <v>1</v>
      </c>
      <c r="H54" s="5">
        <v>1</v>
      </c>
      <c r="I54" s="19">
        <v>2669.0967741935483</v>
      </c>
      <c r="J54" s="19">
        <v>22812.269024169032</v>
      </c>
      <c r="K54" s="5">
        <v>47</v>
      </c>
      <c r="L54" s="21" t="str">
        <f>IF(ISNA(_xlfn.XLOOKUP(D54,'Same Seller Hist'!E:E,'Same Seller Hist'!E:E)),"Não","Sim")</f>
        <v>Não</v>
      </c>
      <c r="M54" s="21" t="str">
        <f>_xlfn.IFNA(_xlfn.XLOOKUP(D54,'Same Seller Hist'!E:E,'Same Seller Hist'!M:M),"Não Match")</f>
        <v>Não Match</v>
      </c>
    </row>
    <row r="55" spans="3:13" x14ac:dyDescent="0.35">
      <c r="C55" s="18">
        <v>45992</v>
      </c>
      <c r="D55" s="5">
        <v>375201738</v>
      </c>
      <c r="E55" s="5" t="s">
        <v>1316</v>
      </c>
      <c r="F55" s="5" t="s">
        <v>1734</v>
      </c>
      <c r="G55" s="5">
        <v>1</v>
      </c>
      <c r="H55" s="5">
        <v>1</v>
      </c>
      <c r="I55" s="19">
        <v>2655.1612903225805</v>
      </c>
      <c r="J55" s="19">
        <v>11185.769324980934</v>
      </c>
      <c r="K55" s="5">
        <v>48</v>
      </c>
      <c r="L55" s="21" t="str">
        <f>IF(ISNA(_xlfn.XLOOKUP(D55,'Same Seller Hist'!E:E,'Same Seller Hist'!E:E)),"Não","Sim")</f>
        <v>Sim</v>
      </c>
      <c r="M55" s="21" t="str">
        <f>_xlfn.IFNA(_xlfn.XLOOKUP(D55,'Same Seller Hist'!E:E,'Same Seller Hist'!M:M),"Não Match")</f>
        <v>Ativo</v>
      </c>
    </row>
    <row r="56" spans="3:13" x14ac:dyDescent="0.35">
      <c r="C56" s="18">
        <v>45992</v>
      </c>
      <c r="D56" s="5">
        <v>1430626556</v>
      </c>
      <c r="E56" s="5" t="s">
        <v>1317</v>
      </c>
      <c r="F56" s="5" t="s">
        <v>1734</v>
      </c>
      <c r="G56" s="5">
        <v>1</v>
      </c>
      <c r="H56" s="5">
        <v>1</v>
      </c>
      <c r="I56" s="19">
        <v>2634.1290322580644</v>
      </c>
      <c r="J56" s="19">
        <v>10867.422575253418</v>
      </c>
      <c r="K56" s="5">
        <v>49</v>
      </c>
      <c r="L56" s="21" t="str">
        <f>IF(ISNA(_xlfn.XLOOKUP(D56,'Same Seller Hist'!E:E,'Same Seller Hist'!E:E)),"Não","Sim")</f>
        <v>Sim</v>
      </c>
      <c r="M56" s="21" t="str">
        <f>_xlfn.IFNA(_xlfn.XLOOKUP(D56,'Same Seller Hist'!E:E,'Same Seller Hist'!M:M),"Não Match")</f>
        <v>Ativo</v>
      </c>
    </row>
    <row r="57" spans="3:13" x14ac:dyDescent="0.35">
      <c r="C57" s="18">
        <v>45992</v>
      </c>
      <c r="D57" s="5">
        <v>290073877</v>
      </c>
      <c r="E57" s="5" t="s">
        <v>1318</v>
      </c>
      <c r="F57" s="5" t="s">
        <v>906</v>
      </c>
      <c r="G57" s="5">
        <v>0</v>
      </c>
      <c r="H57" s="5">
        <v>1</v>
      </c>
      <c r="I57" s="19">
        <v>2629.9677419354839</v>
      </c>
      <c r="J57" s="19">
        <v>19695.02655410668</v>
      </c>
      <c r="K57" s="5">
        <v>50</v>
      </c>
      <c r="L57" s="21" t="str">
        <f>IF(ISNA(_xlfn.XLOOKUP(D57,'Same Seller Hist'!E:E,'Same Seller Hist'!E:E)),"Não","Sim")</f>
        <v>Sim</v>
      </c>
      <c r="M57" s="21" t="str">
        <f>_xlfn.IFNA(_xlfn.XLOOKUP(D57,'Same Seller Hist'!E:E,'Same Seller Hist'!M:M),"Não Match")</f>
        <v>Ativo</v>
      </c>
    </row>
    <row r="58" spans="3:13" hidden="1" x14ac:dyDescent="0.35">
      <c r="C58" s="18">
        <v>45992</v>
      </c>
      <c r="D58" s="5">
        <v>998773037</v>
      </c>
      <c r="E58" s="5" t="s">
        <v>1319</v>
      </c>
      <c r="F58" s="5" t="s">
        <v>906</v>
      </c>
      <c r="G58" s="5">
        <v>0</v>
      </c>
      <c r="H58" s="5">
        <v>0</v>
      </c>
      <c r="I58" s="19">
        <v>2589.9354838709678</v>
      </c>
      <c r="J58" s="19">
        <v>22157.156805241197</v>
      </c>
      <c r="K58" s="5">
        <v>51</v>
      </c>
      <c r="L58" s="21" t="str">
        <f>IF(ISNA(_xlfn.XLOOKUP(D58,'Same Seller Hist'!E:E,'Same Seller Hist'!E:E)),"Não","Sim")</f>
        <v>Não</v>
      </c>
      <c r="M58" s="21" t="str">
        <f>_xlfn.IFNA(_xlfn.XLOOKUP(D58,'Same Seller Hist'!E:E,'Same Seller Hist'!M:M),"Não Match")</f>
        <v>Não Match</v>
      </c>
    </row>
    <row r="59" spans="3:13" x14ac:dyDescent="0.35">
      <c r="C59" s="18">
        <v>45992</v>
      </c>
      <c r="D59" s="5">
        <v>512962451</v>
      </c>
      <c r="E59" s="5" t="s">
        <v>1320</v>
      </c>
      <c r="F59" s="5" t="s">
        <v>906</v>
      </c>
      <c r="G59" s="5">
        <v>0</v>
      </c>
      <c r="H59" s="5">
        <v>0</v>
      </c>
      <c r="I59" s="19">
        <v>2575.4193548387098</v>
      </c>
      <c r="J59" s="19">
        <v>9109.7456837035497</v>
      </c>
      <c r="K59" s="5">
        <v>52</v>
      </c>
      <c r="L59" s="21" t="str">
        <f>IF(ISNA(_xlfn.XLOOKUP(D59,'Same Seller Hist'!E:E,'Same Seller Hist'!E:E)),"Não","Sim")</f>
        <v>Sim</v>
      </c>
      <c r="M59" s="21" t="str">
        <f>_xlfn.IFNA(_xlfn.XLOOKUP(D59,'Same Seller Hist'!E:E,'Same Seller Hist'!M:M),"Não Match")</f>
        <v>Ativo</v>
      </c>
    </row>
    <row r="60" spans="3:13" x14ac:dyDescent="0.35">
      <c r="C60" s="18">
        <v>45992</v>
      </c>
      <c r="D60" s="5">
        <v>299222557</v>
      </c>
      <c r="E60" s="5" t="s">
        <v>1321</v>
      </c>
      <c r="F60" s="5" t="s">
        <v>1734</v>
      </c>
      <c r="G60" s="5">
        <v>1</v>
      </c>
      <c r="H60" s="5">
        <v>1</v>
      </c>
      <c r="I60" s="19">
        <v>2540.1612903225773</v>
      </c>
      <c r="J60" s="19">
        <v>9178.841669216743</v>
      </c>
      <c r="K60" s="5">
        <v>53</v>
      </c>
      <c r="L60" s="21" t="str">
        <f>IF(ISNA(_xlfn.XLOOKUP(D60,'Same Seller Hist'!E:E,'Same Seller Hist'!E:E)),"Não","Sim")</f>
        <v>Sim</v>
      </c>
      <c r="M60" s="21" t="str">
        <f>_xlfn.IFNA(_xlfn.XLOOKUP(D60,'Same Seller Hist'!E:E,'Same Seller Hist'!M:M),"Não Match")</f>
        <v>Ativo</v>
      </c>
    </row>
    <row r="61" spans="3:13" hidden="1" x14ac:dyDescent="0.35">
      <c r="C61" s="18">
        <v>45992</v>
      </c>
      <c r="D61" s="5">
        <v>1025667949</v>
      </c>
      <c r="E61" s="5" t="s">
        <v>1322</v>
      </c>
      <c r="F61" s="5" t="s">
        <v>903</v>
      </c>
      <c r="G61" s="5">
        <v>0</v>
      </c>
      <c r="H61" s="5">
        <v>0</v>
      </c>
      <c r="I61" s="19">
        <v>2486.6129032258063</v>
      </c>
      <c r="J61" s="19">
        <v>11234.820959742678</v>
      </c>
      <c r="K61" s="5">
        <v>54</v>
      </c>
      <c r="L61" s="21" t="str">
        <f>IF(ISNA(_xlfn.XLOOKUP(D61,'Same Seller Hist'!E:E,'Same Seller Hist'!E:E)),"Não","Sim")</f>
        <v>Não</v>
      </c>
      <c r="M61" s="21" t="str">
        <f>_xlfn.IFNA(_xlfn.XLOOKUP(D61,'Same Seller Hist'!E:E,'Same Seller Hist'!M:M),"Não Match")</f>
        <v>Não Match</v>
      </c>
    </row>
    <row r="62" spans="3:13" hidden="1" x14ac:dyDescent="0.35">
      <c r="C62" s="18">
        <v>45992</v>
      </c>
      <c r="D62" s="5">
        <v>373289765</v>
      </c>
      <c r="E62" s="5" t="s">
        <v>1323</v>
      </c>
      <c r="F62" s="5" t="s">
        <v>906</v>
      </c>
      <c r="G62" s="5">
        <v>0</v>
      </c>
      <c r="H62" s="5">
        <v>1</v>
      </c>
      <c r="I62" s="19">
        <v>2472.7419354838707</v>
      </c>
      <c r="J62" s="19">
        <v>14169.48614062384</v>
      </c>
      <c r="K62" s="5">
        <v>55</v>
      </c>
      <c r="L62" s="21" t="str">
        <f>IF(ISNA(_xlfn.XLOOKUP(D62,'Same Seller Hist'!E:E,'Same Seller Hist'!E:E)),"Não","Sim")</f>
        <v>Não</v>
      </c>
      <c r="M62" s="21" t="str">
        <f>_xlfn.IFNA(_xlfn.XLOOKUP(D62,'Same Seller Hist'!E:E,'Same Seller Hist'!M:M),"Não Match")</f>
        <v>Não Match</v>
      </c>
    </row>
    <row r="63" spans="3:13" hidden="1" x14ac:dyDescent="0.35">
      <c r="C63" s="18">
        <v>45992</v>
      </c>
      <c r="D63" s="5">
        <v>1294737459</v>
      </c>
      <c r="E63" s="5" t="s">
        <v>1324</v>
      </c>
      <c r="F63" s="5" t="s">
        <v>1734</v>
      </c>
      <c r="G63" s="5">
        <v>1</v>
      </c>
      <c r="H63" s="5">
        <v>0</v>
      </c>
      <c r="I63" s="19">
        <v>2461.7096774193546</v>
      </c>
      <c r="J63" s="19">
        <v>11151.549850599871</v>
      </c>
      <c r="K63" s="5">
        <v>56</v>
      </c>
      <c r="L63" s="21" t="str">
        <f>IF(ISNA(_xlfn.XLOOKUP(D63,'Same Seller Hist'!E:E,'Same Seller Hist'!E:E)),"Não","Sim")</f>
        <v>Não</v>
      </c>
      <c r="M63" s="21" t="str">
        <f>_xlfn.IFNA(_xlfn.XLOOKUP(D63,'Same Seller Hist'!E:E,'Same Seller Hist'!M:M),"Não Match")</f>
        <v>Não Match</v>
      </c>
    </row>
    <row r="64" spans="3:13" hidden="1" x14ac:dyDescent="0.35">
      <c r="C64" s="18">
        <v>45992</v>
      </c>
      <c r="D64" s="5">
        <v>893869193</v>
      </c>
      <c r="E64" s="5" t="s">
        <v>1325</v>
      </c>
      <c r="F64" s="5" t="s">
        <v>906</v>
      </c>
      <c r="G64" s="5">
        <v>0</v>
      </c>
      <c r="H64" s="5">
        <v>1</v>
      </c>
      <c r="I64" s="19">
        <v>2422.6451612903193</v>
      </c>
      <c r="J64" s="19">
        <v>25495.71413810087</v>
      </c>
      <c r="K64" s="5">
        <v>57</v>
      </c>
      <c r="L64" s="21" t="str">
        <f>IF(ISNA(_xlfn.XLOOKUP(D64,'Same Seller Hist'!E:E,'Same Seller Hist'!E:E)),"Não","Sim")</f>
        <v>Não</v>
      </c>
      <c r="M64" s="21" t="str">
        <f>_xlfn.IFNA(_xlfn.XLOOKUP(D64,'Same Seller Hist'!E:E,'Same Seller Hist'!M:M),"Não Match")</f>
        <v>Não Match</v>
      </c>
    </row>
    <row r="65" spans="3:13" x14ac:dyDescent="0.35">
      <c r="C65" s="18">
        <v>45992</v>
      </c>
      <c r="D65" s="5">
        <v>1388709282</v>
      </c>
      <c r="E65" s="5" t="s">
        <v>1326</v>
      </c>
      <c r="F65" s="5" t="s">
        <v>904</v>
      </c>
      <c r="G65" s="5">
        <v>0</v>
      </c>
      <c r="H65" s="5">
        <v>1</v>
      </c>
      <c r="I65" s="19">
        <v>2420.1935483870966</v>
      </c>
      <c r="J65" s="19">
        <v>265042.32304819289</v>
      </c>
      <c r="K65" s="5">
        <v>58</v>
      </c>
      <c r="L65" s="21" t="str">
        <f>IF(ISNA(_xlfn.XLOOKUP(D65,'Same Seller Hist'!E:E,'Same Seller Hist'!E:E)),"Não","Sim")</f>
        <v>Sim</v>
      </c>
      <c r="M65" s="21" t="str">
        <f>_xlfn.IFNA(_xlfn.XLOOKUP(D65,'Same Seller Hist'!E:E,'Same Seller Hist'!M:M),"Não Match")</f>
        <v>Ativo</v>
      </c>
    </row>
    <row r="66" spans="3:13" hidden="1" x14ac:dyDescent="0.35">
      <c r="C66" s="18">
        <v>45992</v>
      </c>
      <c r="D66" s="5">
        <v>832040275</v>
      </c>
      <c r="E66" s="5" t="s">
        <v>1327</v>
      </c>
      <c r="F66" s="5" t="s">
        <v>1734</v>
      </c>
      <c r="G66" s="5">
        <v>1</v>
      </c>
      <c r="H66" s="5">
        <v>1</v>
      </c>
      <c r="I66" s="19">
        <v>2411.6129032258063</v>
      </c>
      <c r="J66" s="19">
        <v>7651.8316744662907</v>
      </c>
      <c r="K66" s="5">
        <v>59</v>
      </c>
      <c r="L66" s="21" t="str">
        <f>IF(ISNA(_xlfn.XLOOKUP(D66,'Same Seller Hist'!E:E,'Same Seller Hist'!E:E)),"Não","Sim")</f>
        <v>Não</v>
      </c>
      <c r="M66" s="21" t="str">
        <f>_xlfn.IFNA(_xlfn.XLOOKUP(D66,'Same Seller Hist'!E:E,'Same Seller Hist'!M:M),"Não Match")</f>
        <v>Não Match</v>
      </c>
    </row>
    <row r="67" spans="3:13" hidden="1" x14ac:dyDescent="0.35">
      <c r="C67" s="18">
        <v>45992</v>
      </c>
      <c r="D67" s="5">
        <v>811034337</v>
      </c>
      <c r="E67" s="5" t="s">
        <v>1328</v>
      </c>
      <c r="F67" s="5" t="s">
        <v>904</v>
      </c>
      <c r="G67" s="5">
        <v>0</v>
      </c>
      <c r="H67" s="5">
        <v>1</v>
      </c>
      <c r="I67" s="19">
        <v>2394.483870967742</v>
      </c>
      <c r="J67" s="19">
        <v>73497.497144855806</v>
      </c>
      <c r="K67" s="5">
        <v>60</v>
      </c>
      <c r="L67" s="21" t="str">
        <f>IF(ISNA(_xlfn.XLOOKUP(D67,'Same Seller Hist'!E:E,'Same Seller Hist'!E:E)),"Não","Sim")</f>
        <v>Não</v>
      </c>
      <c r="M67" s="21" t="str">
        <f>_xlfn.IFNA(_xlfn.XLOOKUP(D67,'Same Seller Hist'!E:E,'Same Seller Hist'!M:M),"Não Match")</f>
        <v>Não Match</v>
      </c>
    </row>
    <row r="68" spans="3:13" hidden="1" x14ac:dyDescent="0.35">
      <c r="C68" s="18">
        <v>45992</v>
      </c>
      <c r="D68" s="5">
        <v>430146238</v>
      </c>
      <c r="E68" s="5" t="s">
        <v>1329</v>
      </c>
      <c r="F68" s="5" t="s">
        <v>1734</v>
      </c>
      <c r="G68" s="5">
        <v>1</v>
      </c>
      <c r="H68" s="5">
        <v>0</v>
      </c>
      <c r="I68" s="19">
        <v>2360.548387096771</v>
      </c>
      <c r="J68" s="19">
        <v>8280.2754312549023</v>
      </c>
      <c r="K68" s="5">
        <v>61</v>
      </c>
      <c r="L68" s="21" t="str">
        <f>IF(ISNA(_xlfn.XLOOKUP(D68,'Same Seller Hist'!E:E,'Same Seller Hist'!E:E)),"Não","Sim")</f>
        <v>Não</v>
      </c>
      <c r="M68" s="21" t="str">
        <f>_xlfn.IFNA(_xlfn.XLOOKUP(D68,'Same Seller Hist'!E:E,'Same Seller Hist'!M:M),"Não Match")</f>
        <v>Não Match</v>
      </c>
    </row>
    <row r="69" spans="3:13" x14ac:dyDescent="0.35">
      <c r="C69" s="18">
        <v>45992</v>
      </c>
      <c r="D69" s="5">
        <v>373261329</v>
      </c>
      <c r="E69" s="5" t="s">
        <v>1330</v>
      </c>
      <c r="F69" s="5" t="s">
        <v>906</v>
      </c>
      <c r="G69" s="5">
        <v>0</v>
      </c>
      <c r="H69" s="5">
        <v>1</v>
      </c>
      <c r="I69" s="19">
        <v>2353.2903225806417</v>
      </c>
      <c r="J69" s="19">
        <v>30442.549893065225</v>
      </c>
      <c r="K69" s="5">
        <v>62</v>
      </c>
      <c r="L69" s="21" t="str">
        <f>IF(ISNA(_xlfn.XLOOKUP(D69,'Same Seller Hist'!E:E,'Same Seller Hist'!E:E)),"Não","Sim")</f>
        <v>Sim</v>
      </c>
      <c r="M69" s="21" t="str">
        <f>_xlfn.IFNA(_xlfn.XLOOKUP(D69,'Same Seller Hist'!E:E,'Same Seller Hist'!M:M),"Não Match")</f>
        <v>Ativo</v>
      </c>
    </row>
    <row r="70" spans="3:13" x14ac:dyDescent="0.35">
      <c r="C70" s="18">
        <v>45992</v>
      </c>
      <c r="D70" s="5">
        <v>1360752092</v>
      </c>
      <c r="E70" s="5" t="s">
        <v>1331</v>
      </c>
      <c r="F70" s="5" t="s">
        <v>905</v>
      </c>
      <c r="G70" s="5">
        <v>0</v>
      </c>
      <c r="H70" s="5">
        <v>0</v>
      </c>
      <c r="I70" s="19">
        <v>2352.7741935483837</v>
      </c>
      <c r="J70" s="19">
        <v>12036.157265868258</v>
      </c>
      <c r="K70" s="5">
        <v>63</v>
      </c>
      <c r="L70" s="21" t="str">
        <f>IF(ISNA(_xlfn.XLOOKUP(D70,'Same Seller Hist'!E:E,'Same Seller Hist'!E:E)),"Não","Sim")</f>
        <v>Sim</v>
      </c>
      <c r="M70" s="21" t="str">
        <f>_xlfn.IFNA(_xlfn.XLOOKUP(D70,'Same Seller Hist'!E:E,'Same Seller Hist'!M:M),"Não Match")</f>
        <v>Ativo</v>
      </c>
    </row>
    <row r="71" spans="3:13" hidden="1" x14ac:dyDescent="0.35">
      <c r="C71" s="18">
        <v>45992</v>
      </c>
      <c r="D71" s="5">
        <v>1003085235</v>
      </c>
      <c r="E71" s="5" t="s">
        <v>1332</v>
      </c>
      <c r="F71" s="5" t="s">
        <v>1734</v>
      </c>
      <c r="G71" s="5">
        <v>1</v>
      </c>
      <c r="H71" s="5">
        <v>1</v>
      </c>
      <c r="I71" s="19">
        <v>2341.9677419354839</v>
      </c>
      <c r="J71" s="19">
        <v>9485.7557383747408</v>
      </c>
      <c r="K71" s="5">
        <v>64</v>
      </c>
      <c r="L71" s="21" t="str">
        <f>IF(ISNA(_xlfn.XLOOKUP(D71,'Same Seller Hist'!E:E,'Same Seller Hist'!E:E)),"Não","Sim")</f>
        <v>Não</v>
      </c>
      <c r="M71" s="21" t="str">
        <f>_xlfn.IFNA(_xlfn.XLOOKUP(D71,'Same Seller Hist'!E:E,'Same Seller Hist'!M:M),"Não Match")</f>
        <v>Não Match</v>
      </c>
    </row>
    <row r="72" spans="3:13" hidden="1" x14ac:dyDescent="0.35">
      <c r="C72" s="18">
        <v>45992</v>
      </c>
      <c r="D72" s="5">
        <v>1215185317</v>
      </c>
      <c r="E72" s="5" t="s">
        <v>1333</v>
      </c>
      <c r="F72" s="5" t="s">
        <v>1734</v>
      </c>
      <c r="G72" s="5">
        <v>1</v>
      </c>
      <c r="H72" s="5">
        <v>1</v>
      </c>
      <c r="I72" s="19">
        <v>2330.9354838709678</v>
      </c>
      <c r="J72" s="19">
        <v>11194.258263954258</v>
      </c>
      <c r="K72" s="5">
        <v>65</v>
      </c>
      <c r="L72" s="21" t="str">
        <f>IF(ISNA(_xlfn.XLOOKUP(D72,'Same Seller Hist'!E:E,'Same Seller Hist'!E:E)),"Não","Sim")</f>
        <v>Não</v>
      </c>
      <c r="M72" s="21" t="str">
        <f>_xlfn.IFNA(_xlfn.XLOOKUP(D72,'Same Seller Hist'!E:E,'Same Seller Hist'!M:M),"Não Match")</f>
        <v>Não Match</v>
      </c>
    </row>
    <row r="73" spans="3:13" hidden="1" x14ac:dyDescent="0.35">
      <c r="C73" s="18">
        <v>45992</v>
      </c>
      <c r="D73" s="5">
        <v>371687721</v>
      </c>
      <c r="E73" s="5" t="s">
        <v>1334</v>
      </c>
      <c r="F73" s="5" t="s">
        <v>1734</v>
      </c>
      <c r="G73" s="5">
        <v>1</v>
      </c>
      <c r="H73" s="5">
        <v>0</v>
      </c>
      <c r="I73" s="19">
        <v>2295.1612903225773</v>
      </c>
      <c r="J73" s="19">
        <v>11820.879730356097</v>
      </c>
      <c r="K73" s="5">
        <v>66</v>
      </c>
      <c r="L73" s="21" t="str">
        <f>IF(ISNA(_xlfn.XLOOKUP(D73,'Same Seller Hist'!E:E,'Same Seller Hist'!E:E)),"Não","Sim")</f>
        <v>Não</v>
      </c>
      <c r="M73" s="21" t="str">
        <f>_xlfn.IFNA(_xlfn.XLOOKUP(D73,'Same Seller Hist'!E:E,'Same Seller Hist'!M:M),"Não Match")</f>
        <v>Não Match</v>
      </c>
    </row>
    <row r="74" spans="3:13" hidden="1" x14ac:dyDescent="0.35">
      <c r="C74" s="18">
        <v>45992</v>
      </c>
      <c r="D74" s="5">
        <v>1050213612</v>
      </c>
      <c r="E74" s="5" t="s">
        <v>1335</v>
      </c>
      <c r="F74" s="5" t="s">
        <v>905</v>
      </c>
      <c r="G74" s="5">
        <v>0</v>
      </c>
      <c r="H74" s="5">
        <v>1</v>
      </c>
      <c r="I74" s="19">
        <v>2289.0645161290322</v>
      </c>
      <c r="J74" s="19">
        <v>30293.167269626032</v>
      </c>
      <c r="K74" s="5">
        <v>67</v>
      </c>
      <c r="L74" s="21" t="str">
        <f>IF(ISNA(_xlfn.XLOOKUP(D74,'Same Seller Hist'!E:E,'Same Seller Hist'!E:E)),"Não","Sim")</f>
        <v>Não</v>
      </c>
      <c r="M74" s="21" t="str">
        <f>_xlfn.IFNA(_xlfn.XLOOKUP(D74,'Same Seller Hist'!E:E,'Same Seller Hist'!M:M),"Não Match")</f>
        <v>Não Match</v>
      </c>
    </row>
    <row r="75" spans="3:13" hidden="1" x14ac:dyDescent="0.35">
      <c r="C75" s="18">
        <v>45992</v>
      </c>
      <c r="D75" s="5">
        <v>421446882</v>
      </c>
      <c r="E75" s="5" t="s">
        <v>1336</v>
      </c>
      <c r="F75" s="5" t="s">
        <v>1734</v>
      </c>
      <c r="G75" s="5">
        <v>1</v>
      </c>
      <c r="H75" s="5">
        <v>1</v>
      </c>
      <c r="I75" s="19">
        <v>2287.0645161290322</v>
      </c>
      <c r="J75" s="19">
        <v>10794.828479076579</v>
      </c>
      <c r="K75" s="5">
        <v>68</v>
      </c>
      <c r="L75" s="21" t="str">
        <f>IF(ISNA(_xlfn.XLOOKUP(D75,'Same Seller Hist'!E:E,'Same Seller Hist'!E:E)),"Não","Sim")</f>
        <v>Não</v>
      </c>
      <c r="M75" s="21" t="str">
        <f>_xlfn.IFNA(_xlfn.XLOOKUP(D75,'Same Seller Hist'!E:E,'Same Seller Hist'!M:M),"Não Match")</f>
        <v>Não Match</v>
      </c>
    </row>
    <row r="76" spans="3:13" x14ac:dyDescent="0.35">
      <c r="C76" s="18">
        <v>45992</v>
      </c>
      <c r="D76" s="5">
        <v>313984108</v>
      </c>
      <c r="E76" s="5" t="s">
        <v>1337</v>
      </c>
      <c r="F76" s="5" t="s">
        <v>905</v>
      </c>
      <c r="G76" s="5">
        <v>0</v>
      </c>
      <c r="H76" s="5">
        <v>1</v>
      </c>
      <c r="I76" s="19">
        <v>2282.8387096774195</v>
      </c>
      <c r="J76" s="19">
        <v>18438.425774878451</v>
      </c>
      <c r="K76" s="5">
        <v>69</v>
      </c>
      <c r="L76" s="21" t="str">
        <f>IF(ISNA(_xlfn.XLOOKUP(D76,'Same Seller Hist'!E:E,'Same Seller Hist'!E:E)),"Não","Sim")</f>
        <v>Sim</v>
      </c>
      <c r="M76" s="21" t="str">
        <f>_xlfn.IFNA(_xlfn.XLOOKUP(D76,'Same Seller Hist'!E:E,'Same Seller Hist'!M:M),"Não Match")</f>
        <v>Ativo</v>
      </c>
    </row>
    <row r="77" spans="3:13" x14ac:dyDescent="0.35">
      <c r="C77" s="18">
        <v>45992</v>
      </c>
      <c r="D77" s="5">
        <v>526615488</v>
      </c>
      <c r="E77" s="5" t="s">
        <v>619</v>
      </c>
      <c r="F77" s="5" t="s">
        <v>1734</v>
      </c>
      <c r="G77" s="5">
        <v>1</v>
      </c>
      <c r="H77" s="5">
        <v>1</v>
      </c>
      <c r="I77" s="19">
        <v>2276.1290322580612</v>
      </c>
      <c r="J77" s="19">
        <v>16653.106645114451</v>
      </c>
      <c r="K77" s="5">
        <v>70</v>
      </c>
      <c r="L77" s="21" t="str">
        <f>IF(ISNA(_xlfn.XLOOKUP(D77,'Same Seller Hist'!E:E,'Same Seller Hist'!E:E)),"Não","Sim")</f>
        <v>Sim</v>
      </c>
      <c r="M77" s="21" t="str">
        <f>_xlfn.IFNA(_xlfn.XLOOKUP(D77,'Same Seller Hist'!E:E,'Same Seller Hist'!M:M),"Não Match")</f>
        <v>Ativo</v>
      </c>
    </row>
    <row r="78" spans="3:13" hidden="1" x14ac:dyDescent="0.35">
      <c r="C78" s="18">
        <v>45992</v>
      </c>
      <c r="D78" s="5">
        <v>392260640</v>
      </c>
      <c r="E78" s="5" t="s">
        <v>1338</v>
      </c>
      <c r="F78" s="5" t="s">
        <v>1734</v>
      </c>
      <c r="G78" s="5">
        <v>1</v>
      </c>
      <c r="H78" s="5">
        <v>1</v>
      </c>
      <c r="I78" s="19">
        <v>2262.7096774193546</v>
      </c>
      <c r="J78" s="19">
        <v>13402.558677657484</v>
      </c>
      <c r="K78" s="5">
        <v>71</v>
      </c>
      <c r="L78" s="21" t="str">
        <f>IF(ISNA(_xlfn.XLOOKUP(D78,'Same Seller Hist'!E:E,'Same Seller Hist'!E:E)),"Não","Sim")</f>
        <v>Não</v>
      </c>
      <c r="M78" s="21" t="str">
        <f>_xlfn.IFNA(_xlfn.XLOOKUP(D78,'Same Seller Hist'!E:E,'Same Seller Hist'!M:M),"Não Match")</f>
        <v>Não Match</v>
      </c>
    </row>
    <row r="79" spans="3:13" x14ac:dyDescent="0.35">
      <c r="C79" s="18">
        <v>45992</v>
      </c>
      <c r="D79" s="5">
        <v>409164022</v>
      </c>
      <c r="E79" s="5" t="s">
        <v>1339</v>
      </c>
      <c r="F79" s="5" t="s">
        <v>1734</v>
      </c>
      <c r="G79" s="5">
        <v>1</v>
      </c>
      <c r="H79" s="5">
        <v>1</v>
      </c>
      <c r="I79" s="19">
        <v>2243.4516129032227</v>
      </c>
      <c r="J79" s="19">
        <v>11390.064254643128</v>
      </c>
      <c r="K79" s="5">
        <v>72</v>
      </c>
      <c r="L79" s="21" t="str">
        <f>IF(ISNA(_xlfn.XLOOKUP(D79,'Same Seller Hist'!E:E,'Same Seller Hist'!E:E)),"Não","Sim")</f>
        <v>Sim</v>
      </c>
      <c r="M79" s="21" t="str">
        <f>_xlfn.IFNA(_xlfn.XLOOKUP(D79,'Same Seller Hist'!E:E,'Same Seller Hist'!M:M),"Não Match")</f>
        <v>Ativo</v>
      </c>
    </row>
    <row r="80" spans="3:13" x14ac:dyDescent="0.35">
      <c r="C80" s="18">
        <v>45992</v>
      </c>
      <c r="D80" s="5">
        <v>883941882</v>
      </c>
      <c r="E80" s="5" t="s">
        <v>1340</v>
      </c>
      <c r="F80" s="5" t="s">
        <v>1734</v>
      </c>
      <c r="G80" s="5">
        <v>1</v>
      </c>
      <c r="H80" s="5">
        <v>1</v>
      </c>
      <c r="I80" s="19">
        <v>2238.0322580645161</v>
      </c>
      <c r="J80" s="19">
        <v>19958.814068243453</v>
      </c>
      <c r="K80" s="5">
        <v>73</v>
      </c>
      <c r="L80" s="21" t="str">
        <f>IF(ISNA(_xlfn.XLOOKUP(D80,'Same Seller Hist'!E:E,'Same Seller Hist'!E:E)),"Não","Sim")</f>
        <v>Sim</v>
      </c>
      <c r="M80" s="21" t="str">
        <f>_xlfn.IFNA(_xlfn.XLOOKUP(D80,'Same Seller Hist'!E:E,'Same Seller Hist'!M:M),"Não Match")</f>
        <v>Ativo</v>
      </c>
    </row>
    <row r="81" spans="3:13" hidden="1" x14ac:dyDescent="0.35">
      <c r="C81" s="18">
        <v>45992</v>
      </c>
      <c r="D81" s="5">
        <v>935991633</v>
      </c>
      <c r="E81" s="5" t="s">
        <v>1341</v>
      </c>
      <c r="F81" s="5" t="s">
        <v>903</v>
      </c>
      <c r="G81" s="5">
        <v>0</v>
      </c>
      <c r="H81" s="5">
        <v>0</v>
      </c>
      <c r="I81" s="19">
        <v>2234.1290322580612</v>
      </c>
      <c r="J81" s="19">
        <v>9549.4248593740649</v>
      </c>
      <c r="K81" s="5">
        <v>74</v>
      </c>
      <c r="L81" s="21" t="str">
        <f>IF(ISNA(_xlfn.XLOOKUP(D81,'Same Seller Hist'!E:E,'Same Seller Hist'!E:E)),"Não","Sim")</f>
        <v>Não</v>
      </c>
      <c r="M81" s="21" t="str">
        <f>_xlfn.IFNA(_xlfn.XLOOKUP(D81,'Same Seller Hist'!E:E,'Same Seller Hist'!M:M),"Não Match")</f>
        <v>Não Match</v>
      </c>
    </row>
    <row r="82" spans="3:13" hidden="1" x14ac:dyDescent="0.35">
      <c r="C82" s="18">
        <v>45992</v>
      </c>
      <c r="D82" s="5">
        <v>217167158</v>
      </c>
      <c r="E82" s="5" t="s">
        <v>1342</v>
      </c>
      <c r="F82" s="5" t="s">
        <v>906</v>
      </c>
      <c r="G82" s="5">
        <v>0</v>
      </c>
      <c r="H82" s="5">
        <v>1</v>
      </c>
      <c r="I82" s="19">
        <v>2218</v>
      </c>
      <c r="J82" s="19">
        <v>16891.465842666741</v>
      </c>
      <c r="K82" s="5">
        <v>75</v>
      </c>
      <c r="L82" s="21" t="str">
        <f>IF(ISNA(_xlfn.XLOOKUP(D82,'Same Seller Hist'!E:E,'Same Seller Hist'!E:E)),"Não","Sim")</f>
        <v>Não</v>
      </c>
      <c r="M82" s="21" t="str">
        <f>_xlfn.IFNA(_xlfn.XLOOKUP(D82,'Same Seller Hist'!E:E,'Same Seller Hist'!M:M),"Não Match")</f>
        <v>Não Match</v>
      </c>
    </row>
    <row r="83" spans="3:13" hidden="1" x14ac:dyDescent="0.35">
      <c r="C83" s="18">
        <v>45992</v>
      </c>
      <c r="D83" s="5">
        <v>1362240140</v>
      </c>
      <c r="E83" s="5" t="s">
        <v>1343</v>
      </c>
      <c r="F83" s="5" t="s">
        <v>1734</v>
      </c>
      <c r="G83" s="5">
        <v>1</v>
      </c>
      <c r="H83" s="5">
        <v>0</v>
      </c>
      <c r="I83" s="19">
        <v>2187.6774193548385</v>
      </c>
      <c r="J83" s="19">
        <v>10098.124718885838</v>
      </c>
      <c r="K83" s="5">
        <v>76</v>
      </c>
      <c r="L83" s="21" t="str">
        <f>IF(ISNA(_xlfn.XLOOKUP(D83,'Same Seller Hist'!E:E,'Same Seller Hist'!E:E)),"Não","Sim")</f>
        <v>Não</v>
      </c>
      <c r="M83" s="21" t="str">
        <f>_xlfn.IFNA(_xlfn.XLOOKUP(D83,'Same Seller Hist'!E:E,'Same Seller Hist'!M:M),"Não Match")</f>
        <v>Não Match</v>
      </c>
    </row>
    <row r="84" spans="3:13" hidden="1" x14ac:dyDescent="0.35">
      <c r="C84" s="18">
        <v>45992</v>
      </c>
      <c r="D84" s="5">
        <v>997025684</v>
      </c>
      <c r="E84" s="5" t="s">
        <v>1344</v>
      </c>
      <c r="F84" s="5" t="s">
        <v>1734</v>
      </c>
      <c r="G84" s="5">
        <v>1</v>
      </c>
      <c r="H84" s="5">
        <v>1</v>
      </c>
      <c r="I84" s="19">
        <v>2184.8387096774159</v>
      </c>
      <c r="J84" s="19">
        <v>14789.169588089517</v>
      </c>
      <c r="K84" s="5">
        <v>77</v>
      </c>
      <c r="L84" s="21" t="str">
        <f>IF(ISNA(_xlfn.XLOOKUP(D84,'Same Seller Hist'!E:E,'Same Seller Hist'!E:E)),"Não","Sim")</f>
        <v>Não</v>
      </c>
      <c r="M84" s="21" t="str">
        <f>_xlfn.IFNA(_xlfn.XLOOKUP(D84,'Same Seller Hist'!E:E,'Same Seller Hist'!M:M),"Não Match")</f>
        <v>Não Match</v>
      </c>
    </row>
    <row r="85" spans="3:13" hidden="1" x14ac:dyDescent="0.35">
      <c r="C85" s="18">
        <v>45992</v>
      </c>
      <c r="D85" s="5">
        <v>1133101357</v>
      </c>
      <c r="E85" s="5" t="s">
        <v>1345</v>
      </c>
      <c r="F85" s="5" t="s">
        <v>1734</v>
      </c>
      <c r="G85" s="5">
        <v>1</v>
      </c>
      <c r="H85" s="5">
        <v>0</v>
      </c>
      <c r="I85" s="19">
        <v>2183.7096774193546</v>
      </c>
      <c r="J85" s="19">
        <v>7263.8597550471613</v>
      </c>
      <c r="K85" s="5">
        <v>78</v>
      </c>
      <c r="L85" s="21" t="str">
        <f>IF(ISNA(_xlfn.XLOOKUP(D85,'Same Seller Hist'!E:E,'Same Seller Hist'!E:E)),"Não","Sim")</f>
        <v>Não</v>
      </c>
      <c r="M85" s="21" t="str">
        <f>_xlfn.IFNA(_xlfn.XLOOKUP(D85,'Same Seller Hist'!E:E,'Same Seller Hist'!M:M),"Não Match")</f>
        <v>Não Match</v>
      </c>
    </row>
    <row r="86" spans="3:13" hidden="1" x14ac:dyDescent="0.35">
      <c r="C86" s="18">
        <v>45992</v>
      </c>
      <c r="D86" s="5">
        <v>832036467</v>
      </c>
      <c r="E86" s="5" t="s">
        <v>1346</v>
      </c>
      <c r="F86" s="5" t="s">
        <v>1734</v>
      </c>
      <c r="G86" s="5">
        <v>1</v>
      </c>
      <c r="H86" s="5">
        <v>1</v>
      </c>
      <c r="I86" s="19">
        <v>2175.1290322580644</v>
      </c>
      <c r="J86" s="19">
        <v>10551.710419406936</v>
      </c>
      <c r="K86" s="5">
        <v>79</v>
      </c>
      <c r="L86" s="21" t="str">
        <f>IF(ISNA(_xlfn.XLOOKUP(D86,'Same Seller Hist'!E:E,'Same Seller Hist'!E:E)),"Não","Sim")</f>
        <v>Não</v>
      </c>
      <c r="M86" s="21" t="str">
        <f>_xlfn.IFNA(_xlfn.XLOOKUP(D86,'Same Seller Hist'!E:E,'Same Seller Hist'!M:M),"Não Match")</f>
        <v>Não Match</v>
      </c>
    </row>
    <row r="87" spans="3:13" hidden="1" x14ac:dyDescent="0.35">
      <c r="C87" s="18">
        <v>45992</v>
      </c>
      <c r="D87" s="5">
        <v>441005685</v>
      </c>
      <c r="E87" s="5" t="s">
        <v>1347</v>
      </c>
      <c r="F87" s="5" t="s">
        <v>1734</v>
      </c>
      <c r="G87" s="5">
        <v>1</v>
      </c>
      <c r="H87" s="5">
        <v>1</v>
      </c>
      <c r="I87" s="19">
        <v>2153.9999999999968</v>
      </c>
      <c r="J87" s="19">
        <v>12880.409911396322</v>
      </c>
      <c r="K87" s="5">
        <v>80</v>
      </c>
      <c r="L87" s="21" t="str">
        <f>IF(ISNA(_xlfn.XLOOKUP(D87,'Same Seller Hist'!E:E,'Same Seller Hist'!E:E)),"Não","Sim")</f>
        <v>Não</v>
      </c>
      <c r="M87" s="21" t="str">
        <f>_xlfn.IFNA(_xlfn.XLOOKUP(D87,'Same Seller Hist'!E:E,'Same Seller Hist'!M:M),"Não Match")</f>
        <v>Não Match</v>
      </c>
    </row>
    <row r="88" spans="3:13" x14ac:dyDescent="0.35">
      <c r="C88" s="18">
        <v>45992</v>
      </c>
      <c r="D88" s="5">
        <v>415175805</v>
      </c>
      <c r="E88" s="5" t="s">
        <v>1348</v>
      </c>
      <c r="F88" s="5" t="s">
        <v>1734</v>
      </c>
      <c r="G88" s="5">
        <v>1</v>
      </c>
      <c r="H88" s="5">
        <v>1</v>
      </c>
      <c r="I88" s="19">
        <v>2126.3225806451615</v>
      </c>
      <c r="J88" s="19">
        <v>12304.551508389968</v>
      </c>
      <c r="K88" s="5">
        <v>81</v>
      </c>
      <c r="L88" s="21" t="str">
        <f>IF(ISNA(_xlfn.XLOOKUP(D88,'Same Seller Hist'!E:E,'Same Seller Hist'!E:E)),"Não","Sim")</f>
        <v>Sim</v>
      </c>
      <c r="M88" s="21" t="str">
        <f>_xlfn.IFNA(_xlfn.XLOOKUP(D88,'Same Seller Hist'!E:E,'Same Seller Hist'!M:M),"Não Match")</f>
        <v>Ativo</v>
      </c>
    </row>
    <row r="89" spans="3:13" x14ac:dyDescent="0.35">
      <c r="C89" s="18">
        <v>45992</v>
      </c>
      <c r="D89" s="5">
        <v>995022276</v>
      </c>
      <c r="E89" s="5" t="s">
        <v>1349</v>
      </c>
      <c r="F89" s="5" t="s">
        <v>1734</v>
      </c>
      <c r="G89" s="5">
        <v>1</v>
      </c>
      <c r="H89" s="5">
        <v>1</v>
      </c>
      <c r="I89" s="19">
        <v>2114.3548387096776</v>
      </c>
      <c r="J89" s="19">
        <v>17475.863132709583</v>
      </c>
      <c r="K89" s="5">
        <v>82</v>
      </c>
      <c r="L89" s="21" t="str">
        <f>IF(ISNA(_xlfn.XLOOKUP(D89,'Same Seller Hist'!E:E,'Same Seller Hist'!E:E)),"Não","Sim")</f>
        <v>Sim</v>
      </c>
      <c r="M89" s="21" t="str">
        <f>_xlfn.IFNA(_xlfn.XLOOKUP(D89,'Same Seller Hist'!E:E,'Same Seller Hist'!M:M),"Não Match")</f>
        <v>Ativo</v>
      </c>
    </row>
    <row r="90" spans="3:13" x14ac:dyDescent="0.35">
      <c r="C90" s="18">
        <v>45992</v>
      </c>
      <c r="D90" s="5">
        <v>407760070</v>
      </c>
      <c r="E90" s="5" t="s">
        <v>1350</v>
      </c>
      <c r="F90" s="5" t="s">
        <v>906</v>
      </c>
      <c r="G90" s="5">
        <v>0</v>
      </c>
      <c r="H90" s="5">
        <v>0</v>
      </c>
      <c r="I90" s="19">
        <v>2111.9999999999968</v>
      </c>
      <c r="J90" s="19">
        <v>14126.845328852483</v>
      </c>
      <c r="K90" s="5">
        <v>83</v>
      </c>
      <c r="L90" s="21" t="str">
        <f>IF(ISNA(_xlfn.XLOOKUP(D90,'Same Seller Hist'!E:E,'Same Seller Hist'!E:E)),"Não","Sim")</f>
        <v>Sim</v>
      </c>
      <c r="M90" s="21" t="str">
        <f>_xlfn.IFNA(_xlfn.XLOOKUP(D90,'Same Seller Hist'!E:E,'Same Seller Hist'!M:M),"Não Match")</f>
        <v>Ativo</v>
      </c>
    </row>
    <row r="91" spans="3:13" hidden="1" x14ac:dyDescent="0.35">
      <c r="C91" s="18">
        <v>45992</v>
      </c>
      <c r="D91" s="5">
        <v>461633669</v>
      </c>
      <c r="E91" s="5" t="s">
        <v>1351</v>
      </c>
      <c r="F91" s="5" t="s">
        <v>1734</v>
      </c>
      <c r="G91" s="5">
        <v>1</v>
      </c>
      <c r="H91" s="5">
        <v>1</v>
      </c>
      <c r="I91" s="19">
        <v>2107.7741935483873</v>
      </c>
      <c r="J91" s="19">
        <v>8004.9096702440002</v>
      </c>
      <c r="K91" s="5">
        <v>84</v>
      </c>
      <c r="L91" s="21" t="str">
        <f>IF(ISNA(_xlfn.XLOOKUP(D91,'Same Seller Hist'!E:E,'Same Seller Hist'!E:E)),"Não","Sim")</f>
        <v>Não</v>
      </c>
      <c r="M91" s="21" t="str">
        <f>_xlfn.IFNA(_xlfn.XLOOKUP(D91,'Same Seller Hist'!E:E,'Same Seller Hist'!M:M),"Não Match")</f>
        <v>Não Match</v>
      </c>
    </row>
    <row r="92" spans="3:13" hidden="1" x14ac:dyDescent="0.35">
      <c r="C92" s="18">
        <v>45992</v>
      </c>
      <c r="D92" s="5">
        <v>832031799</v>
      </c>
      <c r="E92" s="5" t="s">
        <v>1352</v>
      </c>
      <c r="F92" s="5" t="s">
        <v>1734</v>
      </c>
      <c r="G92" s="5">
        <v>1</v>
      </c>
      <c r="H92" s="5">
        <v>1</v>
      </c>
      <c r="I92" s="19">
        <v>2099.5806451612902</v>
      </c>
      <c r="J92" s="19">
        <v>8528.8561444907737</v>
      </c>
      <c r="K92" s="5">
        <v>85</v>
      </c>
      <c r="L92" s="21" t="str">
        <f>IF(ISNA(_xlfn.XLOOKUP(D92,'Same Seller Hist'!E:E,'Same Seller Hist'!E:E)),"Não","Sim")</f>
        <v>Não</v>
      </c>
      <c r="M92" s="21" t="str">
        <f>_xlfn.IFNA(_xlfn.XLOOKUP(D92,'Same Seller Hist'!E:E,'Same Seller Hist'!M:M),"Não Match")</f>
        <v>Não Match</v>
      </c>
    </row>
    <row r="93" spans="3:13" hidden="1" x14ac:dyDescent="0.35">
      <c r="C93" s="18">
        <v>45992</v>
      </c>
      <c r="D93" s="5">
        <v>222975446</v>
      </c>
      <c r="E93" s="5" t="s">
        <v>1353</v>
      </c>
      <c r="F93" s="5" t="s">
        <v>1734</v>
      </c>
      <c r="G93" s="5">
        <v>1</v>
      </c>
      <c r="H93" s="5">
        <v>1</v>
      </c>
      <c r="I93" s="19">
        <v>2085.9677419354807</v>
      </c>
      <c r="J93" s="19">
        <v>11047.879331782742</v>
      </c>
      <c r="K93" s="5">
        <v>86</v>
      </c>
      <c r="L93" s="21" t="str">
        <f>IF(ISNA(_xlfn.XLOOKUP(D93,'Same Seller Hist'!E:E,'Same Seller Hist'!E:E)),"Não","Sim")</f>
        <v>Não</v>
      </c>
      <c r="M93" s="21" t="str">
        <f>_xlfn.IFNA(_xlfn.XLOOKUP(D93,'Same Seller Hist'!E:E,'Same Seller Hist'!M:M),"Não Match")</f>
        <v>Não Match</v>
      </c>
    </row>
    <row r="94" spans="3:13" x14ac:dyDescent="0.35">
      <c r="C94" s="18">
        <v>45992</v>
      </c>
      <c r="D94" s="5">
        <v>627750190</v>
      </c>
      <c r="E94" s="5" t="s">
        <v>653</v>
      </c>
      <c r="F94" s="5" t="s">
        <v>904</v>
      </c>
      <c r="G94" s="5">
        <v>0</v>
      </c>
      <c r="H94" s="5">
        <v>1</v>
      </c>
      <c r="I94" s="19">
        <v>2017.2903225806419</v>
      </c>
      <c r="J94" s="19">
        <v>75626.787096293221</v>
      </c>
      <c r="K94" s="5">
        <v>87</v>
      </c>
      <c r="L94" s="21" t="str">
        <f>IF(ISNA(_xlfn.XLOOKUP(D94,'Same Seller Hist'!E:E,'Same Seller Hist'!E:E)),"Não","Sim")</f>
        <v>Sim</v>
      </c>
      <c r="M94" s="21" t="str">
        <f>_xlfn.IFNA(_xlfn.XLOOKUP(D94,'Same Seller Hist'!E:E,'Same Seller Hist'!M:M),"Não Match")</f>
        <v>Ativo</v>
      </c>
    </row>
    <row r="95" spans="3:13" hidden="1" x14ac:dyDescent="0.35">
      <c r="C95" s="18">
        <v>45992</v>
      </c>
      <c r="D95" s="5">
        <v>479114603</v>
      </c>
      <c r="E95" s="5" t="s">
        <v>1354</v>
      </c>
      <c r="F95" s="5" t="s">
        <v>906</v>
      </c>
      <c r="G95" s="5">
        <v>0</v>
      </c>
      <c r="H95" s="5">
        <v>1</v>
      </c>
      <c r="I95" s="19">
        <v>2011.4838709677385</v>
      </c>
      <c r="J95" s="19">
        <v>7012.4050105836768</v>
      </c>
      <c r="K95" s="5">
        <v>88</v>
      </c>
      <c r="L95" s="21" t="str">
        <f>IF(ISNA(_xlfn.XLOOKUP(D95,'Same Seller Hist'!E:E,'Same Seller Hist'!E:E)),"Não","Sim")</f>
        <v>Não</v>
      </c>
      <c r="M95" s="21" t="str">
        <f>_xlfn.IFNA(_xlfn.XLOOKUP(D95,'Same Seller Hist'!E:E,'Same Seller Hist'!M:M),"Não Match")</f>
        <v>Não Match</v>
      </c>
    </row>
    <row r="96" spans="3:13" hidden="1" x14ac:dyDescent="0.35">
      <c r="C96" s="18">
        <v>45992</v>
      </c>
      <c r="D96" s="5">
        <v>408653169</v>
      </c>
      <c r="E96" s="5" t="s">
        <v>1355</v>
      </c>
      <c r="F96" s="5" t="s">
        <v>904</v>
      </c>
      <c r="G96" s="5">
        <v>0</v>
      </c>
      <c r="H96" s="5">
        <v>1</v>
      </c>
      <c r="I96" s="19">
        <v>1964.6774193548354</v>
      </c>
      <c r="J96" s="19">
        <v>13153.692073595032</v>
      </c>
      <c r="K96" s="5">
        <v>89</v>
      </c>
      <c r="L96" s="21" t="str">
        <f>IF(ISNA(_xlfn.XLOOKUP(D96,'Same Seller Hist'!E:E,'Same Seller Hist'!E:E)),"Não","Sim")</f>
        <v>Não</v>
      </c>
      <c r="M96" s="21" t="str">
        <f>_xlfn.IFNA(_xlfn.XLOOKUP(D96,'Same Seller Hist'!E:E,'Same Seller Hist'!M:M),"Não Match")</f>
        <v>Não Match</v>
      </c>
    </row>
    <row r="97" spans="3:13" hidden="1" x14ac:dyDescent="0.35">
      <c r="C97" s="18">
        <v>45992</v>
      </c>
      <c r="D97" s="5">
        <v>746187153</v>
      </c>
      <c r="E97" s="5" t="s">
        <v>1356</v>
      </c>
      <c r="F97" s="5" t="s">
        <v>1734</v>
      </c>
      <c r="G97" s="5">
        <v>1</v>
      </c>
      <c r="H97" s="5">
        <v>0</v>
      </c>
      <c r="I97" s="19">
        <v>1948.2580645161258</v>
      </c>
      <c r="J97" s="19">
        <v>5970.4039435533869</v>
      </c>
      <c r="K97" s="5">
        <v>90</v>
      </c>
      <c r="L97" s="21" t="str">
        <f>IF(ISNA(_xlfn.XLOOKUP(D97,'Same Seller Hist'!E:E,'Same Seller Hist'!E:E)),"Não","Sim")</f>
        <v>Não</v>
      </c>
      <c r="M97" s="21" t="str">
        <f>_xlfn.IFNA(_xlfn.XLOOKUP(D97,'Same Seller Hist'!E:E,'Same Seller Hist'!M:M),"Não Match")</f>
        <v>Não Match</v>
      </c>
    </row>
    <row r="98" spans="3:13" hidden="1" x14ac:dyDescent="0.35">
      <c r="C98" s="18">
        <v>45992</v>
      </c>
      <c r="D98" s="5">
        <v>383034422</v>
      </c>
      <c r="E98" s="5" t="s">
        <v>1357</v>
      </c>
      <c r="F98" s="5" t="s">
        <v>905</v>
      </c>
      <c r="G98" s="5">
        <v>0</v>
      </c>
      <c r="H98" s="5">
        <v>1</v>
      </c>
      <c r="I98" s="19">
        <v>1925.1612903225807</v>
      </c>
      <c r="J98" s="19">
        <v>13290.260341397612</v>
      </c>
      <c r="K98" s="5">
        <v>91</v>
      </c>
      <c r="L98" s="21" t="str">
        <f>IF(ISNA(_xlfn.XLOOKUP(D98,'Same Seller Hist'!E:E,'Same Seller Hist'!E:E)),"Não","Sim")</f>
        <v>Não</v>
      </c>
      <c r="M98" s="21" t="str">
        <f>_xlfn.IFNA(_xlfn.XLOOKUP(D98,'Same Seller Hist'!E:E,'Same Seller Hist'!M:M),"Não Match")</f>
        <v>Não Match</v>
      </c>
    </row>
    <row r="99" spans="3:13" hidden="1" x14ac:dyDescent="0.35">
      <c r="C99" s="18">
        <v>45992</v>
      </c>
      <c r="D99" s="5">
        <v>1259086167</v>
      </c>
      <c r="E99" s="5" t="s">
        <v>1358</v>
      </c>
      <c r="F99" s="5" t="s">
        <v>904</v>
      </c>
      <c r="G99" s="5">
        <v>0</v>
      </c>
      <c r="H99" s="5">
        <v>0</v>
      </c>
      <c r="I99" s="19">
        <v>1923.4838709677385</v>
      </c>
      <c r="J99" s="19">
        <v>15354.572460671903</v>
      </c>
      <c r="K99" s="5">
        <v>92</v>
      </c>
      <c r="L99" s="21" t="str">
        <f>IF(ISNA(_xlfn.XLOOKUP(D99,'Same Seller Hist'!E:E,'Same Seller Hist'!E:E)),"Não","Sim")</f>
        <v>Não</v>
      </c>
      <c r="M99" s="21" t="str">
        <f>_xlfn.IFNA(_xlfn.XLOOKUP(D99,'Same Seller Hist'!E:E,'Same Seller Hist'!M:M),"Não Match")</f>
        <v>Não Match</v>
      </c>
    </row>
    <row r="100" spans="3:13" hidden="1" x14ac:dyDescent="0.35">
      <c r="C100" s="18">
        <v>45992</v>
      </c>
      <c r="D100" s="5">
        <v>1087983137</v>
      </c>
      <c r="E100" s="5" t="s">
        <v>1359</v>
      </c>
      <c r="F100" s="5" t="s">
        <v>1734</v>
      </c>
      <c r="G100" s="5">
        <v>1</v>
      </c>
      <c r="H100" s="5">
        <v>0</v>
      </c>
      <c r="I100" s="19">
        <v>1917.0322580645161</v>
      </c>
      <c r="J100" s="19">
        <v>7586.1652340465807</v>
      </c>
      <c r="K100" s="5">
        <v>93</v>
      </c>
      <c r="L100" s="21" t="str">
        <f>IF(ISNA(_xlfn.XLOOKUP(D100,'Same Seller Hist'!E:E,'Same Seller Hist'!E:E)),"Não","Sim")</f>
        <v>Não</v>
      </c>
      <c r="M100" s="21" t="str">
        <f>_xlfn.IFNA(_xlfn.XLOOKUP(D100,'Same Seller Hist'!E:E,'Same Seller Hist'!M:M),"Não Match")</f>
        <v>Não Match</v>
      </c>
    </row>
    <row r="101" spans="3:13" hidden="1" x14ac:dyDescent="0.35">
      <c r="C101" s="18">
        <v>45992</v>
      </c>
      <c r="D101" s="5">
        <v>424928448</v>
      </c>
      <c r="E101" s="5" t="s">
        <v>1360</v>
      </c>
      <c r="F101" s="5" t="s">
        <v>903</v>
      </c>
      <c r="G101" s="5">
        <v>0</v>
      </c>
      <c r="H101" s="5">
        <v>1</v>
      </c>
      <c r="I101" s="19">
        <v>1911.2258064516129</v>
      </c>
      <c r="J101" s="19">
        <v>10123.929845001001</v>
      </c>
      <c r="K101" s="5">
        <v>94</v>
      </c>
      <c r="L101" s="21" t="str">
        <f>IF(ISNA(_xlfn.XLOOKUP(D101,'Same Seller Hist'!E:E,'Same Seller Hist'!E:E)),"Não","Sim")</f>
        <v>Não</v>
      </c>
      <c r="M101" s="21" t="str">
        <f>_xlfn.IFNA(_xlfn.XLOOKUP(D101,'Same Seller Hist'!E:E,'Same Seller Hist'!M:M),"Não Match")</f>
        <v>Não Match</v>
      </c>
    </row>
    <row r="102" spans="3:13" x14ac:dyDescent="0.35">
      <c r="C102" s="18">
        <v>45992</v>
      </c>
      <c r="D102" s="5">
        <v>390307022</v>
      </c>
      <c r="E102" s="5" t="s">
        <v>1361</v>
      </c>
      <c r="F102" s="5" t="s">
        <v>1734</v>
      </c>
      <c r="G102" s="5">
        <v>1</v>
      </c>
      <c r="H102" s="5">
        <v>1</v>
      </c>
      <c r="I102" s="19">
        <v>1902.9354838709644</v>
      </c>
      <c r="J102" s="19">
        <v>9217.4875408550324</v>
      </c>
      <c r="K102" s="5">
        <v>95</v>
      </c>
      <c r="L102" s="21" t="str">
        <f>IF(ISNA(_xlfn.XLOOKUP(D102,'Same Seller Hist'!E:E,'Same Seller Hist'!E:E)),"Não","Sim")</f>
        <v>Sim</v>
      </c>
      <c r="M102" s="21" t="str">
        <f>_xlfn.IFNA(_xlfn.XLOOKUP(D102,'Same Seller Hist'!E:E,'Same Seller Hist'!M:M),"Não Match")</f>
        <v>Ativo</v>
      </c>
    </row>
    <row r="103" spans="3:13" x14ac:dyDescent="0.35">
      <c r="C103" s="18">
        <v>45992</v>
      </c>
      <c r="D103" s="5">
        <v>1515741369</v>
      </c>
      <c r="E103" s="5" t="s">
        <v>1362</v>
      </c>
      <c r="F103" s="5" t="s">
        <v>1734</v>
      </c>
      <c r="G103" s="5">
        <v>1</v>
      </c>
      <c r="H103" s="5">
        <v>0</v>
      </c>
      <c r="I103" s="19">
        <v>1902.6774193548388</v>
      </c>
      <c r="J103" s="19">
        <v>11655.040640780679</v>
      </c>
      <c r="K103" s="5">
        <v>96</v>
      </c>
      <c r="L103" s="21" t="str">
        <f>IF(ISNA(_xlfn.XLOOKUP(D103,'Same Seller Hist'!E:E,'Same Seller Hist'!E:E)),"Não","Sim")</f>
        <v>Sim</v>
      </c>
      <c r="M103" s="21" t="str">
        <f>_xlfn.IFNA(_xlfn.XLOOKUP(D103,'Same Seller Hist'!E:E,'Same Seller Hist'!M:M),"Não Match")</f>
        <v>Ativo</v>
      </c>
    </row>
    <row r="104" spans="3:13" x14ac:dyDescent="0.35">
      <c r="C104" s="18">
        <v>45992</v>
      </c>
      <c r="D104" s="5">
        <v>322432427</v>
      </c>
      <c r="E104" s="5" t="s">
        <v>1363</v>
      </c>
      <c r="F104" s="5" t="s">
        <v>906</v>
      </c>
      <c r="G104" s="5">
        <v>0</v>
      </c>
      <c r="H104" s="5">
        <v>1</v>
      </c>
      <c r="I104" s="19">
        <v>1889.0645161290322</v>
      </c>
      <c r="J104" s="19">
        <v>13057.062241360903</v>
      </c>
      <c r="K104" s="5">
        <v>97</v>
      </c>
      <c r="L104" s="21" t="str">
        <f>IF(ISNA(_xlfn.XLOOKUP(D104,'Same Seller Hist'!E:E,'Same Seller Hist'!E:E)),"Não","Sim")</f>
        <v>Sim</v>
      </c>
      <c r="M104" s="21" t="str">
        <f>_xlfn.IFNA(_xlfn.XLOOKUP(D104,'Same Seller Hist'!E:E,'Same Seller Hist'!M:M),"Não Match")</f>
        <v>Ativo</v>
      </c>
    </row>
    <row r="105" spans="3:13" hidden="1" x14ac:dyDescent="0.35">
      <c r="C105" s="18">
        <v>45992</v>
      </c>
      <c r="D105" s="5">
        <v>1357069533</v>
      </c>
      <c r="E105" s="5" t="s">
        <v>1364</v>
      </c>
      <c r="F105" s="5" t="s">
        <v>1734</v>
      </c>
      <c r="G105" s="5">
        <v>1</v>
      </c>
      <c r="H105" s="5">
        <v>0</v>
      </c>
      <c r="I105" s="19">
        <v>1880.322580645158</v>
      </c>
      <c r="J105" s="19">
        <v>8656.2793403470641</v>
      </c>
      <c r="K105" s="5">
        <v>98</v>
      </c>
      <c r="L105" s="21" t="str">
        <f>IF(ISNA(_xlfn.XLOOKUP(D105,'Same Seller Hist'!E:E,'Same Seller Hist'!E:E)),"Não","Sim")</f>
        <v>Não</v>
      </c>
      <c r="M105" s="21" t="str">
        <f>_xlfn.IFNA(_xlfn.XLOOKUP(D105,'Same Seller Hist'!E:E,'Same Seller Hist'!M:M),"Não Match")</f>
        <v>Não Match</v>
      </c>
    </row>
    <row r="106" spans="3:13" hidden="1" x14ac:dyDescent="0.35">
      <c r="C106" s="18">
        <v>45992</v>
      </c>
      <c r="D106" s="5">
        <v>1396355892</v>
      </c>
      <c r="E106" s="5" t="s">
        <v>1365</v>
      </c>
      <c r="F106" s="5" t="s">
        <v>1734</v>
      </c>
      <c r="G106" s="5">
        <v>1</v>
      </c>
      <c r="H106" s="5">
        <v>0</v>
      </c>
      <c r="I106" s="19">
        <v>1877.5806451612902</v>
      </c>
      <c r="J106" s="19">
        <v>9902.7294590151287</v>
      </c>
      <c r="K106" s="5">
        <v>99</v>
      </c>
      <c r="L106" s="21" t="str">
        <f>IF(ISNA(_xlfn.XLOOKUP(D106,'Same Seller Hist'!E:E,'Same Seller Hist'!E:E)),"Não","Sim")</f>
        <v>Não</v>
      </c>
      <c r="M106" s="21" t="str">
        <f>_xlfn.IFNA(_xlfn.XLOOKUP(D106,'Same Seller Hist'!E:E,'Same Seller Hist'!M:M),"Não Match")</f>
        <v>Não Match</v>
      </c>
    </row>
    <row r="107" spans="3:13" x14ac:dyDescent="0.35">
      <c r="C107" s="18">
        <v>45992</v>
      </c>
      <c r="D107" s="5">
        <v>296363855</v>
      </c>
      <c r="E107" s="5" t="s">
        <v>1366</v>
      </c>
      <c r="F107" s="5" t="s">
        <v>905</v>
      </c>
      <c r="G107" s="5">
        <v>0</v>
      </c>
      <c r="H107" s="5">
        <v>1</v>
      </c>
      <c r="I107" s="19">
        <v>1873.9354838709644</v>
      </c>
      <c r="J107" s="19">
        <v>15155.612512797323</v>
      </c>
      <c r="K107" s="5">
        <v>100</v>
      </c>
      <c r="L107" s="21" t="str">
        <f>IF(ISNA(_xlfn.XLOOKUP(D107,'Same Seller Hist'!E:E,'Same Seller Hist'!E:E)),"Não","Sim")</f>
        <v>Sim</v>
      </c>
      <c r="M107" s="21" t="str">
        <f>_xlfn.IFNA(_xlfn.XLOOKUP(D107,'Same Seller Hist'!E:E,'Same Seller Hist'!M:M),"Não Match")</f>
        <v>Ativo</v>
      </c>
    </row>
    <row r="108" spans="3:13" x14ac:dyDescent="0.35">
      <c r="C108" s="18">
        <v>45992</v>
      </c>
      <c r="D108" s="5">
        <v>489001115</v>
      </c>
      <c r="E108" s="5" t="s">
        <v>602</v>
      </c>
      <c r="F108" s="5" t="s">
        <v>904</v>
      </c>
      <c r="G108" s="5">
        <v>0</v>
      </c>
      <c r="H108" s="5">
        <v>1</v>
      </c>
      <c r="I108" s="19">
        <v>1873.2258064516129</v>
      </c>
      <c r="J108" s="19">
        <v>62143.234494641933</v>
      </c>
      <c r="K108" s="5">
        <v>101</v>
      </c>
      <c r="L108" s="21" t="str">
        <f>IF(ISNA(_xlfn.XLOOKUP(D108,'Same Seller Hist'!E:E,'Same Seller Hist'!E:E)),"Não","Sim")</f>
        <v>Sim</v>
      </c>
      <c r="M108" s="21" t="str">
        <f>_xlfn.IFNA(_xlfn.XLOOKUP(D108,'Same Seller Hist'!E:E,'Same Seller Hist'!M:M),"Não Match")</f>
        <v>Ativo</v>
      </c>
    </row>
    <row r="109" spans="3:13" hidden="1" x14ac:dyDescent="0.35">
      <c r="C109" s="18">
        <v>45992</v>
      </c>
      <c r="D109" s="5">
        <v>1534896372</v>
      </c>
      <c r="E109" s="5" t="s">
        <v>1367</v>
      </c>
      <c r="F109" s="5" t="s">
        <v>1734</v>
      </c>
      <c r="G109" s="5">
        <v>1</v>
      </c>
      <c r="H109" s="5">
        <v>1</v>
      </c>
      <c r="I109" s="19">
        <v>1863.6451612903227</v>
      </c>
      <c r="J109" s="19">
        <v>5240.2502343000006</v>
      </c>
      <c r="K109" s="5">
        <v>102</v>
      </c>
      <c r="L109" s="21" t="str">
        <f>IF(ISNA(_xlfn.XLOOKUP(D109,'Same Seller Hist'!E:E,'Same Seller Hist'!E:E)),"Não","Sim")</f>
        <v>Não</v>
      </c>
      <c r="M109" s="21" t="str">
        <f>_xlfn.IFNA(_xlfn.XLOOKUP(D109,'Same Seller Hist'!E:E,'Same Seller Hist'!M:M),"Não Match")</f>
        <v>Não Match</v>
      </c>
    </row>
    <row r="110" spans="3:13" hidden="1" x14ac:dyDescent="0.35">
      <c r="C110" s="18">
        <v>45992</v>
      </c>
      <c r="D110" s="5">
        <v>1104525762</v>
      </c>
      <c r="E110" s="5" t="s">
        <v>1368</v>
      </c>
      <c r="F110" s="5" t="s">
        <v>1734</v>
      </c>
      <c r="G110" s="5">
        <v>1</v>
      </c>
      <c r="H110" s="5">
        <v>1</v>
      </c>
      <c r="I110" s="19">
        <v>1855.258064516129</v>
      </c>
      <c r="J110" s="19">
        <v>11401.76228043158</v>
      </c>
      <c r="K110" s="5">
        <v>103</v>
      </c>
      <c r="L110" s="21" t="str">
        <f>IF(ISNA(_xlfn.XLOOKUP(D110,'Same Seller Hist'!E:E,'Same Seller Hist'!E:E)),"Não","Sim")</f>
        <v>Não</v>
      </c>
      <c r="M110" s="21" t="str">
        <f>_xlfn.IFNA(_xlfn.XLOOKUP(D110,'Same Seller Hist'!E:E,'Same Seller Hist'!M:M),"Não Match")</f>
        <v>Não Match</v>
      </c>
    </row>
    <row r="111" spans="3:13" x14ac:dyDescent="0.35">
      <c r="C111" s="18">
        <v>45992</v>
      </c>
      <c r="D111" s="5">
        <v>377126536</v>
      </c>
      <c r="E111" s="5" t="s">
        <v>1369</v>
      </c>
      <c r="F111" s="5" t="s">
        <v>1734</v>
      </c>
      <c r="G111" s="5">
        <v>1</v>
      </c>
      <c r="H111" s="5">
        <v>1</v>
      </c>
      <c r="I111" s="19">
        <v>1853.548387096771</v>
      </c>
      <c r="J111" s="19">
        <v>15479.430712747839</v>
      </c>
      <c r="K111" s="5">
        <v>104</v>
      </c>
      <c r="L111" s="21" t="str">
        <f>IF(ISNA(_xlfn.XLOOKUP(D111,'Same Seller Hist'!E:E,'Same Seller Hist'!E:E)),"Não","Sim")</f>
        <v>Sim</v>
      </c>
      <c r="M111" s="21" t="str">
        <f>_xlfn.IFNA(_xlfn.XLOOKUP(D111,'Same Seller Hist'!E:E,'Same Seller Hist'!M:M),"Não Match")</f>
        <v>Ativo</v>
      </c>
    </row>
    <row r="112" spans="3:13" x14ac:dyDescent="0.35">
      <c r="C112" s="18">
        <v>45992</v>
      </c>
      <c r="D112" s="5">
        <v>1299283009</v>
      </c>
      <c r="E112" s="5" t="s">
        <v>195</v>
      </c>
      <c r="F112" s="5" t="s">
        <v>1734</v>
      </c>
      <c r="G112" s="5">
        <v>1</v>
      </c>
      <c r="H112" s="5">
        <v>1</v>
      </c>
      <c r="I112" s="19">
        <v>1838</v>
      </c>
      <c r="J112" s="19">
        <v>6433.6255806306126</v>
      </c>
      <c r="K112" s="5">
        <v>105</v>
      </c>
      <c r="L112" s="21" t="str">
        <f>IF(ISNA(_xlfn.XLOOKUP(D112,'Same Seller Hist'!E:E,'Same Seller Hist'!E:E)),"Não","Sim")</f>
        <v>Sim</v>
      </c>
      <c r="M112" s="21" t="str">
        <f>_xlfn.IFNA(_xlfn.XLOOKUP(D112,'Same Seller Hist'!E:E,'Same Seller Hist'!M:M),"Não Match")</f>
        <v>Ativo</v>
      </c>
    </row>
    <row r="113" spans="3:13" hidden="1" x14ac:dyDescent="0.35">
      <c r="C113" s="18">
        <v>45992</v>
      </c>
      <c r="D113" s="5">
        <v>1397076460</v>
      </c>
      <c r="E113" s="5" t="s">
        <v>1370</v>
      </c>
      <c r="F113" s="5" t="s">
        <v>1734</v>
      </c>
      <c r="G113" s="5">
        <v>1</v>
      </c>
      <c r="H113" s="5">
        <v>1</v>
      </c>
      <c r="I113" s="19">
        <v>1817.9354838709644</v>
      </c>
      <c r="J113" s="19">
        <v>13039.468176793291</v>
      </c>
      <c r="K113" s="5">
        <v>106</v>
      </c>
      <c r="L113" s="21" t="str">
        <f>IF(ISNA(_xlfn.XLOOKUP(D113,'Same Seller Hist'!E:E,'Same Seller Hist'!E:E)),"Não","Sim")</f>
        <v>Não</v>
      </c>
      <c r="M113" s="21" t="str">
        <f>_xlfn.IFNA(_xlfn.XLOOKUP(D113,'Same Seller Hist'!E:E,'Same Seller Hist'!M:M),"Não Match")</f>
        <v>Não Match</v>
      </c>
    </row>
    <row r="114" spans="3:13" hidden="1" x14ac:dyDescent="0.35">
      <c r="C114" s="18">
        <v>45992</v>
      </c>
      <c r="D114" s="5">
        <v>371599001</v>
      </c>
      <c r="E114" s="5" t="s">
        <v>1371</v>
      </c>
      <c r="F114" s="5" t="s">
        <v>906</v>
      </c>
      <c r="G114" s="5">
        <v>0</v>
      </c>
      <c r="H114" s="5">
        <v>0</v>
      </c>
      <c r="I114" s="19">
        <v>1809.6129032258063</v>
      </c>
      <c r="J114" s="19">
        <v>9650.7101630374182</v>
      </c>
      <c r="K114" s="5">
        <v>107</v>
      </c>
      <c r="L114" s="21" t="str">
        <f>IF(ISNA(_xlfn.XLOOKUP(D114,'Same Seller Hist'!E:E,'Same Seller Hist'!E:E)),"Não","Sim")</f>
        <v>Não</v>
      </c>
      <c r="M114" s="21" t="str">
        <f>_xlfn.IFNA(_xlfn.XLOOKUP(D114,'Same Seller Hist'!E:E,'Same Seller Hist'!M:M),"Não Match")</f>
        <v>Não Match</v>
      </c>
    </row>
    <row r="115" spans="3:13" hidden="1" x14ac:dyDescent="0.35">
      <c r="C115" s="18">
        <v>45992</v>
      </c>
      <c r="D115" s="5">
        <v>230709939</v>
      </c>
      <c r="E115" s="5" t="s">
        <v>1372</v>
      </c>
      <c r="F115" s="5" t="s">
        <v>904</v>
      </c>
      <c r="G115" s="5">
        <v>0</v>
      </c>
      <c r="H115" s="5">
        <v>0</v>
      </c>
      <c r="I115" s="19">
        <v>1807.6451612903193</v>
      </c>
      <c r="J115" s="19">
        <v>7953.6080837501286</v>
      </c>
      <c r="K115" s="5">
        <v>108</v>
      </c>
      <c r="L115" s="21" t="str">
        <f>IF(ISNA(_xlfn.XLOOKUP(D115,'Same Seller Hist'!E:E,'Same Seller Hist'!E:E)),"Não","Sim")</f>
        <v>Não</v>
      </c>
      <c r="M115" s="21" t="str">
        <f>_xlfn.IFNA(_xlfn.XLOOKUP(D115,'Same Seller Hist'!E:E,'Same Seller Hist'!M:M),"Não Match")</f>
        <v>Não Match</v>
      </c>
    </row>
    <row r="116" spans="3:13" hidden="1" x14ac:dyDescent="0.35">
      <c r="C116" s="18">
        <v>45992</v>
      </c>
      <c r="D116" s="5">
        <v>1142052307</v>
      </c>
      <c r="E116" s="5" t="s">
        <v>1373</v>
      </c>
      <c r="F116" s="5" t="s">
        <v>1734</v>
      </c>
      <c r="G116" s="5">
        <v>1</v>
      </c>
      <c r="H116" s="5">
        <v>0</v>
      </c>
      <c r="I116" s="19">
        <v>1803.8709677419322</v>
      </c>
      <c r="J116" s="19">
        <v>12626.213386611515</v>
      </c>
      <c r="K116" s="5">
        <v>109</v>
      </c>
      <c r="L116" s="21" t="str">
        <f>IF(ISNA(_xlfn.XLOOKUP(D116,'Same Seller Hist'!E:E,'Same Seller Hist'!E:E)),"Não","Sim")</f>
        <v>Não</v>
      </c>
      <c r="M116" s="21" t="str">
        <f>_xlfn.IFNA(_xlfn.XLOOKUP(D116,'Same Seller Hist'!E:E,'Same Seller Hist'!M:M),"Não Match")</f>
        <v>Não Match</v>
      </c>
    </row>
    <row r="117" spans="3:13" x14ac:dyDescent="0.35">
      <c r="C117" s="18">
        <v>45992</v>
      </c>
      <c r="D117" s="5">
        <v>325008325</v>
      </c>
      <c r="E117" s="5" t="s">
        <v>1374</v>
      </c>
      <c r="F117" s="5" t="s">
        <v>905</v>
      </c>
      <c r="G117" s="5">
        <v>0</v>
      </c>
      <c r="H117" s="5">
        <v>1</v>
      </c>
      <c r="I117" s="19">
        <v>1795.6129032258063</v>
      </c>
      <c r="J117" s="19">
        <v>32107.84018673229</v>
      </c>
      <c r="K117" s="5">
        <v>110</v>
      </c>
      <c r="L117" s="21" t="str">
        <f>IF(ISNA(_xlfn.XLOOKUP(D117,'Same Seller Hist'!E:E,'Same Seller Hist'!E:E)),"Não","Sim")</f>
        <v>Sim</v>
      </c>
      <c r="M117" s="21" t="str">
        <f>_xlfn.IFNA(_xlfn.XLOOKUP(D117,'Same Seller Hist'!E:E,'Same Seller Hist'!M:M),"Não Match")</f>
        <v>Ativo</v>
      </c>
    </row>
    <row r="118" spans="3:13" hidden="1" x14ac:dyDescent="0.35">
      <c r="C118" s="18">
        <v>45992</v>
      </c>
      <c r="D118" s="5">
        <v>960960972</v>
      </c>
      <c r="E118" s="5" t="s">
        <v>1375</v>
      </c>
      <c r="F118" s="5" t="s">
        <v>905</v>
      </c>
      <c r="G118" s="5">
        <v>0</v>
      </c>
      <c r="H118" s="5">
        <v>0</v>
      </c>
      <c r="I118" s="19">
        <v>1784.8064516129032</v>
      </c>
      <c r="J118" s="19">
        <v>11005.424394236903</v>
      </c>
      <c r="K118" s="5">
        <v>111</v>
      </c>
      <c r="L118" s="21" t="str">
        <f>IF(ISNA(_xlfn.XLOOKUP(D118,'Same Seller Hist'!E:E,'Same Seller Hist'!E:E)),"Não","Sim")</f>
        <v>Não</v>
      </c>
      <c r="M118" s="21" t="str">
        <f>_xlfn.IFNA(_xlfn.XLOOKUP(D118,'Same Seller Hist'!E:E,'Same Seller Hist'!M:M),"Não Match")</f>
        <v>Não Match</v>
      </c>
    </row>
    <row r="119" spans="3:13" x14ac:dyDescent="0.35">
      <c r="C119" s="18">
        <v>45992</v>
      </c>
      <c r="D119" s="5">
        <v>594157579</v>
      </c>
      <c r="E119" s="5" t="s">
        <v>646</v>
      </c>
      <c r="F119" s="5" t="s">
        <v>905</v>
      </c>
      <c r="G119" s="5">
        <v>0</v>
      </c>
      <c r="H119" s="5">
        <v>1</v>
      </c>
      <c r="I119" s="19">
        <v>1773.1290322580646</v>
      </c>
      <c r="J119" s="19">
        <v>15343.421754635614</v>
      </c>
      <c r="K119" s="5">
        <v>112</v>
      </c>
      <c r="L119" s="21" t="str">
        <f>IF(ISNA(_xlfn.XLOOKUP(D119,'Same Seller Hist'!E:E,'Same Seller Hist'!E:E)),"Não","Sim")</f>
        <v>Sim</v>
      </c>
      <c r="M119" s="21" t="str">
        <f>_xlfn.IFNA(_xlfn.XLOOKUP(D119,'Same Seller Hist'!E:E,'Same Seller Hist'!M:M),"Não Match")</f>
        <v>Ativo</v>
      </c>
    </row>
    <row r="120" spans="3:13" x14ac:dyDescent="0.35">
      <c r="C120" s="18">
        <v>45992</v>
      </c>
      <c r="D120" s="5">
        <v>728534865</v>
      </c>
      <c r="E120" s="5" t="s">
        <v>1376</v>
      </c>
      <c r="F120" s="5" t="s">
        <v>1734</v>
      </c>
      <c r="G120" s="5">
        <v>1</v>
      </c>
      <c r="H120" s="5">
        <v>1</v>
      </c>
      <c r="I120" s="19">
        <v>1769.7419354838678</v>
      </c>
      <c r="J120" s="19">
        <v>8488.8464320345483</v>
      </c>
      <c r="K120" s="5">
        <v>113</v>
      </c>
      <c r="L120" s="21" t="str">
        <f>IF(ISNA(_xlfn.XLOOKUP(D120,'Same Seller Hist'!E:E,'Same Seller Hist'!E:E)),"Não","Sim")</f>
        <v>Sim</v>
      </c>
      <c r="M120" s="21" t="str">
        <f>_xlfn.IFNA(_xlfn.XLOOKUP(D120,'Same Seller Hist'!E:E,'Same Seller Hist'!M:M),"Não Match")</f>
        <v>Ativo</v>
      </c>
    </row>
    <row r="121" spans="3:13" x14ac:dyDescent="0.35">
      <c r="C121" s="18">
        <v>45992</v>
      </c>
      <c r="D121" s="5">
        <v>346235717</v>
      </c>
      <c r="E121" s="5" t="s">
        <v>1377</v>
      </c>
      <c r="F121" s="5" t="s">
        <v>905</v>
      </c>
      <c r="G121" s="5">
        <v>0</v>
      </c>
      <c r="H121" s="5">
        <v>1</v>
      </c>
      <c r="I121" s="19">
        <v>1755.2580645161258</v>
      </c>
      <c r="J121" s="19">
        <v>16349.483724564225</v>
      </c>
      <c r="K121" s="5">
        <v>114</v>
      </c>
      <c r="L121" s="21" t="str">
        <f>IF(ISNA(_xlfn.XLOOKUP(D121,'Same Seller Hist'!E:E,'Same Seller Hist'!E:E)),"Não","Sim")</f>
        <v>Sim</v>
      </c>
      <c r="M121" s="21" t="str">
        <f>_xlfn.IFNA(_xlfn.XLOOKUP(D121,'Same Seller Hist'!E:E,'Same Seller Hist'!M:M),"Não Match")</f>
        <v>Ativo</v>
      </c>
    </row>
    <row r="122" spans="3:13" hidden="1" x14ac:dyDescent="0.35">
      <c r="C122" s="18">
        <v>45992</v>
      </c>
      <c r="D122" s="5">
        <v>1459307687</v>
      </c>
      <c r="E122" s="5" t="s">
        <v>1378</v>
      </c>
      <c r="F122" s="5" t="s">
        <v>1734</v>
      </c>
      <c r="G122" s="5">
        <v>1</v>
      </c>
      <c r="H122" s="5">
        <v>0</v>
      </c>
      <c r="I122" s="19">
        <v>1744.6129032258063</v>
      </c>
      <c r="J122" s="19">
        <v>12398.639412743711</v>
      </c>
      <c r="K122" s="5">
        <v>115</v>
      </c>
      <c r="L122" s="21" t="str">
        <f>IF(ISNA(_xlfn.XLOOKUP(D122,'Same Seller Hist'!E:E,'Same Seller Hist'!E:E)),"Não","Sim")</f>
        <v>Não</v>
      </c>
      <c r="M122" s="21" t="str">
        <f>_xlfn.IFNA(_xlfn.XLOOKUP(D122,'Same Seller Hist'!E:E,'Same Seller Hist'!M:M),"Não Match")</f>
        <v>Não Match</v>
      </c>
    </row>
    <row r="123" spans="3:13" x14ac:dyDescent="0.35">
      <c r="C123" s="18">
        <v>45992</v>
      </c>
      <c r="D123" s="5">
        <v>717396632</v>
      </c>
      <c r="E123" s="5" t="s">
        <v>1379</v>
      </c>
      <c r="F123" s="5" t="s">
        <v>1734</v>
      </c>
      <c r="G123" s="5">
        <v>1</v>
      </c>
      <c r="H123" s="5">
        <v>1</v>
      </c>
      <c r="I123" s="19">
        <v>1742.4193548387098</v>
      </c>
      <c r="J123" s="19">
        <v>17676.971268432353</v>
      </c>
      <c r="K123" s="5">
        <v>116</v>
      </c>
      <c r="L123" s="21" t="str">
        <f>IF(ISNA(_xlfn.XLOOKUP(D123,'Same Seller Hist'!E:E,'Same Seller Hist'!E:E)),"Não","Sim")</f>
        <v>Sim</v>
      </c>
      <c r="M123" s="21" t="str">
        <f>_xlfn.IFNA(_xlfn.XLOOKUP(D123,'Same Seller Hist'!E:E,'Same Seller Hist'!M:M),"Não Match")</f>
        <v>Ativo</v>
      </c>
    </row>
    <row r="124" spans="3:13" hidden="1" x14ac:dyDescent="0.35">
      <c r="C124" s="18">
        <v>45992</v>
      </c>
      <c r="D124" s="5">
        <v>1027415014</v>
      </c>
      <c r="E124" s="5" t="s">
        <v>1380</v>
      </c>
      <c r="F124" s="5" t="s">
        <v>1734</v>
      </c>
      <c r="G124" s="5">
        <v>1</v>
      </c>
      <c r="H124" s="5">
        <v>1</v>
      </c>
      <c r="I124" s="19">
        <v>1731.1935483870934</v>
      </c>
      <c r="J124" s="19">
        <v>10904.747444524935</v>
      </c>
      <c r="K124" s="5">
        <v>117</v>
      </c>
      <c r="L124" s="21" t="str">
        <f>IF(ISNA(_xlfn.XLOOKUP(D124,'Same Seller Hist'!E:E,'Same Seller Hist'!E:E)),"Não","Sim")</f>
        <v>Não</v>
      </c>
      <c r="M124" s="21" t="str">
        <f>_xlfn.IFNA(_xlfn.XLOOKUP(D124,'Same Seller Hist'!E:E,'Same Seller Hist'!M:M),"Não Match")</f>
        <v>Não Match</v>
      </c>
    </row>
    <row r="125" spans="3:13" hidden="1" x14ac:dyDescent="0.35">
      <c r="C125" s="18">
        <v>45992</v>
      </c>
      <c r="D125" s="5">
        <v>530370669</v>
      </c>
      <c r="E125" s="5" t="s">
        <v>1381</v>
      </c>
      <c r="F125" s="5" t="s">
        <v>1734</v>
      </c>
      <c r="G125" s="5">
        <v>1</v>
      </c>
      <c r="H125" s="5">
        <v>1</v>
      </c>
      <c r="I125" s="19">
        <v>1723</v>
      </c>
      <c r="J125" s="19">
        <v>8519.7449938177742</v>
      </c>
      <c r="K125" s="5">
        <v>118</v>
      </c>
      <c r="L125" s="21" t="str">
        <f>IF(ISNA(_xlfn.XLOOKUP(D125,'Same Seller Hist'!E:E,'Same Seller Hist'!E:E)),"Não","Sim")</f>
        <v>Não</v>
      </c>
      <c r="M125" s="21" t="str">
        <f>_xlfn.IFNA(_xlfn.XLOOKUP(D125,'Same Seller Hist'!E:E,'Same Seller Hist'!M:M),"Não Match")</f>
        <v>Não Match</v>
      </c>
    </row>
    <row r="126" spans="3:13" hidden="1" x14ac:dyDescent="0.35">
      <c r="C126" s="18">
        <v>45992</v>
      </c>
      <c r="D126" s="5">
        <v>436104412</v>
      </c>
      <c r="E126" s="5" t="s">
        <v>1382</v>
      </c>
      <c r="F126" s="5" t="s">
        <v>906</v>
      </c>
      <c r="G126" s="5">
        <v>0</v>
      </c>
      <c r="H126" s="5">
        <v>1</v>
      </c>
      <c r="I126" s="19">
        <v>1721.4838709677385</v>
      </c>
      <c r="J126" s="19">
        <v>6187.7119365310327</v>
      </c>
      <c r="K126" s="5">
        <v>119</v>
      </c>
      <c r="L126" s="21" t="str">
        <f>IF(ISNA(_xlfn.XLOOKUP(D126,'Same Seller Hist'!E:E,'Same Seller Hist'!E:E)),"Não","Sim")</f>
        <v>Não</v>
      </c>
      <c r="M126" s="21" t="str">
        <f>_xlfn.IFNA(_xlfn.XLOOKUP(D126,'Same Seller Hist'!E:E,'Same Seller Hist'!M:M),"Não Match")</f>
        <v>Não Match</v>
      </c>
    </row>
    <row r="127" spans="3:13" hidden="1" x14ac:dyDescent="0.35">
      <c r="C127" s="18">
        <v>45992</v>
      </c>
      <c r="D127" s="5">
        <v>479115181</v>
      </c>
      <c r="E127" s="5" t="s">
        <v>1383</v>
      </c>
      <c r="F127" s="5" t="s">
        <v>1734</v>
      </c>
      <c r="G127" s="5">
        <v>1</v>
      </c>
      <c r="H127" s="5">
        <v>1</v>
      </c>
      <c r="I127" s="19">
        <v>1701.9032258064517</v>
      </c>
      <c r="J127" s="19">
        <v>4967.5582905493866</v>
      </c>
      <c r="K127" s="5">
        <v>120</v>
      </c>
      <c r="L127" s="21" t="str">
        <f>IF(ISNA(_xlfn.XLOOKUP(D127,'Same Seller Hist'!E:E,'Same Seller Hist'!E:E)),"Não","Sim")</f>
        <v>Não</v>
      </c>
      <c r="M127" s="21" t="str">
        <f>_xlfn.IFNA(_xlfn.XLOOKUP(D127,'Same Seller Hist'!E:E,'Same Seller Hist'!M:M),"Não Match")</f>
        <v>Não Match</v>
      </c>
    </row>
    <row r="128" spans="3:13" hidden="1" x14ac:dyDescent="0.35">
      <c r="C128" s="18">
        <v>45992</v>
      </c>
      <c r="D128" s="5">
        <v>446413605</v>
      </c>
      <c r="E128" s="5" t="s">
        <v>1384</v>
      </c>
      <c r="F128" s="5" t="s">
        <v>905</v>
      </c>
      <c r="G128" s="5">
        <v>0</v>
      </c>
      <c r="H128" s="5">
        <v>1</v>
      </c>
      <c r="I128" s="19">
        <v>1694.8709677419322</v>
      </c>
      <c r="J128" s="19">
        <v>20775.002417568288</v>
      </c>
      <c r="K128" s="5">
        <v>121</v>
      </c>
      <c r="L128" s="21" t="str">
        <f>IF(ISNA(_xlfn.XLOOKUP(D128,'Same Seller Hist'!E:E,'Same Seller Hist'!E:E)),"Não","Sim")</f>
        <v>Não</v>
      </c>
      <c r="M128" s="21" t="str">
        <f>_xlfn.IFNA(_xlfn.XLOOKUP(D128,'Same Seller Hist'!E:E,'Same Seller Hist'!M:M),"Não Match")</f>
        <v>Não Match</v>
      </c>
    </row>
    <row r="129" spans="3:13" x14ac:dyDescent="0.35">
      <c r="C129" s="18">
        <v>45992</v>
      </c>
      <c r="D129" s="5">
        <v>225117529</v>
      </c>
      <c r="E129" s="5" t="s">
        <v>354</v>
      </c>
      <c r="F129" s="5" t="s">
        <v>906</v>
      </c>
      <c r="G129" s="5">
        <v>0</v>
      </c>
      <c r="H129" s="5">
        <v>0</v>
      </c>
      <c r="I129" s="19">
        <v>1688.0645161290322</v>
      </c>
      <c r="J129" s="19">
        <v>4998.4763133892902</v>
      </c>
      <c r="K129" s="5">
        <v>122</v>
      </c>
      <c r="L129" s="21" t="str">
        <f>IF(ISNA(_xlfn.XLOOKUP(D129,'Same Seller Hist'!E:E,'Same Seller Hist'!E:E)),"Não","Sim")</f>
        <v>Sim</v>
      </c>
      <c r="M129" s="21" t="str">
        <f>_xlfn.IFNA(_xlfn.XLOOKUP(D129,'Same Seller Hist'!E:E,'Same Seller Hist'!M:M),"Não Match")</f>
        <v>Ativo</v>
      </c>
    </row>
    <row r="130" spans="3:13" hidden="1" x14ac:dyDescent="0.35">
      <c r="C130" s="18">
        <v>45992</v>
      </c>
      <c r="D130" s="5">
        <v>1171546418</v>
      </c>
      <c r="E130" s="5" t="s">
        <v>1385</v>
      </c>
      <c r="F130" s="5" t="s">
        <v>905</v>
      </c>
      <c r="G130" s="5">
        <v>0</v>
      </c>
      <c r="H130" s="5">
        <v>0</v>
      </c>
      <c r="I130" s="19">
        <v>1687.8709677419354</v>
      </c>
      <c r="J130" s="19">
        <v>5052.1820338188381</v>
      </c>
      <c r="K130" s="5">
        <v>123</v>
      </c>
      <c r="L130" s="21" t="str">
        <f>IF(ISNA(_xlfn.XLOOKUP(D130,'Same Seller Hist'!E:E,'Same Seller Hist'!E:E)),"Não","Sim")</f>
        <v>Não</v>
      </c>
      <c r="M130" s="21" t="str">
        <f>_xlfn.IFNA(_xlfn.XLOOKUP(D130,'Same Seller Hist'!E:E,'Same Seller Hist'!M:M),"Não Match")</f>
        <v>Não Match</v>
      </c>
    </row>
    <row r="131" spans="3:13" x14ac:dyDescent="0.35">
      <c r="C131" s="18">
        <v>45992</v>
      </c>
      <c r="D131" s="5">
        <v>816161995</v>
      </c>
      <c r="E131" s="5" t="s">
        <v>1386</v>
      </c>
      <c r="F131" s="5" t="s">
        <v>1734</v>
      </c>
      <c r="G131" s="5">
        <v>1</v>
      </c>
      <c r="H131" s="5">
        <v>0</v>
      </c>
      <c r="I131" s="19">
        <v>1684.8709677419322</v>
      </c>
      <c r="J131" s="19">
        <v>6098.1941280004512</v>
      </c>
      <c r="K131" s="5">
        <v>124</v>
      </c>
      <c r="L131" s="21" t="str">
        <f>IF(ISNA(_xlfn.XLOOKUP(D131,'Same Seller Hist'!E:E,'Same Seller Hist'!E:E)),"Não","Sim")</f>
        <v>Sim</v>
      </c>
      <c r="M131" s="21" t="str">
        <f>_xlfn.IFNA(_xlfn.XLOOKUP(D131,'Same Seller Hist'!E:E,'Same Seller Hist'!M:M),"Não Match")</f>
        <v>Ativo</v>
      </c>
    </row>
    <row r="132" spans="3:13" hidden="1" x14ac:dyDescent="0.35">
      <c r="C132" s="18">
        <v>45992</v>
      </c>
      <c r="D132" s="5">
        <v>1066052934</v>
      </c>
      <c r="E132" s="5" t="s">
        <v>1387</v>
      </c>
      <c r="F132" s="5" t="s">
        <v>1734</v>
      </c>
      <c r="G132" s="5">
        <v>1</v>
      </c>
      <c r="H132" s="5">
        <v>1</v>
      </c>
      <c r="I132" s="19">
        <v>1681.5806451612902</v>
      </c>
      <c r="J132" s="19">
        <v>14289.987705793581</v>
      </c>
      <c r="K132" s="5">
        <v>125</v>
      </c>
      <c r="L132" s="21" t="str">
        <f>IF(ISNA(_xlfn.XLOOKUP(D132,'Same Seller Hist'!E:E,'Same Seller Hist'!E:E)),"Não","Sim")</f>
        <v>Não</v>
      </c>
      <c r="M132" s="21" t="str">
        <f>_xlfn.IFNA(_xlfn.XLOOKUP(D132,'Same Seller Hist'!E:E,'Same Seller Hist'!M:M),"Não Match")</f>
        <v>Não Match</v>
      </c>
    </row>
    <row r="133" spans="3:13" hidden="1" x14ac:dyDescent="0.35">
      <c r="C133" s="18">
        <v>45992</v>
      </c>
      <c r="D133" s="5">
        <v>1096453915</v>
      </c>
      <c r="E133" s="5" t="s">
        <v>1388</v>
      </c>
      <c r="F133" s="5" t="s">
        <v>1734</v>
      </c>
      <c r="G133" s="5">
        <v>1</v>
      </c>
      <c r="H133" s="5">
        <v>0</v>
      </c>
      <c r="I133" s="19">
        <v>1674.9677419354839</v>
      </c>
      <c r="J133" s="19">
        <v>7270.557011118678</v>
      </c>
      <c r="K133" s="5">
        <v>126</v>
      </c>
      <c r="L133" s="21" t="str">
        <f>IF(ISNA(_xlfn.XLOOKUP(D133,'Same Seller Hist'!E:E,'Same Seller Hist'!E:E)),"Não","Sim")</f>
        <v>Não</v>
      </c>
      <c r="M133" s="21" t="str">
        <f>_xlfn.IFNA(_xlfn.XLOOKUP(D133,'Same Seller Hist'!E:E,'Same Seller Hist'!M:M),"Não Match")</f>
        <v>Não Match</v>
      </c>
    </row>
    <row r="134" spans="3:13" x14ac:dyDescent="0.35">
      <c r="C134" s="18">
        <v>45992</v>
      </c>
      <c r="D134" s="5">
        <v>1429781525</v>
      </c>
      <c r="E134" s="5" t="s">
        <v>1389</v>
      </c>
      <c r="F134" s="5" t="s">
        <v>1734</v>
      </c>
      <c r="G134" s="5">
        <v>1</v>
      </c>
      <c r="H134" s="5">
        <v>0</v>
      </c>
      <c r="I134" s="19">
        <v>1669.7741935483839</v>
      </c>
      <c r="J134" s="19">
        <v>7824.6759025339352</v>
      </c>
      <c r="K134" s="5">
        <v>127</v>
      </c>
      <c r="L134" s="21" t="str">
        <f>IF(ISNA(_xlfn.XLOOKUP(D134,'Same Seller Hist'!E:E,'Same Seller Hist'!E:E)),"Não","Sim")</f>
        <v>Sim</v>
      </c>
      <c r="M134" s="21" t="str">
        <f>_xlfn.IFNA(_xlfn.XLOOKUP(D134,'Same Seller Hist'!E:E,'Same Seller Hist'!M:M),"Não Match")</f>
        <v>Ativo</v>
      </c>
    </row>
    <row r="135" spans="3:13" hidden="1" x14ac:dyDescent="0.35">
      <c r="C135" s="18">
        <v>45992</v>
      </c>
      <c r="D135" s="5">
        <v>1257468988</v>
      </c>
      <c r="E135" s="5" t="s">
        <v>1390</v>
      </c>
      <c r="F135" s="5" t="s">
        <v>1734</v>
      </c>
      <c r="G135" s="5">
        <v>1</v>
      </c>
      <c r="H135" s="5">
        <v>0</v>
      </c>
      <c r="I135" s="19">
        <v>1666.5161290322549</v>
      </c>
      <c r="J135" s="19">
        <v>7631.8410073457735</v>
      </c>
      <c r="K135" s="5">
        <v>128</v>
      </c>
      <c r="L135" s="21" t="str">
        <f>IF(ISNA(_xlfn.XLOOKUP(D135,'Same Seller Hist'!E:E,'Same Seller Hist'!E:E)),"Não","Sim")</f>
        <v>Não</v>
      </c>
      <c r="M135" s="21" t="str">
        <f>_xlfn.IFNA(_xlfn.XLOOKUP(D135,'Same Seller Hist'!E:E,'Same Seller Hist'!M:M),"Não Match")</f>
        <v>Não Match</v>
      </c>
    </row>
    <row r="136" spans="3:13" hidden="1" x14ac:dyDescent="0.35">
      <c r="C136" s="18">
        <v>45992</v>
      </c>
      <c r="D136" s="5">
        <v>424235954</v>
      </c>
      <c r="E136" s="5" t="s">
        <v>1391</v>
      </c>
      <c r="F136" s="5" t="s">
        <v>1734</v>
      </c>
      <c r="G136" s="5">
        <v>1</v>
      </c>
      <c r="H136" s="5">
        <v>0</v>
      </c>
      <c r="I136" s="19">
        <v>1654.9032258064483</v>
      </c>
      <c r="J136" s="19">
        <v>4950.3635693731612</v>
      </c>
      <c r="K136" s="5">
        <v>129</v>
      </c>
      <c r="L136" s="21" t="str">
        <f>IF(ISNA(_xlfn.XLOOKUP(D136,'Same Seller Hist'!E:E,'Same Seller Hist'!E:E)),"Não","Sim")</f>
        <v>Não</v>
      </c>
      <c r="M136" s="21" t="str">
        <f>_xlfn.IFNA(_xlfn.XLOOKUP(D136,'Same Seller Hist'!E:E,'Same Seller Hist'!M:M),"Não Match")</f>
        <v>Não Match</v>
      </c>
    </row>
    <row r="137" spans="3:13" hidden="1" x14ac:dyDescent="0.35">
      <c r="C137" s="18">
        <v>45992</v>
      </c>
      <c r="D137" s="5">
        <v>394194180</v>
      </c>
      <c r="E137" s="5" t="s">
        <v>1392</v>
      </c>
      <c r="F137" s="5" t="s">
        <v>1734</v>
      </c>
      <c r="G137" s="5">
        <v>1</v>
      </c>
      <c r="H137" s="5">
        <v>1</v>
      </c>
      <c r="I137" s="19">
        <v>1649.6129032258032</v>
      </c>
      <c r="J137" s="19">
        <v>13846.567246552322</v>
      </c>
      <c r="K137" s="5">
        <v>130</v>
      </c>
      <c r="L137" s="21" t="str">
        <f>IF(ISNA(_xlfn.XLOOKUP(D137,'Same Seller Hist'!E:E,'Same Seller Hist'!E:E)),"Não","Sim")</f>
        <v>Não</v>
      </c>
      <c r="M137" s="21" t="str">
        <f>_xlfn.IFNA(_xlfn.XLOOKUP(D137,'Same Seller Hist'!E:E,'Same Seller Hist'!M:M),"Não Match")</f>
        <v>Não Match</v>
      </c>
    </row>
    <row r="138" spans="3:13" x14ac:dyDescent="0.35">
      <c r="C138" s="18">
        <v>45992</v>
      </c>
      <c r="D138" s="5">
        <v>1041517511</v>
      </c>
      <c r="E138" s="5" t="s">
        <v>1393</v>
      </c>
      <c r="F138" s="5" t="s">
        <v>1734</v>
      </c>
      <c r="G138" s="5">
        <v>1</v>
      </c>
      <c r="H138" s="5">
        <v>1</v>
      </c>
      <c r="I138" s="19">
        <v>1645.2903225806419</v>
      </c>
      <c r="J138" s="19">
        <v>14495.394868245807</v>
      </c>
      <c r="K138" s="5">
        <v>131</v>
      </c>
      <c r="L138" s="21" t="str">
        <f>IF(ISNA(_xlfn.XLOOKUP(D138,'Same Seller Hist'!E:E,'Same Seller Hist'!E:E)),"Não","Sim")</f>
        <v>Sim</v>
      </c>
      <c r="M138" s="21" t="str">
        <f>_xlfn.IFNA(_xlfn.XLOOKUP(D138,'Same Seller Hist'!E:E,'Same Seller Hist'!M:M),"Não Match")</f>
        <v>Ativo</v>
      </c>
    </row>
    <row r="139" spans="3:13" hidden="1" x14ac:dyDescent="0.35">
      <c r="C139" s="18">
        <v>45992</v>
      </c>
      <c r="D139" s="5">
        <v>1368787663</v>
      </c>
      <c r="E139" s="5" t="s">
        <v>1394</v>
      </c>
      <c r="F139" s="5" t="s">
        <v>1734</v>
      </c>
      <c r="G139" s="5">
        <v>1</v>
      </c>
      <c r="H139" s="5">
        <v>1</v>
      </c>
      <c r="I139" s="19">
        <v>1627.5483870967741</v>
      </c>
      <c r="J139" s="19">
        <v>17695.308106854838</v>
      </c>
      <c r="K139" s="5">
        <v>132</v>
      </c>
      <c r="L139" s="21" t="str">
        <f>IF(ISNA(_xlfn.XLOOKUP(D139,'Same Seller Hist'!E:E,'Same Seller Hist'!E:E)),"Não","Sim")</f>
        <v>Não</v>
      </c>
      <c r="M139" s="21" t="str">
        <f>_xlfn.IFNA(_xlfn.XLOOKUP(D139,'Same Seller Hist'!E:E,'Same Seller Hist'!M:M),"Não Match")</f>
        <v>Não Match</v>
      </c>
    </row>
    <row r="140" spans="3:13" x14ac:dyDescent="0.35">
      <c r="C140" s="18">
        <v>45992</v>
      </c>
      <c r="D140" s="5">
        <v>644980753</v>
      </c>
      <c r="E140" s="5" t="s">
        <v>1395</v>
      </c>
      <c r="F140" s="5" t="s">
        <v>906</v>
      </c>
      <c r="G140" s="5">
        <v>0</v>
      </c>
      <c r="H140" s="5">
        <v>1</v>
      </c>
      <c r="I140" s="19">
        <v>1623.7096774193549</v>
      </c>
      <c r="J140" s="19">
        <v>6583.0182057249676</v>
      </c>
      <c r="K140" s="5">
        <v>133</v>
      </c>
      <c r="L140" s="21" t="str">
        <f>IF(ISNA(_xlfn.XLOOKUP(D140,'Same Seller Hist'!E:E,'Same Seller Hist'!E:E)),"Não","Sim")</f>
        <v>Sim</v>
      </c>
      <c r="M140" s="21" t="str">
        <f>_xlfn.IFNA(_xlfn.XLOOKUP(D140,'Same Seller Hist'!E:E,'Same Seller Hist'!M:M),"Não Match")</f>
        <v>Ativo</v>
      </c>
    </row>
    <row r="141" spans="3:13" x14ac:dyDescent="0.35">
      <c r="C141" s="18">
        <v>45992</v>
      </c>
      <c r="D141" s="5">
        <v>291174073</v>
      </c>
      <c r="E141" s="5" t="s">
        <v>1396</v>
      </c>
      <c r="F141" s="5" t="s">
        <v>1734</v>
      </c>
      <c r="G141" s="5">
        <v>1</v>
      </c>
      <c r="H141" s="5">
        <v>1</v>
      </c>
      <c r="I141" s="19">
        <v>1621.9999999999968</v>
      </c>
      <c r="J141" s="19">
        <v>9436.9350455496788</v>
      </c>
      <c r="K141" s="5">
        <v>134</v>
      </c>
      <c r="L141" s="21" t="str">
        <f>IF(ISNA(_xlfn.XLOOKUP(D141,'Same Seller Hist'!E:E,'Same Seller Hist'!E:E)),"Não","Sim")</f>
        <v>Sim</v>
      </c>
      <c r="M141" s="21" t="str">
        <f>_xlfn.IFNA(_xlfn.XLOOKUP(D141,'Same Seller Hist'!E:E,'Same Seller Hist'!M:M),"Não Match")</f>
        <v>Ativo</v>
      </c>
    </row>
    <row r="142" spans="3:13" x14ac:dyDescent="0.35">
      <c r="C142" s="18">
        <v>45992</v>
      </c>
      <c r="D142" s="5">
        <v>1005980154</v>
      </c>
      <c r="E142" s="5" t="s">
        <v>1397</v>
      </c>
      <c r="F142" s="5" t="s">
        <v>1734</v>
      </c>
      <c r="G142" s="5">
        <v>1</v>
      </c>
      <c r="H142" s="5">
        <v>1</v>
      </c>
      <c r="I142" s="19">
        <v>1618.1612903225773</v>
      </c>
      <c r="J142" s="19">
        <v>10420.293006465386</v>
      </c>
      <c r="K142" s="5">
        <v>135</v>
      </c>
      <c r="L142" s="21" t="str">
        <f>IF(ISNA(_xlfn.XLOOKUP(D142,'Same Seller Hist'!E:E,'Same Seller Hist'!E:E)),"Não","Sim")</f>
        <v>Sim</v>
      </c>
      <c r="M142" s="21" t="str">
        <f>_xlfn.IFNA(_xlfn.XLOOKUP(D142,'Same Seller Hist'!E:E,'Same Seller Hist'!M:M),"Não Match")</f>
        <v>Ativo</v>
      </c>
    </row>
    <row r="143" spans="3:13" x14ac:dyDescent="0.35">
      <c r="C143" s="18">
        <v>45992</v>
      </c>
      <c r="D143" s="5">
        <v>659435897</v>
      </c>
      <c r="E143" s="5" t="s">
        <v>1398</v>
      </c>
      <c r="F143" s="5" t="s">
        <v>1734</v>
      </c>
      <c r="G143" s="5">
        <v>1</v>
      </c>
      <c r="H143" s="5">
        <v>1</v>
      </c>
      <c r="I143" s="19">
        <v>1613.8387096774193</v>
      </c>
      <c r="J143" s="19">
        <v>14152.908208558161</v>
      </c>
      <c r="K143" s="5">
        <v>136</v>
      </c>
      <c r="L143" s="21" t="str">
        <f>IF(ISNA(_xlfn.XLOOKUP(D143,'Same Seller Hist'!E:E,'Same Seller Hist'!E:E)),"Não","Sim")</f>
        <v>Sim</v>
      </c>
      <c r="M143" s="21" t="str">
        <f>_xlfn.IFNA(_xlfn.XLOOKUP(D143,'Same Seller Hist'!E:E,'Same Seller Hist'!M:M),"Não Match")</f>
        <v>Ativo</v>
      </c>
    </row>
    <row r="144" spans="3:13" hidden="1" x14ac:dyDescent="0.35">
      <c r="C144" s="18">
        <v>45992</v>
      </c>
      <c r="D144" s="5">
        <v>448670448</v>
      </c>
      <c r="E144" s="5" t="s">
        <v>1399</v>
      </c>
      <c r="F144" s="5" t="s">
        <v>1734</v>
      </c>
      <c r="G144" s="5">
        <v>1</v>
      </c>
      <c r="H144" s="5">
        <v>1</v>
      </c>
      <c r="I144" s="19">
        <v>1610.9354838709644</v>
      </c>
      <c r="J144" s="19">
        <v>10058.132238217839</v>
      </c>
      <c r="K144" s="5">
        <v>137</v>
      </c>
      <c r="L144" s="21" t="str">
        <f>IF(ISNA(_xlfn.XLOOKUP(D144,'Same Seller Hist'!E:E,'Same Seller Hist'!E:E)),"Não","Sim")</f>
        <v>Não</v>
      </c>
      <c r="M144" s="21" t="str">
        <f>_xlfn.IFNA(_xlfn.XLOOKUP(D144,'Same Seller Hist'!E:E,'Same Seller Hist'!M:M),"Não Match")</f>
        <v>Não Match</v>
      </c>
    </row>
    <row r="145" spans="3:13" hidden="1" x14ac:dyDescent="0.35">
      <c r="C145" s="18">
        <v>45992</v>
      </c>
      <c r="D145" s="5">
        <v>394192376</v>
      </c>
      <c r="E145" s="5" t="s">
        <v>1400</v>
      </c>
      <c r="F145" s="5" t="s">
        <v>906</v>
      </c>
      <c r="G145" s="5">
        <v>0</v>
      </c>
      <c r="H145" s="5">
        <v>1</v>
      </c>
      <c r="I145" s="19">
        <v>1607.0967741935483</v>
      </c>
      <c r="J145" s="19">
        <v>9544.7922832993863</v>
      </c>
      <c r="K145" s="5">
        <v>138</v>
      </c>
      <c r="L145" s="21" t="str">
        <f>IF(ISNA(_xlfn.XLOOKUP(D145,'Same Seller Hist'!E:E,'Same Seller Hist'!E:E)),"Não","Sim")</f>
        <v>Não</v>
      </c>
      <c r="M145" s="21" t="str">
        <f>_xlfn.IFNA(_xlfn.XLOOKUP(D145,'Same Seller Hist'!E:E,'Same Seller Hist'!M:M),"Não Match")</f>
        <v>Não Match</v>
      </c>
    </row>
    <row r="146" spans="3:13" hidden="1" x14ac:dyDescent="0.35">
      <c r="C146" s="18">
        <v>45992</v>
      </c>
      <c r="D146" s="5">
        <v>1391354759</v>
      </c>
      <c r="E146" s="5" t="s">
        <v>1401</v>
      </c>
      <c r="F146" s="5" t="s">
        <v>906</v>
      </c>
      <c r="G146" s="5">
        <v>0</v>
      </c>
      <c r="H146" s="5">
        <v>1</v>
      </c>
      <c r="I146" s="19">
        <v>1601.0967741935451</v>
      </c>
      <c r="J146" s="19">
        <v>8645.767354756581</v>
      </c>
      <c r="K146" s="5">
        <v>139</v>
      </c>
      <c r="L146" s="21" t="str">
        <f>IF(ISNA(_xlfn.XLOOKUP(D146,'Same Seller Hist'!E:E,'Same Seller Hist'!E:E)),"Não","Sim")</f>
        <v>Não</v>
      </c>
      <c r="M146" s="21" t="str">
        <f>_xlfn.IFNA(_xlfn.XLOOKUP(D146,'Same Seller Hist'!E:E,'Same Seller Hist'!M:M),"Não Match")</f>
        <v>Não Match</v>
      </c>
    </row>
    <row r="147" spans="3:13" x14ac:dyDescent="0.35">
      <c r="C147" s="18">
        <v>45992</v>
      </c>
      <c r="D147" s="5">
        <v>984950642</v>
      </c>
      <c r="E147" s="5" t="s">
        <v>768</v>
      </c>
      <c r="F147" s="5" t="s">
        <v>905</v>
      </c>
      <c r="G147" s="5">
        <v>0</v>
      </c>
      <c r="H147" s="5">
        <v>1</v>
      </c>
      <c r="I147" s="19">
        <v>1595.8387096774193</v>
      </c>
      <c r="J147" s="19">
        <v>16729.223012628838</v>
      </c>
      <c r="K147" s="5">
        <v>140</v>
      </c>
      <c r="L147" s="21" t="str">
        <f>IF(ISNA(_xlfn.XLOOKUP(D147,'Same Seller Hist'!E:E,'Same Seller Hist'!E:E)),"Não","Sim")</f>
        <v>Sim</v>
      </c>
      <c r="M147" s="21" t="str">
        <f>_xlfn.IFNA(_xlfn.XLOOKUP(D147,'Same Seller Hist'!E:E,'Same Seller Hist'!M:M),"Não Match")</f>
        <v>Ativo</v>
      </c>
    </row>
    <row r="148" spans="3:13" x14ac:dyDescent="0.35">
      <c r="C148" s="18">
        <v>45992</v>
      </c>
      <c r="D148" s="5">
        <v>371656735</v>
      </c>
      <c r="E148" s="5" t="s">
        <v>1402</v>
      </c>
      <c r="F148" s="5" t="s">
        <v>1734</v>
      </c>
      <c r="G148" s="5">
        <v>1</v>
      </c>
      <c r="H148" s="5">
        <v>1</v>
      </c>
      <c r="I148" s="19">
        <v>1588.1935483870968</v>
      </c>
      <c r="J148" s="19">
        <v>7553.4753508781941</v>
      </c>
      <c r="K148" s="5">
        <v>141</v>
      </c>
      <c r="L148" s="21" t="str">
        <f>IF(ISNA(_xlfn.XLOOKUP(D148,'Same Seller Hist'!E:E,'Same Seller Hist'!E:E)),"Não","Sim")</f>
        <v>Sim</v>
      </c>
      <c r="M148" s="21" t="str">
        <f>_xlfn.IFNA(_xlfn.XLOOKUP(D148,'Same Seller Hist'!E:E,'Same Seller Hist'!M:M),"Não Match")</f>
        <v>Ativo</v>
      </c>
    </row>
    <row r="149" spans="3:13" hidden="1" x14ac:dyDescent="0.35">
      <c r="C149" s="18">
        <v>45992</v>
      </c>
      <c r="D149" s="5">
        <v>716194498</v>
      </c>
      <c r="E149" s="5" t="s">
        <v>1403</v>
      </c>
      <c r="F149" s="5" t="s">
        <v>906</v>
      </c>
      <c r="G149" s="5">
        <v>0</v>
      </c>
      <c r="H149" s="5">
        <v>1</v>
      </c>
      <c r="I149" s="19">
        <v>1578.6129032258063</v>
      </c>
      <c r="J149" s="19">
        <v>5779.0542345952254</v>
      </c>
      <c r="K149" s="5">
        <v>142</v>
      </c>
      <c r="L149" s="21" t="str">
        <f>IF(ISNA(_xlfn.XLOOKUP(D149,'Same Seller Hist'!E:E,'Same Seller Hist'!E:E)),"Não","Sim")</f>
        <v>Não</v>
      </c>
      <c r="M149" s="21" t="str">
        <f>_xlfn.IFNA(_xlfn.XLOOKUP(D149,'Same Seller Hist'!E:E,'Same Seller Hist'!M:M),"Não Match")</f>
        <v>Não Match</v>
      </c>
    </row>
    <row r="150" spans="3:13" hidden="1" x14ac:dyDescent="0.35">
      <c r="C150" s="18">
        <v>45992</v>
      </c>
      <c r="D150" s="5">
        <v>771750144</v>
      </c>
      <c r="E150" s="5" t="s">
        <v>1404</v>
      </c>
      <c r="F150" s="5" t="s">
        <v>1734</v>
      </c>
      <c r="G150" s="5">
        <v>1</v>
      </c>
      <c r="H150" s="5">
        <v>1</v>
      </c>
      <c r="I150" s="19">
        <v>1567.9354838709644</v>
      </c>
      <c r="J150" s="19">
        <v>9671.4851169630329</v>
      </c>
      <c r="K150" s="5">
        <v>143</v>
      </c>
      <c r="L150" s="21" t="str">
        <f>IF(ISNA(_xlfn.XLOOKUP(D150,'Same Seller Hist'!E:E,'Same Seller Hist'!E:E)),"Não","Sim")</f>
        <v>Não</v>
      </c>
      <c r="M150" s="21" t="str">
        <f>_xlfn.IFNA(_xlfn.XLOOKUP(D150,'Same Seller Hist'!E:E,'Same Seller Hist'!M:M),"Não Match")</f>
        <v>Não Match</v>
      </c>
    </row>
    <row r="151" spans="3:13" hidden="1" x14ac:dyDescent="0.35">
      <c r="C151" s="18">
        <v>45992</v>
      </c>
      <c r="D151" s="5">
        <v>406067718</v>
      </c>
      <c r="E151" s="5" t="s">
        <v>1405</v>
      </c>
      <c r="F151" s="5" t="s">
        <v>1734</v>
      </c>
      <c r="G151" s="5">
        <v>1</v>
      </c>
      <c r="H151" s="5">
        <v>1</v>
      </c>
      <c r="I151" s="19">
        <v>1565.7419354838678</v>
      </c>
      <c r="J151" s="19">
        <v>5486.3780705829031</v>
      </c>
      <c r="K151" s="5">
        <v>144</v>
      </c>
      <c r="L151" s="21" t="str">
        <f>IF(ISNA(_xlfn.XLOOKUP(D151,'Same Seller Hist'!E:E,'Same Seller Hist'!E:E)),"Não","Sim")</f>
        <v>Não</v>
      </c>
      <c r="M151" s="21" t="str">
        <f>_xlfn.IFNA(_xlfn.XLOOKUP(D151,'Same Seller Hist'!E:E,'Same Seller Hist'!M:M),"Não Match")</f>
        <v>Não Match</v>
      </c>
    </row>
    <row r="152" spans="3:13" hidden="1" x14ac:dyDescent="0.35">
      <c r="C152" s="18">
        <v>45992</v>
      </c>
      <c r="D152" s="5">
        <v>363220493</v>
      </c>
      <c r="E152" s="5" t="s">
        <v>1406</v>
      </c>
      <c r="F152" s="5" t="s">
        <v>906</v>
      </c>
      <c r="G152" s="5">
        <v>0</v>
      </c>
      <c r="H152" s="5">
        <v>0</v>
      </c>
      <c r="I152" s="19">
        <v>1564.6129032258032</v>
      </c>
      <c r="J152" s="19">
        <v>12633.129052451743</v>
      </c>
      <c r="K152" s="5">
        <v>145</v>
      </c>
      <c r="L152" s="21" t="str">
        <f>IF(ISNA(_xlfn.XLOOKUP(D152,'Same Seller Hist'!E:E,'Same Seller Hist'!E:E)),"Não","Sim")</f>
        <v>Não</v>
      </c>
      <c r="M152" s="21" t="str">
        <f>_xlfn.IFNA(_xlfn.XLOOKUP(D152,'Same Seller Hist'!E:E,'Same Seller Hist'!M:M),"Não Match")</f>
        <v>Não Match</v>
      </c>
    </row>
    <row r="153" spans="3:13" hidden="1" x14ac:dyDescent="0.35">
      <c r="C153" s="18">
        <v>45992</v>
      </c>
      <c r="D153" s="5">
        <v>1173558001</v>
      </c>
      <c r="E153" s="5" t="s">
        <v>1407</v>
      </c>
      <c r="F153" s="5" t="s">
        <v>1734</v>
      </c>
      <c r="G153" s="5">
        <v>1</v>
      </c>
      <c r="H153" s="5">
        <v>1</v>
      </c>
      <c r="I153" s="19">
        <v>1559.064516129029</v>
      </c>
      <c r="J153" s="19">
        <v>8943.2285297941289</v>
      </c>
      <c r="K153" s="5">
        <v>146</v>
      </c>
      <c r="L153" s="21" t="str">
        <f>IF(ISNA(_xlfn.XLOOKUP(D153,'Same Seller Hist'!E:E,'Same Seller Hist'!E:E)),"Não","Sim")</f>
        <v>Não</v>
      </c>
      <c r="M153" s="21" t="str">
        <f>_xlfn.IFNA(_xlfn.XLOOKUP(D153,'Same Seller Hist'!E:E,'Same Seller Hist'!M:M),"Não Match")</f>
        <v>Não Match</v>
      </c>
    </row>
    <row r="154" spans="3:13" hidden="1" x14ac:dyDescent="0.35">
      <c r="C154" s="18">
        <v>45992</v>
      </c>
      <c r="D154" s="5">
        <v>1351844299</v>
      </c>
      <c r="E154" s="5" t="s">
        <v>1408</v>
      </c>
      <c r="F154" s="5" t="s">
        <v>903</v>
      </c>
      <c r="G154" s="5">
        <v>0</v>
      </c>
      <c r="H154" s="5">
        <v>1</v>
      </c>
      <c r="I154" s="19">
        <v>1555.9677419354839</v>
      </c>
      <c r="J154" s="19">
        <v>7081.5093709941293</v>
      </c>
      <c r="K154" s="5">
        <v>147</v>
      </c>
      <c r="L154" s="21" t="str">
        <f>IF(ISNA(_xlfn.XLOOKUP(D154,'Same Seller Hist'!E:E,'Same Seller Hist'!E:E)),"Não","Sim")</f>
        <v>Não</v>
      </c>
      <c r="M154" s="21" t="str">
        <f>_xlfn.IFNA(_xlfn.XLOOKUP(D154,'Same Seller Hist'!E:E,'Same Seller Hist'!M:M),"Não Match")</f>
        <v>Não Match</v>
      </c>
    </row>
    <row r="155" spans="3:13" hidden="1" x14ac:dyDescent="0.35">
      <c r="C155" s="18">
        <v>45992</v>
      </c>
      <c r="D155" s="5">
        <v>378486098</v>
      </c>
      <c r="E155" s="5" t="s">
        <v>1409</v>
      </c>
      <c r="F155" s="5" t="s">
        <v>1734</v>
      </c>
      <c r="G155" s="5">
        <v>1</v>
      </c>
      <c r="H155" s="5">
        <v>1</v>
      </c>
      <c r="I155" s="19">
        <v>1554.9999999999968</v>
      </c>
      <c r="J155" s="19">
        <v>9796.7925399714186</v>
      </c>
      <c r="K155" s="5">
        <v>148</v>
      </c>
      <c r="L155" s="21" t="str">
        <f>IF(ISNA(_xlfn.XLOOKUP(D155,'Same Seller Hist'!E:E,'Same Seller Hist'!E:E)),"Não","Sim")</f>
        <v>Não</v>
      </c>
      <c r="M155" s="21" t="str">
        <f>_xlfn.IFNA(_xlfn.XLOOKUP(D155,'Same Seller Hist'!E:E,'Same Seller Hist'!M:M),"Não Match")</f>
        <v>Não Match</v>
      </c>
    </row>
    <row r="156" spans="3:13" x14ac:dyDescent="0.35">
      <c r="C156" s="18">
        <v>45992</v>
      </c>
      <c r="D156" s="5">
        <v>1224363395</v>
      </c>
      <c r="E156" s="5" t="s">
        <v>1410</v>
      </c>
      <c r="F156" s="5" t="s">
        <v>1734</v>
      </c>
      <c r="G156" s="5">
        <v>1</v>
      </c>
      <c r="H156" s="5">
        <v>1</v>
      </c>
      <c r="I156" s="19">
        <v>1553.8709677419322</v>
      </c>
      <c r="J156" s="19">
        <v>12363.34933900258</v>
      </c>
      <c r="K156" s="5">
        <v>149</v>
      </c>
      <c r="L156" s="21" t="str">
        <f>IF(ISNA(_xlfn.XLOOKUP(D156,'Same Seller Hist'!E:E,'Same Seller Hist'!E:E)),"Não","Sim")</f>
        <v>Sim</v>
      </c>
      <c r="M156" s="21" t="str">
        <f>_xlfn.IFNA(_xlfn.XLOOKUP(D156,'Same Seller Hist'!E:E,'Same Seller Hist'!M:M),"Não Match")</f>
        <v>Ativo</v>
      </c>
    </row>
    <row r="157" spans="3:13" hidden="1" x14ac:dyDescent="0.35">
      <c r="C157" s="18">
        <v>45992</v>
      </c>
      <c r="D157" s="5">
        <v>377194001</v>
      </c>
      <c r="E157" s="5" t="s">
        <v>1411</v>
      </c>
      <c r="F157" s="5" t="s">
        <v>906</v>
      </c>
      <c r="G157" s="5">
        <v>0</v>
      </c>
      <c r="H157" s="5">
        <v>1</v>
      </c>
      <c r="I157" s="19">
        <v>1547.0645161290322</v>
      </c>
      <c r="J157" s="19">
        <v>11726.641138330549</v>
      </c>
      <c r="K157" s="5">
        <v>150</v>
      </c>
      <c r="L157" s="21" t="str">
        <f>IF(ISNA(_xlfn.XLOOKUP(D157,'Same Seller Hist'!E:E,'Same Seller Hist'!E:E)),"Não","Sim")</f>
        <v>Não</v>
      </c>
      <c r="M157" s="21" t="str">
        <f>_xlfn.IFNA(_xlfn.XLOOKUP(D157,'Same Seller Hist'!E:E,'Same Seller Hist'!M:M),"Não Match")</f>
        <v>Não Match</v>
      </c>
    </row>
    <row r="158" spans="3:13" hidden="1" x14ac:dyDescent="0.35">
      <c r="C158" s="18">
        <v>45992</v>
      </c>
      <c r="D158" s="5">
        <v>1415064323</v>
      </c>
      <c r="E158" s="5" t="s">
        <v>1412</v>
      </c>
      <c r="F158" s="5" t="s">
        <v>1734</v>
      </c>
      <c r="G158" s="5">
        <v>1</v>
      </c>
      <c r="H158" s="5">
        <v>0</v>
      </c>
      <c r="I158" s="19">
        <v>1545.9999999999968</v>
      </c>
      <c r="J158" s="19">
        <v>5526.9264868973542</v>
      </c>
      <c r="K158" s="5">
        <v>151</v>
      </c>
      <c r="L158" s="21" t="str">
        <f>IF(ISNA(_xlfn.XLOOKUP(D158,'Same Seller Hist'!E:E,'Same Seller Hist'!E:E)),"Não","Sim")</f>
        <v>Não</v>
      </c>
      <c r="M158" s="21" t="str">
        <f>_xlfn.IFNA(_xlfn.XLOOKUP(D158,'Same Seller Hist'!E:E,'Same Seller Hist'!M:M),"Não Match")</f>
        <v>Não Match</v>
      </c>
    </row>
    <row r="159" spans="3:13" hidden="1" x14ac:dyDescent="0.35">
      <c r="C159" s="18">
        <v>45992</v>
      </c>
      <c r="D159" s="5">
        <v>1274089510</v>
      </c>
      <c r="E159" s="5" t="s">
        <v>1413</v>
      </c>
      <c r="F159" s="5" t="s">
        <v>1734</v>
      </c>
      <c r="G159" s="5">
        <v>1</v>
      </c>
      <c r="H159" s="5">
        <v>0</v>
      </c>
      <c r="I159" s="19">
        <v>1544.4516129032259</v>
      </c>
      <c r="J159" s="19">
        <v>4847.2888723391607</v>
      </c>
      <c r="K159" s="5">
        <v>152</v>
      </c>
      <c r="L159" s="21" t="str">
        <f>IF(ISNA(_xlfn.XLOOKUP(D159,'Same Seller Hist'!E:E,'Same Seller Hist'!E:E)),"Não","Sim")</f>
        <v>Não</v>
      </c>
      <c r="M159" s="21" t="str">
        <f>_xlfn.IFNA(_xlfn.XLOOKUP(D159,'Same Seller Hist'!E:E,'Same Seller Hist'!M:M),"Não Match")</f>
        <v>Não Match</v>
      </c>
    </row>
    <row r="160" spans="3:13" hidden="1" x14ac:dyDescent="0.35">
      <c r="C160" s="18">
        <v>45992</v>
      </c>
      <c r="D160" s="5">
        <v>1051950257</v>
      </c>
      <c r="E160" s="5" t="s">
        <v>1414</v>
      </c>
      <c r="F160" s="5" t="s">
        <v>1734</v>
      </c>
      <c r="G160" s="5">
        <v>1</v>
      </c>
      <c r="H160" s="5">
        <v>0</v>
      </c>
      <c r="I160" s="19">
        <v>1539.516129032258</v>
      </c>
      <c r="J160" s="19">
        <v>4061.6561965476772</v>
      </c>
      <c r="K160" s="5">
        <v>153</v>
      </c>
      <c r="L160" s="21" t="str">
        <f>IF(ISNA(_xlfn.XLOOKUP(D160,'Same Seller Hist'!E:E,'Same Seller Hist'!E:E)),"Não","Sim")</f>
        <v>Não</v>
      </c>
      <c r="M160" s="21" t="str">
        <f>_xlfn.IFNA(_xlfn.XLOOKUP(D160,'Same Seller Hist'!E:E,'Same Seller Hist'!M:M),"Não Match")</f>
        <v>Não Match</v>
      </c>
    </row>
    <row r="161" spans="3:13" hidden="1" x14ac:dyDescent="0.35">
      <c r="C161" s="18">
        <v>45992</v>
      </c>
      <c r="D161" s="5">
        <v>1239677646</v>
      </c>
      <c r="E161" s="5" t="s">
        <v>1415</v>
      </c>
      <c r="F161" s="5" t="s">
        <v>1734</v>
      </c>
      <c r="G161" s="5">
        <v>1</v>
      </c>
      <c r="H161" s="5">
        <v>1</v>
      </c>
      <c r="I161" s="19">
        <v>1526.9032258064483</v>
      </c>
      <c r="J161" s="19">
        <v>8583.1397921775479</v>
      </c>
      <c r="K161" s="5">
        <v>154</v>
      </c>
      <c r="L161" s="21" t="str">
        <f>IF(ISNA(_xlfn.XLOOKUP(D161,'Same Seller Hist'!E:E,'Same Seller Hist'!E:E)),"Não","Sim")</f>
        <v>Não</v>
      </c>
      <c r="M161" s="21" t="str">
        <f>_xlfn.IFNA(_xlfn.XLOOKUP(D161,'Same Seller Hist'!E:E,'Same Seller Hist'!M:M),"Não Match")</f>
        <v>Não Match</v>
      </c>
    </row>
    <row r="162" spans="3:13" x14ac:dyDescent="0.35">
      <c r="C162" s="18">
        <v>45992</v>
      </c>
      <c r="D162" s="5">
        <v>387348115</v>
      </c>
      <c r="E162" s="5" t="s">
        <v>1416</v>
      </c>
      <c r="F162" s="5" t="s">
        <v>903</v>
      </c>
      <c r="G162" s="5">
        <v>0</v>
      </c>
      <c r="H162" s="5">
        <v>1</v>
      </c>
      <c r="I162" s="19">
        <v>1522.5806451612902</v>
      </c>
      <c r="J162" s="19">
        <v>16855.793838075871</v>
      </c>
      <c r="K162" s="5">
        <v>155</v>
      </c>
      <c r="L162" s="21" t="str">
        <f>IF(ISNA(_xlfn.XLOOKUP(D162,'Same Seller Hist'!E:E,'Same Seller Hist'!E:E)),"Não","Sim")</f>
        <v>Sim</v>
      </c>
      <c r="M162" s="21" t="str">
        <f>_xlfn.IFNA(_xlfn.XLOOKUP(D162,'Same Seller Hist'!E:E,'Same Seller Hist'!M:M),"Não Match")</f>
        <v>Ativo</v>
      </c>
    </row>
    <row r="163" spans="3:13" hidden="1" x14ac:dyDescent="0.35">
      <c r="C163" s="18">
        <v>45992</v>
      </c>
      <c r="D163" s="5">
        <v>386229377</v>
      </c>
      <c r="E163" s="5" t="s">
        <v>1417</v>
      </c>
      <c r="F163" s="5" t="s">
        <v>906</v>
      </c>
      <c r="G163" s="5">
        <v>0</v>
      </c>
      <c r="H163" s="5">
        <v>1</v>
      </c>
      <c r="I163" s="19">
        <v>1516.2580645161258</v>
      </c>
      <c r="J163" s="19">
        <v>9720.8601789071927</v>
      </c>
      <c r="K163" s="5">
        <v>156</v>
      </c>
      <c r="L163" s="21" t="str">
        <f>IF(ISNA(_xlfn.XLOOKUP(D163,'Same Seller Hist'!E:E,'Same Seller Hist'!E:E)),"Não","Sim")</f>
        <v>Não</v>
      </c>
      <c r="M163" s="21" t="str">
        <f>_xlfn.IFNA(_xlfn.XLOOKUP(D163,'Same Seller Hist'!E:E,'Same Seller Hist'!M:M),"Não Match")</f>
        <v>Não Match</v>
      </c>
    </row>
    <row r="164" spans="3:13" x14ac:dyDescent="0.35">
      <c r="C164" s="18">
        <v>45992</v>
      </c>
      <c r="D164" s="5">
        <v>359168917</v>
      </c>
      <c r="E164" s="5" t="s">
        <v>1418</v>
      </c>
      <c r="F164" s="5" t="s">
        <v>904</v>
      </c>
      <c r="G164" s="5">
        <v>0</v>
      </c>
      <c r="H164" s="5">
        <v>1</v>
      </c>
      <c r="I164" s="19">
        <v>1513.9354838709678</v>
      </c>
      <c r="J164" s="19">
        <v>44619.584696137099</v>
      </c>
      <c r="K164" s="5">
        <v>157</v>
      </c>
      <c r="L164" s="21" t="str">
        <f>IF(ISNA(_xlfn.XLOOKUP(D164,'Same Seller Hist'!E:E,'Same Seller Hist'!E:E)),"Não","Sim")</f>
        <v>Sim</v>
      </c>
      <c r="M164" s="21" t="str">
        <f>_xlfn.IFNA(_xlfn.XLOOKUP(D164,'Same Seller Hist'!E:E,'Same Seller Hist'!M:M),"Não Match")</f>
        <v>Ativo</v>
      </c>
    </row>
    <row r="165" spans="3:13" hidden="1" x14ac:dyDescent="0.35">
      <c r="C165" s="18">
        <v>45992</v>
      </c>
      <c r="D165" s="5">
        <v>450664666</v>
      </c>
      <c r="E165" s="5" t="s">
        <v>1419</v>
      </c>
      <c r="F165" s="5" t="s">
        <v>906</v>
      </c>
      <c r="G165" s="5">
        <v>0</v>
      </c>
      <c r="H165" s="5">
        <v>1</v>
      </c>
      <c r="I165" s="19">
        <v>1512.8064516129</v>
      </c>
      <c r="J165" s="19">
        <v>14337.008401094065</v>
      </c>
      <c r="K165" s="5">
        <v>158</v>
      </c>
      <c r="L165" s="21" t="str">
        <f>IF(ISNA(_xlfn.XLOOKUP(D165,'Same Seller Hist'!E:E,'Same Seller Hist'!E:E)),"Não","Sim")</f>
        <v>Não</v>
      </c>
      <c r="M165" s="21" t="str">
        <f>_xlfn.IFNA(_xlfn.XLOOKUP(D165,'Same Seller Hist'!E:E,'Same Seller Hist'!M:M),"Não Match")</f>
        <v>Não Match</v>
      </c>
    </row>
    <row r="166" spans="3:13" hidden="1" x14ac:dyDescent="0.35">
      <c r="C166" s="18">
        <v>45992</v>
      </c>
      <c r="D166" s="5">
        <v>800864347</v>
      </c>
      <c r="E166" s="5" t="s">
        <v>1420</v>
      </c>
      <c r="F166" s="5" t="s">
        <v>903</v>
      </c>
      <c r="G166" s="5">
        <v>0</v>
      </c>
      <c r="H166" s="5">
        <v>1</v>
      </c>
      <c r="I166" s="19">
        <v>1507.6129032258032</v>
      </c>
      <c r="J166" s="19">
        <v>20882.725175172935</v>
      </c>
      <c r="K166" s="5">
        <v>159</v>
      </c>
      <c r="L166" s="21" t="str">
        <f>IF(ISNA(_xlfn.XLOOKUP(D166,'Same Seller Hist'!E:E,'Same Seller Hist'!E:E)),"Não","Sim")</f>
        <v>Não</v>
      </c>
      <c r="M166" s="21" t="str">
        <f>_xlfn.IFNA(_xlfn.XLOOKUP(D166,'Same Seller Hist'!E:E,'Same Seller Hist'!M:M),"Não Match")</f>
        <v>Não Match</v>
      </c>
    </row>
    <row r="167" spans="3:13" x14ac:dyDescent="0.35">
      <c r="C167" s="18">
        <v>45992</v>
      </c>
      <c r="D167" s="5">
        <v>400905650</v>
      </c>
      <c r="E167" s="5" t="s">
        <v>531</v>
      </c>
      <c r="F167" s="5" t="s">
        <v>906</v>
      </c>
      <c r="G167" s="5">
        <v>0</v>
      </c>
      <c r="H167" s="5">
        <v>1</v>
      </c>
      <c r="I167" s="19">
        <v>1494.1612903225807</v>
      </c>
      <c r="J167" s="19">
        <v>11406.269956249904</v>
      </c>
      <c r="K167" s="5">
        <v>160</v>
      </c>
      <c r="L167" s="21" t="str">
        <f>IF(ISNA(_xlfn.XLOOKUP(D167,'Same Seller Hist'!E:E,'Same Seller Hist'!E:E)),"Não","Sim")</f>
        <v>Sim</v>
      </c>
      <c r="M167" s="21" t="str">
        <f>_xlfn.IFNA(_xlfn.XLOOKUP(D167,'Same Seller Hist'!E:E,'Same Seller Hist'!M:M),"Não Match")</f>
        <v>Ativo</v>
      </c>
    </row>
    <row r="168" spans="3:13" hidden="1" x14ac:dyDescent="0.35">
      <c r="C168" s="18">
        <v>45992</v>
      </c>
      <c r="D168" s="5">
        <v>386620566</v>
      </c>
      <c r="E168" s="5" t="s">
        <v>1421</v>
      </c>
      <c r="F168" s="5" t="s">
        <v>906</v>
      </c>
      <c r="G168" s="5">
        <v>0</v>
      </c>
      <c r="H168" s="5">
        <v>1</v>
      </c>
      <c r="I168" s="19">
        <v>1487.2903225806451</v>
      </c>
      <c r="J168" s="19">
        <v>7170.5496303738064</v>
      </c>
      <c r="K168" s="5">
        <v>161</v>
      </c>
      <c r="L168" s="21" t="str">
        <f>IF(ISNA(_xlfn.XLOOKUP(D168,'Same Seller Hist'!E:E,'Same Seller Hist'!E:E)),"Não","Sim")</f>
        <v>Não</v>
      </c>
      <c r="M168" s="21" t="str">
        <f>_xlfn.IFNA(_xlfn.XLOOKUP(D168,'Same Seller Hist'!E:E,'Same Seller Hist'!M:M),"Não Match")</f>
        <v>Não Match</v>
      </c>
    </row>
    <row r="169" spans="3:13" x14ac:dyDescent="0.35">
      <c r="C169" s="18">
        <v>45992</v>
      </c>
      <c r="D169" s="5">
        <v>371728614</v>
      </c>
      <c r="E169" s="5" t="s">
        <v>1422</v>
      </c>
      <c r="F169" s="5" t="s">
        <v>1734</v>
      </c>
      <c r="G169" s="5">
        <v>1</v>
      </c>
      <c r="H169" s="5">
        <v>1</v>
      </c>
      <c r="I169" s="19">
        <v>1486.6774193548354</v>
      </c>
      <c r="J169" s="19">
        <v>21942.516724913807</v>
      </c>
      <c r="K169" s="5">
        <v>162</v>
      </c>
      <c r="L169" s="21" t="str">
        <f>IF(ISNA(_xlfn.XLOOKUP(D169,'Same Seller Hist'!E:E,'Same Seller Hist'!E:E)),"Não","Sim")</f>
        <v>Sim</v>
      </c>
      <c r="M169" s="21" t="str">
        <f>_xlfn.IFNA(_xlfn.XLOOKUP(D169,'Same Seller Hist'!E:E,'Same Seller Hist'!M:M),"Não Match")</f>
        <v>Ativo</v>
      </c>
    </row>
    <row r="170" spans="3:13" x14ac:dyDescent="0.35">
      <c r="C170" s="18">
        <v>45992</v>
      </c>
      <c r="D170" s="5">
        <v>305201598</v>
      </c>
      <c r="E170" s="5" t="s">
        <v>1423</v>
      </c>
      <c r="F170" s="5" t="s">
        <v>1734</v>
      </c>
      <c r="G170" s="5">
        <v>1</v>
      </c>
      <c r="H170" s="5">
        <v>0</v>
      </c>
      <c r="I170" s="19">
        <v>1486.483870967742</v>
      </c>
      <c r="J170" s="19">
        <v>8039.4133484203221</v>
      </c>
      <c r="K170" s="5">
        <v>163</v>
      </c>
      <c r="L170" s="21" t="str">
        <f>IF(ISNA(_xlfn.XLOOKUP(D170,'Same Seller Hist'!E:E,'Same Seller Hist'!E:E)),"Não","Sim")</f>
        <v>Sim</v>
      </c>
      <c r="M170" s="21" t="str">
        <f>_xlfn.IFNA(_xlfn.XLOOKUP(D170,'Same Seller Hist'!E:E,'Same Seller Hist'!M:M),"Não Match")</f>
        <v>Ativo</v>
      </c>
    </row>
    <row r="171" spans="3:13" hidden="1" x14ac:dyDescent="0.35">
      <c r="C171" s="18">
        <v>45992</v>
      </c>
      <c r="D171" s="5">
        <v>386512962</v>
      </c>
      <c r="E171" s="5" t="s">
        <v>1424</v>
      </c>
      <c r="F171" s="5" t="s">
        <v>1734</v>
      </c>
      <c r="G171" s="5">
        <v>1</v>
      </c>
      <c r="H171" s="5">
        <v>1</v>
      </c>
      <c r="I171" s="19">
        <v>1485.3225806451612</v>
      </c>
      <c r="J171" s="19">
        <v>7605.4483138580645</v>
      </c>
      <c r="K171" s="5">
        <v>164</v>
      </c>
      <c r="L171" s="21" t="str">
        <f>IF(ISNA(_xlfn.XLOOKUP(D171,'Same Seller Hist'!E:E,'Same Seller Hist'!E:E)),"Não","Sim")</f>
        <v>Não</v>
      </c>
      <c r="M171" s="21" t="str">
        <f>_xlfn.IFNA(_xlfn.XLOOKUP(D171,'Same Seller Hist'!E:E,'Same Seller Hist'!M:M),"Não Match")</f>
        <v>Não Match</v>
      </c>
    </row>
    <row r="172" spans="3:13" hidden="1" x14ac:dyDescent="0.35">
      <c r="C172" s="18">
        <v>45992</v>
      </c>
      <c r="D172" s="5">
        <v>1413464353</v>
      </c>
      <c r="E172" s="5" t="s">
        <v>1425</v>
      </c>
      <c r="F172" s="5" t="s">
        <v>1734</v>
      </c>
      <c r="G172" s="5">
        <v>1</v>
      </c>
      <c r="H172" s="5">
        <v>0</v>
      </c>
      <c r="I172" s="19">
        <v>1464.0645161290322</v>
      </c>
      <c r="J172" s="19">
        <v>5317.1565521937746</v>
      </c>
      <c r="K172" s="5">
        <v>165</v>
      </c>
      <c r="L172" s="21" t="str">
        <f>IF(ISNA(_xlfn.XLOOKUP(D172,'Same Seller Hist'!E:E,'Same Seller Hist'!E:E)),"Não","Sim")</f>
        <v>Não</v>
      </c>
      <c r="M172" s="21" t="str">
        <f>_xlfn.IFNA(_xlfn.XLOOKUP(D172,'Same Seller Hist'!E:E,'Same Seller Hist'!M:M),"Não Match")</f>
        <v>Não Match</v>
      </c>
    </row>
    <row r="173" spans="3:13" hidden="1" x14ac:dyDescent="0.35">
      <c r="C173" s="18">
        <v>45992</v>
      </c>
      <c r="D173" s="5">
        <v>575218903</v>
      </c>
      <c r="E173" s="5" t="s">
        <v>1426</v>
      </c>
      <c r="F173" s="5" t="s">
        <v>1734</v>
      </c>
      <c r="G173" s="5">
        <v>1</v>
      </c>
      <c r="H173" s="5">
        <v>0</v>
      </c>
      <c r="I173" s="19">
        <v>1460.7741935483871</v>
      </c>
      <c r="J173" s="19">
        <v>6908.2421811512259</v>
      </c>
      <c r="K173" s="5">
        <v>166</v>
      </c>
      <c r="L173" s="21" t="str">
        <f>IF(ISNA(_xlfn.XLOOKUP(D173,'Same Seller Hist'!E:E,'Same Seller Hist'!E:E)),"Não","Sim")</f>
        <v>Não</v>
      </c>
      <c r="M173" s="21" t="str">
        <f>_xlfn.IFNA(_xlfn.XLOOKUP(D173,'Same Seller Hist'!E:E,'Same Seller Hist'!M:M),"Não Match")</f>
        <v>Não Match</v>
      </c>
    </row>
    <row r="174" spans="3:13" hidden="1" x14ac:dyDescent="0.35">
      <c r="C174" s="18">
        <v>45992</v>
      </c>
      <c r="D174" s="5">
        <v>1223410424</v>
      </c>
      <c r="E174" s="5" t="s">
        <v>1427</v>
      </c>
      <c r="F174" s="5" t="s">
        <v>1734</v>
      </c>
      <c r="G174" s="5">
        <v>1</v>
      </c>
      <c r="H174" s="5">
        <v>1</v>
      </c>
      <c r="I174" s="19">
        <v>1449.4193548387098</v>
      </c>
      <c r="J174" s="19">
        <v>5029.4660348713551</v>
      </c>
      <c r="K174" s="5">
        <v>167</v>
      </c>
      <c r="L174" s="21" t="str">
        <f>IF(ISNA(_xlfn.XLOOKUP(D174,'Same Seller Hist'!E:E,'Same Seller Hist'!E:E)),"Não","Sim")</f>
        <v>Não</v>
      </c>
      <c r="M174" s="21" t="str">
        <f>_xlfn.IFNA(_xlfn.XLOOKUP(D174,'Same Seller Hist'!E:E,'Same Seller Hist'!M:M),"Não Match")</f>
        <v>Não Match</v>
      </c>
    </row>
    <row r="175" spans="3:13" hidden="1" x14ac:dyDescent="0.35">
      <c r="C175" s="18">
        <v>45992</v>
      </c>
      <c r="D175" s="5">
        <v>753981666</v>
      </c>
      <c r="E175" s="5" t="s">
        <v>1428</v>
      </c>
      <c r="F175" s="5" t="s">
        <v>1734</v>
      </c>
      <c r="G175" s="5">
        <v>1</v>
      </c>
      <c r="H175" s="5">
        <v>0</v>
      </c>
      <c r="I175" s="19">
        <v>1445.5806451612902</v>
      </c>
      <c r="J175" s="19">
        <v>7958.6698274352575</v>
      </c>
      <c r="K175" s="5">
        <v>168</v>
      </c>
      <c r="L175" s="21" t="str">
        <f>IF(ISNA(_xlfn.XLOOKUP(D175,'Same Seller Hist'!E:E,'Same Seller Hist'!E:E)),"Não","Sim")</f>
        <v>Não</v>
      </c>
      <c r="M175" s="21" t="str">
        <f>_xlfn.IFNA(_xlfn.XLOOKUP(D175,'Same Seller Hist'!E:E,'Same Seller Hist'!M:M),"Não Match")</f>
        <v>Não Match</v>
      </c>
    </row>
    <row r="176" spans="3:13" x14ac:dyDescent="0.35">
      <c r="C176" s="18">
        <v>45992</v>
      </c>
      <c r="D176" s="5">
        <v>487505431</v>
      </c>
      <c r="E176" s="5" t="s">
        <v>1429</v>
      </c>
      <c r="F176" s="5" t="s">
        <v>1734</v>
      </c>
      <c r="G176" s="5">
        <v>1</v>
      </c>
      <c r="H176" s="5">
        <v>1</v>
      </c>
      <c r="I176" s="19">
        <v>1444.4516129032224</v>
      </c>
      <c r="J176" s="19">
        <v>6648.9025738931614</v>
      </c>
      <c r="K176" s="5">
        <v>169</v>
      </c>
      <c r="L176" s="21" t="str">
        <f>IF(ISNA(_xlfn.XLOOKUP(D176,'Same Seller Hist'!E:E,'Same Seller Hist'!E:E)),"Não","Sim")</f>
        <v>Sim</v>
      </c>
      <c r="M176" s="21" t="str">
        <f>_xlfn.IFNA(_xlfn.XLOOKUP(D176,'Same Seller Hist'!E:E,'Same Seller Hist'!M:M),"Não Match")</f>
        <v>Ativo</v>
      </c>
    </row>
    <row r="177" spans="3:13" x14ac:dyDescent="0.35">
      <c r="C177" s="18">
        <v>45992</v>
      </c>
      <c r="D177" s="5">
        <v>294602625</v>
      </c>
      <c r="E177" s="5" t="s">
        <v>1430</v>
      </c>
      <c r="F177" s="5" t="s">
        <v>905</v>
      </c>
      <c r="G177" s="5">
        <v>0</v>
      </c>
      <c r="H177" s="5">
        <v>0</v>
      </c>
      <c r="I177" s="19">
        <v>1437.516129032258</v>
      </c>
      <c r="J177" s="19">
        <v>5645.7252393388071</v>
      </c>
      <c r="K177" s="5">
        <v>170</v>
      </c>
      <c r="L177" s="21" t="str">
        <f>IF(ISNA(_xlfn.XLOOKUP(D177,'Same Seller Hist'!E:E,'Same Seller Hist'!E:E)),"Não","Sim")</f>
        <v>Sim</v>
      </c>
      <c r="M177" s="21" t="str">
        <f>_xlfn.IFNA(_xlfn.XLOOKUP(D177,'Same Seller Hist'!E:E,'Same Seller Hist'!M:M),"Não Match")</f>
        <v>Ativo</v>
      </c>
    </row>
    <row r="178" spans="3:13" hidden="1" x14ac:dyDescent="0.35">
      <c r="C178" s="18">
        <v>45992</v>
      </c>
      <c r="D178" s="5">
        <v>1168608130</v>
      </c>
      <c r="E178" s="5" t="s">
        <v>1431</v>
      </c>
      <c r="F178" s="5" t="s">
        <v>905</v>
      </c>
      <c r="G178" s="5">
        <v>0</v>
      </c>
      <c r="H178" s="5">
        <v>1</v>
      </c>
      <c r="I178" s="19">
        <v>1436.6774193548354</v>
      </c>
      <c r="J178" s="19">
        <v>12747.833149416936</v>
      </c>
      <c r="K178" s="5">
        <v>171</v>
      </c>
      <c r="L178" s="21" t="str">
        <f>IF(ISNA(_xlfn.XLOOKUP(D178,'Same Seller Hist'!E:E,'Same Seller Hist'!E:E)),"Não","Sim")</f>
        <v>Não</v>
      </c>
      <c r="M178" s="21" t="str">
        <f>_xlfn.IFNA(_xlfn.XLOOKUP(D178,'Same Seller Hist'!E:E,'Same Seller Hist'!M:M),"Não Match")</f>
        <v>Não Match</v>
      </c>
    </row>
    <row r="179" spans="3:13" x14ac:dyDescent="0.35">
      <c r="C179" s="18">
        <v>45992</v>
      </c>
      <c r="D179" s="5">
        <v>384529520</v>
      </c>
      <c r="E179" s="5" t="s">
        <v>503</v>
      </c>
      <c r="F179" s="5" t="s">
        <v>1734</v>
      </c>
      <c r="G179" s="5">
        <v>1</v>
      </c>
      <c r="H179" s="5">
        <v>0</v>
      </c>
      <c r="I179" s="19">
        <v>1436.322580645158</v>
      </c>
      <c r="J179" s="19">
        <v>7309.1526937145481</v>
      </c>
      <c r="K179" s="5">
        <v>172</v>
      </c>
      <c r="L179" s="21" t="str">
        <f>IF(ISNA(_xlfn.XLOOKUP(D179,'Same Seller Hist'!E:E,'Same Seller Hist'!E:E)),"Não","Sim")</f>
        <v>Sim</v>
      </c>
      <c r="M179" s="21" t="str">
        <f>_xlfn.IFNA(_xlfn.XLOOKUP(D179,'Same Seller Hist'!E:E,'Same Seller Hist'!M:M),"Não Match")</f>
        <v>Ativo</v>
      </c>
    </row>
    <row r="180" spans="3:13" hidden="1" x14ac:dyDescent="0.35">
      <c r="C180" s="18">
        <v>45992</v>
      </c>
      <c r="D180" s="5">
        <v>405272175</v>
      </c>
      <c r="E180" s="5" t="s">
        <v>1432</v>
      </c>
      <c r="F180" s="5" t="s">
        <v>1734</v>
      </c>
      <c r="G180" s="5">
        <v>1</v>
      </c>
      <c r="H180" s="5">
        <v>0</v>
      </c>
      <c r="I180" s="19">
        <v>1431.6451612903227</v>
      </c>
      <c r="J180" s="19">
        <v>4204.5679267826126</v>
      </c>
      <c r="K180" s="5">
        <v>173</v>
      </c>
      <c r="L180" s="21" t="str">
        <f>IF(ISNA(_xlfn.XLOOKUP(D180,'Same Seller Hist'!E:E,'Same Seller Hist'!E:E)),"Não","Sim")</f>
        <v>Não</v>
      </c>
      <c r="M180" s="21" t="str">
        <f>_xlfn.IFNA(_xlfn.XLOOKUP(D180,'Same Seller Hist'!E:E,'Same Seller Hist'!M:M),"Não Match")</f>
        <v>Não Match</v>
      </c>
    </row>
    <row r="181" spans="3:13" hidden="1" x14ac:dyDescent="0.35">
      <c r="C181" s="18">
        <v>45992</v>
      </c>
      <c r="D181" s="5">
        <v>1534910933</v>
      </c>
      <c r="E181" s="5" t="s">
        <v>1433</v>
      </c>
      <c r="F181" s="5" t="s">
        <v>1734</v>
      </c>
      <c r="G181" s="5">
        <v>1</v>
      </c>
      <c r="H181" s="5">
        <v>1</v>
      </c>
      <c r="I181" s="19">
        <v>1430.9354838709644</v>
      </c>
      <c r="J181" s="19">
        <v>4142.1525078506775</v>
      </c>
      <c r="K181" s="5">
        <v>174</v>
      </c>
      <c r="L181" s="21" t="str">
        <f>IF(ISNA(_xlfn.XLOOKUP(D181,'Same Seller Hist'!E:E,'Same Seller Hist'!E:E)),"Não","Sim")</f>
        <v>Não</v>
      </c>
      <c r="M181" s="21" t="str">
        <f>_xlfn.IFNA(_xlfn.XLOOKUP(D181,'Same Seller Hist'!E:E,'Same Seller Hist'!M:M),"Não Match")</f>
        <v>Não Match</v>
      </c>
    </row>
    <row r="182" spans="3:13" hidden="1" x14ac:dyDescent="0.35">
      <c r="C182" s="18">
        <v>45992</v>
      </c>
      <c r="D182" s="5">
        <v>290598330</v>
      </c>
      <c r="E182" s="5" t="s">
        <v>1434</v>
      </c>
      <c r="F182" s="5" t="s">
        <v>906</v>
      </c>
      <c r="G182" s="5">
        <v>0</v>
      </c>
      <c r="H182" s="5">
        <v>1</v>
      </c>
      <c r="I182" s="19">
        <v>1429.741935483871</v>
      </c>
      <c r="J182" s="19">
        <v>11529.582831367097</v>
      </c>
      <c r="K182" s="5">
        <v>175</v>
      </c>
      <c r="L182" s="21" t="str">
        <f>IF(ISNA(_xlfn.XLOOKUP(D182,'Same Seller Hist'!E:E,'Same Seller Hist'!E:E)),"Não","Sim")</f>
        <v>Não</v>
      </c>
      <c r="M182" s="21" t="str">
        <f>_xlfn.IFNA(_xlfn.XLOOKUP(D182,'Same Seller Hist'!E:E,'Same Seller Hist'!M:M),"Não Match")</f>
        <v>Não Match</v>
      </c>
    </row>
    <row r="183" spans="3:13" hidden="1" x14ac:dyDescent="0.35">
      <c r="C183" s="18">
        <v>45992</v>
      </c>
      <c r="D183" s="5">
        <v>1129682997</v>
      </c>
      <c r="E183" s="5" t="s">
        <v>1435</v>
      </c>
      <c r="F183" s="5" t="s">
        <v>906</v>
      </c>
      <c r="G183" s="5">
        <v>0</v>
      </c>
      <c r="H183" s="5">
        <v>1</v>
      </c>
      <c r="I183" s="19">
        <v>1422.4193548387063</v>
      </c>
      <c r="J183" s="19">
        <v>6469.8015242860647</v>
      </c>
      <c r="K183" s="5">
        <v>176</v>
      </c>
      <c r="L183" s="21" t="str">
        <f>IF(ISNA(_xlfn.XLOOKUP(D183,'Same Seller Hist'!E:E,'Same Seller Hist'!E:E)),"Não","Sim")</f>
        <v>Não</v>
      </c>
      <c r="M183" s="21" t="str">
        <f>_xlfn.IFNA(_xlfn.XLOOKUP(D183,'Same Seller Hist'!E:E,'Same Seller Hist'!M:M),"Não Match")</f>
        <v>Não Match</v>
      </c>
    </row>
    <row r="184" spans="3:13" x14ac:dyDescent="0.35">
      <c r="C184" s="18">
        <v>45992</v>
      </c>
      <c r="D184" s="5">
        <v>1101178064</v>
      </c>
      <c r="E184" s="5" t="s">
        <v>1436</v>
      </c>
      <c r="F184" s="5" t="s">
        <v>905</v>
      </c>
      <c r="G184" s="5">
        <v>0</v>
      </c>
      <c r="H184" s="5">
        <v>1</v>
      </c>
      <c r="I184" s="19">
        <v>1420.3870967741902</v>
      </c>
      <c r="J184" s="19">
        <v>9179.3450660007748</v>
      </c>
      <c r="K184" s="5">
        <v>177</v>
      </c>
      <c r="L184" s="21" t="str">
        <f>IF(ISNA(_xlfn.XLOOKUP(D184,'Same Seller Hist'!E:E,'Same Seller Hist'!E:E)),"Não","Sim")</f>
        <v>Sim</v>
      </c>
      <c r="M184" s="21" t="str">
        <f>_xlfn.IFNA(_xlfn.XLOOKUP(D184,'Same Seller Hist'!E:E,'Same Seller Hist'!M:M),"Não Match")</f>
        <v>Ativo</v>
      </c>
    </row>
    <row r="185" spans="3:13" x14ac:dyDescent="0.35">
      <c r="C185" s="18">
        <v>45992</v>
      </c>
      <c r="D185" s="5">
        <v>301956567</v>
      </c>
      <c r="E185" s="5" t="s">
        <v>1437</v>
      </c>
      <c r="F185" s="5" t="s">
        <v>1734</v>
      </c>
      <c r="G185" s="5">
        <v>1</v>
      </c>
      <c r="H185" s="5">
        <v>0</v>
      </c>
      <c r="I185" s="19">
        <v>1412.0967741935451</v>
      </c>
      <c r="J185" s="19">
        <v>3936.1361479060001</v>
      </c>
      <c r="K185" s="5">
        <v>178</v>
      </c>
      <c r="L185" s="21" t="str">
        <f>IF(ISNA(_xlfn.XLOOKUP(D185,'Same Seller Hist'!E:E,'Same Seller Hist'!E:E)),"Não","Sim")</f>
        <v>Sim</v>
      </c>
      <c r="M185" s="21" t="str">
        <f>_xlfn.IFNA(_xlfn.XLOOKUP(D185,'Same Seller Hist'!E:E,'Same Seller Hist'!M:M),"Não Match")</f>
        <v>Ativo</v>
      </c>
    </row>
    <row r="186" spans="3:13" hidden="1" x14ac:dyDescent="0.35">
      <c r="C186" s="18">
        <v>45992</v>
      </c>
      <c r="D186" s="5">
        <v>979724994</v>
      </c>
      <c r="E186" s="5" t="s">
        <v>1438</v>
      </c>
      <c r="F186" s="5" t="s">
        <v>1734</v>
      </c>
      <c r="G186" s="5">
        <v>1</v>
      </c>
      <c r="H186" s="5">
        <v>1</v>
      </c>
      <c r="I186" s="19">
        <v>1410.7096774193549</v>
      </c>
      <c r="J186" s="19">
        <v>11596.156470543645</v>
      </c>
      <c r="K186" s="5">
        <v>179</v>
      </c>
      <c r="L186" s="21" t="str">
        <f>IF(ISNA(_xlfn.XLOOKUP(D186,'Same Seller Hist'!E:E,'Same Seller Hist'!E:E)),"Não","Sim")</f>
        <v>Não</v>
      </c>
      <c r="M186" s="21" t="str">
        <f>_xlfn.IFNA(_xlfn.XLOOKUP(D186,'Same Seller Hist'!E:E,'Same Seller Hist'!M:M),"Não Match")</f>
        <v>Não Match</v>
      </c>
    </row>
    <row r="187" spans="3:13" x14ac:dyDescent="0.35">
      <c r="C187" s="18">
        <v>45992</v>
      </c>
      <c r="D187" s="5">
        <v>442506479</v>
      </c>
      <c r="E187" s="5" t="s">
        <v>1439</v>
      </c>
      <c r="F187" s="5" t="s">
        <v>905</v>
      </c>
      <c r="G187" s="5">
        <v>0</v>
      </c>
      <c r="H187" s="5">
        <v>1</v>
      </c>
      <c r="I187" s="19">
        <v>1409.2580645161258</v>
      </c>
      <c r="J187" s="19">
        <v>17888.046600505226</v>
      </c>
      <c r="K187" s="5">
        <v>180</v>
      </c>
      <c r="L187" s="21" t="str">
        <f>IF(ISNA(_xlfn.XLOOKUP(D187,'Same Seller Hist'!E:E,'Same Seller Hist'!E:E)),"Não","Sim")</f>
        <v>Sim</v>
      </c>
      <c r="M187" s="21" t="str">
        <f>_xlfn.IFNA(_xlfn.XLOOKUP(D187,'Same Seller Hist'!E:E,'Same Seller Hist'!M:M),"Não Match")</f>
        <v>Ativo</v>
      </c>
    </row>
    <row r="188" spans="3:13" hidden="1" x14ac:dyDescent="0.35">
      <c r="C188" s="18">
        <v>45992</v>
      </c>
      <c r="D188" s="5">
        <v>1024782317</v>
      </c>
      <c r="E188" s="5" t="s">
        <v>1440</v>
      </c>
      <c r="F188" s="5" t="s">
        <v>1734</v>
      </c>
      <c r="G188" s="5">
        <v>1</v>
      </c>
      <c r="H188" s="5">
        <v>1</v>
      </c>
      <c r="I188" s="19">
        <v>1397.8709677419354</v>
      </c>
      <c r="J188" s="19">
        <v>14459.119390003516</v>
      </c>
      <c r="K188" s="5">
        <v>181</v>
      </c>
      <c r="L188" s="21" t="str">
        <f>IF(ISNA(_xlfn.XLOOKUP(D188,'Same Seller Hist'!E:E,'Same Seller Hist'!E:E)),"Não","Sim")</f>
        <v>Não</v>
      </c>
      <c r="M188" s="21" t="str">
        <f>_xlfn.IFNA(_xlfn.XLOOKUP(D188,'Same Seller Hist'!E:E,'Same Seller Hist'!M:M),"Não Match")</f>
        <v>Não Match</v>
      </c>
    </row>
    <row r="189" spans="3:13" hidden="1" x14ac:dyDescent="0.35">
      <c r="C189" s="18">
        <v>45992</v>
      </c>
      <c r="D189" s="5">
        <v>380575792</v>
      </c>
      <c r="E189" s="5" t="s">
        <v>1441</v>
      </c>
      <c r="F189" s="5" t="s">
        <v>903</v>
      </c>
      <c r="G189" s="5">
        <v>0</v>
      </c>
      <c r="H189" s="5">
        <v>1</v>
      </c>
      <c r="I189" s="19">
        <v>1397.7741935483871</v>
      </c>
      <c r="J189" s="19">
        <v>10225.475432816227</v>
      </c>
      <c r="K189" s="5">
        <v>182</v>
      </c>
      <c r="L189" s="21" t="str">
        <f>IF(ISNA(_xlfn.XLOOKUP(D189,'Same Seller Hist'!E:E,'Same Seller Hist'!E:E)),"Não","Sim")</f>
        <v>Não</v>
      </c>
      <c r="M189" s="21" t="str">
        <f>_xlfn.IFNA(_xlfn.XLOOKUP(D189,'Same Seller Hist'!E:E,'Same Seller Hist'!M:M),"Não Match")</f>
        <v>Não Match</v>
      </c>
    </row>
    <row r="190" spans="3:13" x14ac:dyDescent="0.35">
      <c r="C190" s="18">
        <v>45992</v>
      </c>
      <c r="D190" s="5">
        <v>394786209</v>
      </c>
      <c r="E190" s="5" t="s">
        <v>524</v>
      </c>
      <c r="F190" s="5" t="s">
        <v>1734</v>
      </c>
      <c r="G190" s="5">
        <v>1</v>
      </c>
      <c r="H190" s="5">
        <v>0</v>
      </c>
      <c r="I190" s="19">
        <v>1387.9354838709678</v>
      </c>
      <c r="J190" s="19">
        <v>4418.7463039849672</v>
      </c>
      <c r="K190" s="5">
        <v>183</v>
      </c>
      <c r="L190" s="21" t="str">
        <f>IF(ISNA(_xlfn.XLOOKUP(D190,'Same Seller Hist'!E:E,'Same Seller Hist'!E:E)),"Não","Sim")</f>
        <v>Sim</v>
      </c>
      <c r="M190" s="21" t="str">
        <f>_xlfn.IFNA(_xlfn.XLOOKUP(D190,'Same Seller Hist'!E:E,'Same Seller Hist'!M:M),"Não Match")</f>
        <v>Ativo</v>
      </c>
    </row>
    <row r="191" spans="3:13" hidden="1" x14ac:dyDescent="0.35">
      <c r="C191" s="18">
        <v>45992</v>
      </c>
      <c r="D191" s="5">
        <v>721033344</v>
      </c>
      <c r="E191" s="5" t="s">
        <v>1442</v>
      </c>
      <c r="F191" s="5" t="s">
        <v>906</v>
      </c>
      <c r="G191" s="5">
        <v>0</v>
      </c>
      <c r="H191" s="5">
        <v>1</v>
      </c>
      <c r="I191" s="19">
        <v>1385.9354838709644</v>
      </c>
      <c r="J191" s="19">
        <v>14909.307719441646</v>
      </c>
      <c r="K191" s="5">
        <v>184</v>
      </c>
      <c r="L191" s="21" t="str">
        <f>IF(ISNA(_xlfn.XLOOKUP(D191,'Same Seller Hist'!E:E,'Same Seller Hist'!E:E)),"Não","Sim")</f>
        <v>Não</v>
      </c>
      <c r="M191" s="21" t="str">
        <f>_xlfn.IFNA(_xlfn.XLOOKUP(D191,'Same Seller Hist'!E:E,'Same Seller Hist'!M:M),"Não Match")</f>
        <v>Não Match</v>
      </c>
    </row>
    <row r="192" spans="3:13" hidden="1" x14ac:dyDescent="0.35">
      <c r="C192" s="18">
        <v>45992</v>
      </c>
      <c r="D192" s="5">
        <v>1224361690</v>
      </c>
      <c r="E192" s="5" t="s">
        <v>1443</v>
      </c>
      <c r="F192" s="5" t="s">
        <v>906</v>
      </c>
      <c r="G192" s="5">
        <v>0</v>
      </c>
      <c r="H192" s="5">
        <v>0</v>
      </c>
      <c r="I192" s="19">
        <v>1384.6451612903193</v>
      </c>
      <c r="J192" s="19">
        <v>4502.6823427716126</v>
      </c>
      <c r="K192" s="5">
        <v>185</v>
      </c>
      <c r="L192" s="21" t="str">
        <f>IF(ISNA(_xlfn.XLOOKUP(D192,'Same Seller Hist'!E:E,'Same Seller Hist'!E:E)),"Não","Sim")</f>
        <v>Não</v>
      </c>
      <c r="M192" s="21" t="str">
        <f>_xlfn.IFNA(_xlfn.XLOOKUP(D192,'Same Seller Hist'!E:E,'Same Seller Hist'!M:M),"Não Match")</f>
        <v>Não Match</v>
      </c>
    </row>
    <row r="193" spans="3:13" x14ac:dyDescent="0.35">
      <c r="C193" s="18">
        <v>45992</v>
      </c>
      <c r="D193" s="5">
        <v>389806204</v>
      </c>
      <c r="E193" s="5" t="s">
        <v>510</v>
      </c>
      <c r="F193" s="5" t="s">
        <v>1734</v>
      </c>
      <c r="G193" s="5">
        <v>1</v>
      </c>
      <c r="H193" s="5">
        <v>1</v>
      </c>
      <c r="I193" s="19">
        <v>1380.6774193548354</v>
      </c>
      <c r="J193" s="19">
        <v>13734.0128437</v>
      </c>
      <c r="K193" s="5">
        <v>186</v>
      </c>
      <c r="L193" s="21" t="str">
        <f>IF(ISNA(_xlfn.XLOOKUP(D193,'Same Seller Hist'!E:E,'Same Seller Hist'!E:E)),"Não","Sim")</f>
        <v>Sim</v>
      </c>
      <c r="M193" s="21" t="str">
        <f>_xlfn.IFNA(_xlfn.XLOOKUP(D193,'Same Seller Hist'!E:E,'Same Seller Hist'!M:M),"Não Match")</f>
        <v>Ativo</v>
      </c>
    </row>
    <row r="194" spans="3:13" hidden="1" x14ac:dyDescent="0.35">
      <c r="C194" s="18">
        <v>45992</v>
      </c>
      <c r="D194" s="5">
        <v>1531826276</v>
      </c>
      <c r="E194" s="5" t="s">
        <v>1444</v>
      </c>
      <c r="F194" s="5" t="s">
        <v>1734</v>
      </c>
      <c r="G194" s="5">
        <v>1</v>
      </c>
      <c r="H194" s="5">
        <v>1</v>
      </c>
      <c r="I194" s="19">
        <v>1378.1935483870934</v>
      </c>
      <c r="J194" s="19">
        <v>10955.210819626935</v>
      </c>
      <c r="K194" s="5">
        <v>187</v>
      </c>
      <c r="L194" s="21" t="str">
        <f>IF(ISNA(_xlfn.XLOOKUP(D194,'Same Seller Hist'!E:E,'Same Seller Hist'!E:E)),"Não","Sim")</f>
        <v>Não</v>
      </c>
      <c r="M194" s="21" t="str">
        <f>_xlfn.IFNA(_xlfn.XLOOKUP(D194,'Same Seller Hist'!E:E,'Same Seller Hist'!M:M),"Não Match")</f>
        <v>Não Match</v>
      </c>
    </row>
    <row r="195" spans="3:13" x14ac:dyDescent="0.35">
      <c r="C195" s="18">
        <v>45992</v>
      </c>
      <c r="D195" s="5">
        <v>367507085</v>
      </c>
      <c r="E195" s="5" t="s">
        <v>474</v>
      </c>
      <c r="F195" s="5" t="s">
        <v>903</v>
      </c>
      <c r="G195" s="5">
        <v>0</v>
      </c>
      <c r="H195" s="5">
        <v>1</v>
      </c>
      <c r="I195" s="19">
        <v>1376.8709677419354</v>
      </c>
      <c r="J195" s="19">
        <v>13286.643114568387</v>
      </c>
      <c r="K195" s="5">
        <v>188</v>
      </c>
      <c r="L195" s="21" t="str">
        <f>IF(ISNA(_xlfn.XLOOKUP(D195,'Same Seller Hist'!E:E,'Same Seller Hist'!E:E)),"Não","Sim")</f>
        <v>Sim</v>
      </c>
      <c r="M195" s="21" t="str">
        <f>_xlfn.IFNA(_xlfn.XLOOKUP(D195,'Same Seller Hist'!E:E,'Same Seller Hist'!M:M),"Não Match")</f>
        <v>Ativo</v>
      </c>
    </row>
    <row r="196" spans="3:13" x14ac:dyDescent="0.35">
      <c r="C196" s="18">
        <v>45992</v>
      </c>
      <c r="D196" s="5">
        <v>1099068336</v>
      </c>
      <c r="E196" s="5" t="s">
        <v>1445</v>
      </c>
      <c r="F196" s="5" t="s">
        <v>904</v>
      </c>
      <c r="G196" s="5">
        <v>0</v>
      </c>
      <c r="H196" s="5">
        <v>0</v>
      </c>
      <c r="I196" s="19">
        <v>1371.7096774193515</v>
      </c>
      <c r="J196" s="19">
        <v>7936.3226848881613</v>
      </c>
      <c r="K196" s="5">
        <v>189</v>
      </c>
      <c r="L196" s="21" t="str">
        <f>IF(ISNA(_xlfn.XLOOKUP(D196,'Same Seller Hist'!E:E,'Same Seller Hist'!E:E)),"Não","Sim")</f>
        <v>Sim</v>
      </c>
      <c r="M196" s="21" t="str">
        <f>_xlfn.IFNA(_xlfn.XLOOKUP(D196,'Same Seller Hist'!E:E,'Same Seller Hist'!M:M),"Não Match")</f>
        <v>Ativo</v>
      </c>
    </row>
    <row r="197" spans="3:13" hidden="1" x14ac:dyDescent="0.35">
      <c r="C197" s="18">
        <v>45992</v>
      </c>
      <c r="D197" s="5">
        <v>1222975074</v>
      </c>
      <c r="E197" s="5" t="s">
        <v>1446</v>
      </c>
      <c r="F197" s="5" t="s">
        <v>1734</v>
      </c>
      <c r="G197" s="5">
        <v>1</v>
      </c>
      <c r="H197" s="5">
        <v>1</v>
      </c>
      <c r="I197" s="19">
        <v>1364.7741935483871</v>
      </c>
      <c r="J197" s="19">
        <v>12067.348828073258</v>
      </c>
      <c r="K197" s="5">
        <v>190</v>
      </c>
      <c r="L197" s="21" t="str">
        <f>IF(ISNA(_xlfn.XLOOKUP(D197,'Same Seller Hist'!E:E,'Same Seller Hist'!E:E)),"Não","Sim")</f>
        <v>Não</v>
      </c>
      <c r="M197" s="21" t="str">
        <f>_xlfn.IFNA(_xlfn.XLOOKUP(D197,'Same Seller Hist'!E:E,'Same Seller Hist'!M:M),"Não Match")</f>
        <v>Não Match</v>
      </c>
    </row>
    <row r="198" spans="3:13" hidden="1" x14ac:dyDescent="0.35">
      <c r="C198" s="18">
        <v>45992</v>
      </c>
      <c r="D198" s="5">
        <v>942900185</v>
      </c>
      <c r="E198" s="5" t="s">
        <v>1447</v>
      </c>
      <c r="F198" s="5" t="s">
        <v>905</v>
      </c>
      <c r="G198" s="5">
        <v>0</v>
      </c>
      <c r="H198" s="5">
        <v>0</v>
      </c>
      <c r="I198" s="19">
        <v>1360.2258064516095</v>
      </c>
      <c r="J198" s="19">
        <v>3385.262674635645</v>
      </c>
      <c r="K198" s="5">
        <v>191</v>
      </c>
      <c r="L198" s="21" t="str">
        <f>IF(ISNA(_xlfn.XLOOKUP(D198,'Same Seller Hist'!E:E,'Same Seller Hist'!E:E)),"Não","Sim")</f>
        <v>Não</v>
      </c>
      <c r="M198" s="21" t="str">
        <f>_xlfn.IFNA(_xlfn.XLOOKUP(D198,'Same Seller Hist'!E:E,'Same Seller Hist'!M:M),"Não Match")</f>
        <v>Não Match</v>
      </c>
    </row>
    <row r="199" spans="3:13" hidden="1" x14ac:dyDescent="0.35">
      <c r="C199" s="18">
        <v>45992</v>
      </c>
      <c r="D199" s="5">
        <v>1390609298</v>
      </c>
      <c r="E199" s="5" t="s">
        <v>1448</v>
      </c>
      <c r="F199" s="5" t="s">
        <v>906</v>
      </c>
      <c r="G199" s="5">
        <v>0</v>
      </c>
      <c r="H199" s="5">
        <v>1</v>
      </c>
      <c r="I199" s="19">
        <v>1359.8387096774161</v>
      </c>
      <c r="J199" s="19">
        <v>15056.630723956934</v>
      </c>
      <c r="K199" s="5">
        <v>192</v>
      </c>
      <c r="L199" s="21" t="str">
        <f>IF(ISNA(_xlfn.XLOOKUP(D199,'Same Seller Hist'!E:E,'Same Seller Hist'!E:E)),"Não","Sim")</f>
        <v>Não</v>
      </c>
      <c r="M199" s="21" t="str">
        <f>_xlfn.IFNA(_xlfn.XLOOKUP(D199,'Same Seller Hist'!E:E,'Same Seller Hist'!M:M),"Não Match")</f>
        <v>Não Match</v>
      </c>
    </row>
    <row r="200" spans="3:13" hidden="1" x14ac:dyDescent="0.35">
      <c r="C200" s="18">
        <v>45992</v>
      </c>
      <c r="D200" s="5">
        <v>1415768873</v>
      </c>
      <c r="E200" s="5" t="s">
        <v>1449</v>
      </c>
      <c r="F200" s="5" t="s">
        <v>1734</v>
      </c>
      <c r="G200" s="5">
        <v>1</v>
      </c>
      <c r="H200" s="5">
        <v>1</v>
      </c>
      <c r="I200" s="19">
        <v>1358.516129032258</v>
      </c>
      <c r="J200" s="19">
        <v>5933.2203025214521</v>
      </c>
      <c r="K200" s="5">
        <v>193</v>
      </c>
      <c r="L200" s="21" t="str">
        <f>IF(ISNA(_xlfn.XLOOKUP(D200,'Same Seller Hist'!E:E,'Same Seller Hist'!E:E)),"Não","Sim")</f>
        <v>Não</v>
      </c>
      <c r="M200" s="21" t="str">
        <f>_xlfn.IFNA(_xlfn.XLOOKUP(D200,'Same Seller Hist'!E:E,'Same Seller Hist'!M:M),"Não Match")</f>
        <v>Não Match</v>
      </c>
    </row>
    <row r="201" spans="3:13" x14ac:dyDescent="0.35">
      <c r="C201" s="18">
        <v>45992</v>
      </c>
      <c r="D201" s="5">
        <v>1267153913</v>
      </c>
      <c r="E201" s="5" t="s">
        <v>1450</v>
      </c>
      <c r="F201" s="5" t="s">
        <v>1734</v>
      </c>
      <c r="G201" s="5">
        <v>1</v>
      </c>
      <c r="H201" s="5">
        <v>1</v>
      </c>
      <c r="I201" s="19">
        <v>1352.1935483870934</v>
      </c>
      <c r="J201" s="19">
        <v>11585.943751508485</v>
      </c>
      <c r="K201" s="5">
        <v>194</v>
      </c>
      <c r="L201" s="21" t="str">
        <f>IF(ISNA(_xlfn.XLOOKUP(D201,'Same Seller Hist'!E:E,'Same Seller Hist'!E:E)),"Não","Sim")</f>
        <v>Sim</v>
      </c>
      <c r="M201" s="21" t="str">
        <f>_xlfn.IFNA(_xlfn.XLOOKUP(D201,'Same Seller Hist'!E:E,'Same Seller Hist'!M:M),"Não Match")</f>
        <v>Ativo</v>
      </c>
    </row>
    <row r="202" spans="3:13" hidden="1" x14ac:dyDescent="0.35">
      <c r="C202" s="18">
        <v>45992</v>
      </c>
      <c r="D202" s="5">
        <v>569114904</v>
      </c>
      <c r="E202" s="5" t="s">
        <v>1451</v>
      </c>
      <c r="F202" s="5" t="s">
        <v>1734</v>
      </c>
      <c r="G202" s="5">
        <v>1</v>
      </c>
      <c r="H202" s="5">
        <v>1</v>
      </c>
      <c r="I202" s="19">
        <v>1351.9677419354805</v>
      </c>
      <c r="J202" s="19">
        <v>4810.7317810914838</v>
      </c>
      <c r="K202" s="5">
        <v>195</v>
      </c>
      <c r="L202" s="21" t="str">
        <f>IF(ISNA(_xlfn.XLOOKUP(D202,'Same Seller Hist'!E:E,'Same Seller Hist'!E:E)),"Não","Sim")</f>
        <v>Não</v>
      </c>
      <c r="M202" s="21" t="str">
        <f>_xlfn.IFNA(_xlfn.XLOOKUP(D202,'Same Seller Hist'!E:E,'Same Seller Hist'!M:M),"Não Match")</f>
        <v>Não Match</v>
      </c>
    </row>
    <row r="203" spans="3:13" hidden="1" x14ac:dyDescent="0.35">
      <c r="C203" s="18">
        <v>45992</v>
      </c>
      <c r="D203" s="5">
        <v>1025814863</v>
      </c>
      <c r="E203" s="5" t="s">
        <v>1452</v>
      </c>
      <c r="F203" s="5" t="s">
        <v>1734</v>
      </c>
      <c r="G203" s="5">
        <v>1</v>
      </c>
      <c r="H203" s="5">
        <v>0</v>
      </c>
      <c r="I203" s="19">
        <v>1343.516129032258</v>
      </c>
      <c r="J203" s="19">
        <v>8579.9328744032264</v>
      </c>
      <c r="K203" s="5">
        <v>196</v>
      </c>
      <c r="L203" s="21" t="str">
        <f>IF(ISNA(_xlfn.XLOOKUP(D203,'Same Seller Hist'!E:E,'Same Seller Hist'!E:E)),"Não","Sim")</f>
        <v>Não</v>
      </c>
      <c r="M203" s="21" t="str">
        <f>_xlfn.IFNA(_xlfn.XLOOKUP(D203,'Same Seller Hist'!E:E,'Same Seller Hist'!M:M),"Não Match")</f>
        <v>Não Match</v>
      </c>
    </row>
    <row r="204" spans="3:13" hidden="1" x14ac:dyDescent="0.35">
      <c r="C204" s="18">
        <v>45992</v>
      </c>
      <c r="D204" s="5">
        <v>442964228</v>
      </c>
      <c r="E204" s="5" t="s">
        <v>1453</v>
      </c>
      <c r="F204" s="5" t="s">
        <v>906</v>
      </c>
      <c r="G204" s="5">
        <v>0</v>
      </c>
      <c r="H204" s="5">
        <v>1</v>
      </c>
      <c r="I204" s="19">
        <v>1341.8064516129032</v>
      </c>
      <c r="J204" s="19">
        <v>6475.3329844760965</v>
      </c>
      <c r="K204" s="5">
        <v>197</v>
      </c>
      <c r="L204" s="21" t="str">
        <f>IF(ISNA(_xlfn.XLOOKUP(D204,'Same Seller Hist'!E:E,'Same Seller Hist'!E:E)),"Não","Sim")</f>
        <v>Não</v>
      </c>
      <c r="M204" s="21" t="str">
        <f>_xlfn.IFNA(_xlfn.XLOOKUP(D204,'Same Seller Hist'!E:E,'Same Seller Hist'!M:M),"Não Match")</f>
        <v>Não Match</v>
      </c>
    </row>
    <row r="205" spans="3:13" x14ac:dyDescent="0.35">
      <c r="C205" s="18">
        <v>45992</v>
      </c>
      <c r="D205" s="5">
        <v>944725778</v>
      </c>
      <c r="E205" s="5" t="s">
        <v>1454</v>
      </c>
      <c r="F205" s="5" t="s">
        <v>1734</v>
      </c>
      <c r="G205" s="5">
        <v>1</v>
      </c>
      <c r="H205" s="5">
        <v>1</v>
      </c>
      <c r="I205" s="19">
        <v>1339.8709677419354</v>
      </c>
      <c r="J205" s="19">
        <v>5867.8154717879679</v>
      </c>
      <c r="K205" s="5">
        <v>198</v>
      </c>
      <c r="L205" s="21" t="str">
        <f>IF(ISNA(_xlfn.XLOOKUP(D205,'Same Seller Hist'!E:E,'Same Seller Hist'!E:E)),"Não","Sim")</f>
        <v>Sim</v>
      </c>
      <c r="M205" s="21" t="str">
        <f>_xlfn.IFNA(_xlfn.XLOOKUP(D205,'Same Seller Hist'!E:E,'Same Seller Hist'!M:M),"Não Match")</f>
        <v>Ativo</v>
      </c>
    </row>
    <row r="206" spans="3:13" x14ac:dyDescent="0.35">
      <c r="C206" s="18">
        <v>45992</v>
      </c>
      <c r="D206" s="5">
        <v>1033215079</v>
      </c>
      <c r="E206" s="5" t="s">
        <v>1455</v>
      </c>
      <c r="F206" s="5" t="s">
        <v>1734</v>
      </c>
      <c r="G206" s="5">
        <v>1</v>
      </c>
      <c r="H206" s="5">
        <v>1</v>
      </c>
      <c r="I206" s="19">
        <v>1339.8064516129032</v>
      </c>
      <c r="J206" s="19">
        <v>11320.565129940613</v>
      </c>
      <c r="K206" s="5">
        <v>199</v>
      </c>
      <c r="L206" s="21" t="str">
        <f>IF(ISNA(_xlfn.XLOOKUP(D206,'Same Seller Hist'!E:E,'Same Seller Hist'!E:E)),"Não","Sim")</f>
        <v>Sim</v>
      </c>
      <c r="M206" s="21" t="str">
        <f>_xlfn.IFNA(_xlfn.XLOOKUP(D206,'Same Seller Hist'!E:E,'Same Seller Hist'!M:M),"Não Match")</f>
        <v>Ativo</v>
      </c>
    </row>
    <row r="207" spans="3:13" hidden="1" x14ac:dyDescent="0.35">
      <c r="C207" s="18">
        <v>45992</v>
      </c>
      <c r="D207" s="5">
        <v>1210545163</v>
      </c>
      <c r="E207" s="5" t="s">
        <v>1456</v>
      </c>
      <c r="F207" s="5" t="s">
        <v>903</v>
      </c>
      <c r="G207" s="5">
        <v>0</v>
      </c>
      <c r="H207" s="5">
        <v>0</v>
      </c>
      <c r="I207" s="19">
        <v>1337.1935483870934</v>
      </c>
      <c r="J207" s="19">
        <v>6018.2091063990001</v>
      </c>
      <c r="K207" s="5">
        <v>200</v>
      </c>
      <c r="L207" s="21" t="str">
        <f>IF(ISNA(_xlfn.XLOOKUP(D207,'Same Seller Hist'!E:E,'Same Seller Hist'!E:E)),"Não","Sim")</f>
        <v>Não</v>
      </c>
      <c r="M207" s="21" t="str">
        <f>_xlfn.IFNA(_xlfn.XLOOKUP(D207,'Same Seller Hist'!E:E,'Same Seller Hist'!M:M),"Não Match")</f>
        <v>Não Match</v>
      </c>
    </row>
    <row r="208" spans="3:13" x14ac:dyDescent="0.35">
      <c r="C208" s="18">
        <v>45992</v>
      </c>
      <c r="D208" s="5">
        <v>359240167</v>
      </c>
      <c r="E208" s="5" t="s">
        <v>1457</v>
      </c>
      <c r="F208" s="5" t="s">
        <v>1734</v>
      </c>
      <c r="G208" s="5">
        <v>1</v>
      </c>
      <c r="H208" s="5">
        <v>0</v>
      </c>
      <c r="I208" s="19">
        <v>1335.2258064516129</v>
      </c>
      <c r="J208" s="19">
        <v>5283.6509312222252</v>
      </c>
      <c r="K208" s="5">
        <v>201</v>
      </c>
      <c r="L208" s="21" t="str">
        <f>IF(ISNA(_xlfn.XLOOKUP(D208,'Same Seller Hist'!E:E,'Same Seller Hist'!E:E)),"Não","Sim")</f>
        <v>Sim</v>
      </c>
      <c r="M208" s="21" t="str">
        <f>_xlfn.IFNA(_xlfn.XLOOKUP(D208,'Same Seller Hist'!E:E,'Same Seller Hist'!M:M),"Não Match")</f>
        <v>Ativo</v>
      </c>
    </row>
    <row r="209" spans="3:13" hidden="1" x14ac:dyDescent="0.35">
      <c r="C209" s="18">
        <v>45992</v>
      </c>
      <c r="D209" s="5">
        <v>1311907820</v>
      </c>
      <c r="E209" s="5" t="s">
        <v>1458</v>
      </c>
      <c r="F209" s="5" t="s">
        <v>904</v>
      </c>
      <c r="G209" s="5">
        <v>0</v>
      </c>
      <c r="H209" s="5">
        <v>0</v>
      </c>
      <c r="I209" s="19">
        <v>1321.741935483871</v>
      </c>
      <c r="J209" s="19">
        <v>7248.425205514387</v>
      </c>
      <c r="K209" s="5">
        <v>202</v>
      </c>
      <c r="L209" s="21" t="str">
        <f>IF(ISNA(_xlfn.XLOOKUP(D209,'Same Seller Hist'!E:E,'Same Seller Hist'!E:E)),"Não","Sim")</f>
        <v>Não</v>
      </c>
      <c r="M209" s="21" t="str">
        <f>_xlfn.IFNA(_xlfn.XLOOKUP(D209,'Same Seller Hist'!E:E,'Same Seller Hist'!M:M),"Não Match")</f>
        <v>Não Match</v>
      </c>
    </row>
    <row r="210" spans="3:13" hidden="1" x14ac:dyDescent="0.35">
      <c r="C210" s="18">
        <v>45992</v>
      </c>
      <c r="D210" s="5">
        <v>390780728</v>
      </c>
      <c r="E210" s="5" t="s">
        <v>1459</v>
      </c>
      <c r="F210" s="5" t="s">
        <v>906</v>
      </c>
      <c r="G210" s="5">
        <v>0</v>
      </c>
      <c r="H210" s="5">
        <v>1</v>
      </c>
      <c r="I210" s="19">
        <v>1321.5161290322549</v>
      </c>
      <c r="J210" s="19">
        <v>6743.9100284441611</v>
      </c>
      <c r="K210" s="5">
        <v>203</v>
      </c>
      <c r="L210" s="21" t="str">
        <f>IF(ISNA(_xlfn.XLOOKUP(D210,'Same Seller Hist'!E:E,'Same Seller Hist'!E:E)),"Não","Sim")</f>
        <v>Não</v>
      </c>
      <c r="M210" s="21" t="str">
        <f>_xlfn.IFNA(_xlfn.XLOOKUP(D210,'Same Seller Hist'!E:E,'Same Seller Hist'!M:M),"Não Match")</f>
        <v>Não Match</v>
      </c>
    </row>
    <row r="211" spans="3:13" hidden="1" x14ac:dyDescent="0.35">
      <c r="C211" s="18">
        <v>45992</v>
      </c>
      <c r="D211" s="5">
        <v>1103946075</v>
      </c>
      <c r="E211" s="5" t="s">
        <v>1460</v>
      </c>
      <c r="F211" s="5" t="s">
        <v>1734</v>
      </c>
      <c r="G211" s="5">
        <v>1</v>
      </c>
      <c r="H211" s="5">
        <v>1</v>
      </c>
      <c r="I211" s="19">
        <v>1320.548387096771</v>
      </c>
      <c r="J211" s="19">
        <v>9105.9606579283227</v>
      </c>
      <c r="K211" s="5">
        <v>204</v>
      </c>
      <c r="L211" s="21" t="str">
        <f>IF(ISNA(_xlfn.XLOOKUP(D211,'Same Seller Hist'!E:E,'Same Seller Hist'!E:E)),"Não","Sim")</f>
        <v>Não</v>
      </c>
      <c r="M211" s="21" t="str">
        <f>_xlfn.IFNA(_xlfn.XLOOKUP(D211,'Same Seller Hist'!E:E,'Same Seller Hist'!M:M),"Não Match")</f>
        <v>Não Match</v>
      </c>
    </row>
    <row r="212" spans="3:13" hidden="1" x14ac:dyDescent="0.35">
      <c r="C212" s="18">
        <v>45992</v>
      </c>
      <c r="D212" s="5">
        <v>607538721</v>
      </c>
      <c r="E212" s="5" t="s">
        <v>1461</v>
      </c>
      <c r="F212" s="5" t="s">
        <v>905</v>
      </c>
      <c r="G212" s="5">
        <v>0</v>
      </c>
      <c r="H212" s="5">
        <v>1</v>
      </c>
      <c r="I212" s="19">
        <v>1313.3548387096741</v>
      </c>
      <c r="J212" s="19">
        <v>15862.423251570001</v>
      </c>
      <c r="K212" s="5">
        <v>205</v>
      </c>
      <c r="L212" s="21" t="str">
        <f>IF(ISNA(_xlfn.XLOOKUP(D212,'Same Seller Hist'!E:E,'Same Seller Hist'!E:E)),"Não","Sim")</f>
        <v>Não</v>
      </c>
      <c r="M212" s="21" t="str">
        <f>_xlfn.IFNA(_xlfn.XLOOKUP(D212,'Same Seller Hist'!E:E,'Same Seller Hist'!M:M),"Não Match")</f>
        <v>Não Match</v>
      </c>
    </row>
    <row r="213" spans="3:13" hidden="1" x14ac:dyDescent="0.35">
      <c r="C213" s="18">
        <v>45992</v>
      </c>
      <c r="D213" s="5">
        <v>987393610</v>
      </c>
      <c r="E213" s="5" t="s">
        <v>1462</v>
      </c>
      <c r="F213" s="5" t="s">
        <v>1734</v>
      </c>
      <c r="G213" s="5">
        <v>1</v>
      </c>
      <c r="H213" s="5">
        <v>1</v>
      </c>
      <c r="I213" s="19">
        <v>1310.6774193548388</v>
      </c>
      <c r="J213" s="19">
        <v>7776.4434398603553</v>
      </c>
      <c r="K213" s="5">
        <v>206</v>
      </c>
      <c r="L213" s="21" t="str">
        <f>IF(ISNA(_xlfn.XLOOKUP(D213,'Same Seller Hist'!E:E,'Same Seller Hist'!E:E)),"Não","Sim")</f>
        <v>Não</v>
      </c>
      <c r="M213" s="21" t="str">
        <f>_xlfn.IFNA(_xlfn.XLOOKUP(D213,'Same Seller Hist'!E:E,'Same Seller Hist'!M:M),"Não Match")</f>
        <v>Não Match</v>
      </c>
    </row>
    <row r="214" spans="3:13" hidden="1" x14ac:dyDescent="0.35">
      <c r="C214" s="18">
        <v>45992</v>
      </c>
      <c r="D214" s="5">
        <v>988030305</v>
      </c>
      <c r="E214" s="5" t="s">
        <v>1463</v>
      </c>
      <c r="F214" s="5" t="s">
        <v>1734</v>
      </c>
      <c r="G214" s="5">
        <v>1</v>
      </c>
      <c r="H214" s="5">
        <v>1</v>
      </c>
      <c r="I214" s="19">
        <v>1310.258064516129</v>
      </c>
      <c r="J214" s="19">
        <v>7482.5737645036133</v>
      </c>
      <c r="K214" s="5">
        <v>207</v>
      </c>
      <c r="L214" s="21" t="str">
        <f>IF(ISNA(_xlfn.XLOOKUP(D214,'Same Seller Hist'!E:E,'Same Seller Hist'!E:E)),"Não","Sim")</f>
        <v>Não</v>
      </c>
      <c r="M214" s="21" t="str">
        <f>_xlfn.IFNA(_xlfn.XLOOKUP(D214,'Same Seller Hist'!E:E,'Same Seller Hist'!M:M),"Não Match")</f>
        <v>Não Match</v>
      </c>
    </row>
    <row r="215" spans="3:13" x14ac:dyDescent="0.35">
      <c r="C215" s="18">
        <v>45992</v>
      </c>
      <c r="D215" s="5">
        <v>681570887</v>
      </c>
      <c r="E215" s="5" t="s">
        <v>673</v>
      </c>
      <c r="F215" s="5" t="s">
        <v>906</v>
      </c>
      <c r="G215" s="5">
        <v>0</v>
      </c>
      <c r="H215" s="5">
        <v>1</v>
      </c>
      <c r="I215" s="19">
        <v>1301</v>
      </c>
      <c r="J215" s="19">
        <v>15469.540878621323</v>
      </c>
      <c r="K215" s="5">
        <v>208</v>
      </c>
      <c r="L215" s="21" t="str">
        <f>IF(ISNA(_xlfn.XLOOKUP(D215,'Same Seller Hist'!E:E,'Same Seller Hist'!E:E)),"Não","Sim")</f>
        <v>Sim</v>
      </c>
      <c r="M215" s="21" t="str">
        <f>_xlfn.IFNA(_xlfn.XLOOKUP(D215,'Same Seller Hist'!E:E,'Same Seller Hist'!M:M),"Não Match")</f>
        <v>Ativo</v>
      </c>
    </row>
    <row r="216" spans="3:13" hidden="1" x14ac:dyDescent="0.35">
      <c r="C216" s="18">
        <v>45992</v>
      </c>
      <c r="D216" s="5">
        <v>539989319</v>
      </c>
      <c r="E216" s="5" t="s">
        <v>1464</v>
      </c>
      <c r="F216" s="5" t="s">
        <v>905</v>
      </c>
      <c r="G216" s="5">
        <v>0</v>
      </c>
      <c r="H216" s="5">
        <v>1</v>
      </c>
      <c r="I216" s="19">
        <v>1291.1612903225807</v>
      </c>
      <c r="J216" s="19">
        <v>8038.4246301091289</v>
      </c>
      <c r="K216" s="5">
        <v>209</v>
      </c>
      <c r="L216" s="21" t="str">
        <f>IF(ISNA(_xlfn.XLOOKUP(D216,'Same Seller Hist'!E:E,'Same Seller Hist'!E:E)),"Não","Sim")</f>
        <v>Não</v>
      </c>
      <c r="M216" s="21" t="str">
        <f>_xlfn.IFNA(_xlfn.XLOOKUP(D216,'Same Seller Hist'!E:E,'Same Seller Hist'!M:M),"Não Match")</f>
        <v>Não Match</v>
      </c>
    </row>
    <row r="217" spans="3:13" x14ac:dyDescent="0.35">
      <c r="C217" s="18">
        <v>45992</v>
      </c>
      <c r="D217" s="5">
        <v>445163047</v>
      </c>
      <c r="E217" s="5" t="s">
        <v>1465</v>
      </c>
      <c r="F217" s="5" t="s">
        <v>905</v>
      </c>
      <c r="G217" s="5">
        <v>0</v>
      </c>
      <c r="H217" s="5">
        <v>1</v>
      </c>
      <c r="I217" s="19">
        <v>1289.516129032258</v>
      </c>
      <c r="J217" s="19">
        <v>37754.633073138713</v>
      </c>
      <c r="K217" s="5">
        <v>210</v>
      </c>
      <c r="L217" s="21" t="str">
        <f>IF(ISNA(_xlfn.XLOOKUP(D217,'Same Seller Hist'!E:E,'Same Seller Hist'!E:E)),"Não","Sim")</f>
        <v>Sim</v>
      </c>
      <c r="M217" s="21" t="str">
        <f>_xlfn.IFNA(_xlfn.XLOOKUP(D217,'Same Seller Hist'!E:E,'Same Seller Hist'!M:M),"Não Match")</f>
        <v>Ativo</v>
      </c>
    </row>
    <row r="218" spans="3:13" hidden="1" x14ac:dyDescent="0.35">
      <c r="C218" s="18">
        <v>45992</v>
      </c>
      <c r="D218" s="5">
        <v>1209041550</v>
      </c>
      <c r="E218" s="5" t="s">
        <v>1466</v>
      </c>
      <c r="F218" s="5" t="s">
        <v>904</v>
      </c>
      <c r="G218" s="5">
        <v>0</v>
      </c>
      <c r="H218" s="5">
        <v>0</v>
      </c>
      <c r="I218" s="19">
        <v>1287.1935483870934</v>
      </c>
      <c r="J218" s="19">
        <v>6466.9955766710964</v>
      </c>
      <c r="K218" s="5">
        <v>211</v>
      </c>
      <c r="L218" s="21" t="str">
        <f>IF(ISNA(_xlfn.XLOOKUP(D218,'Same Seller Hist'!E:E,'Same Seller Hist'!E:E)),"Não","Sim")</f>
        <v>Não</v>
      </c>
      <c r="M218" s="21" t="str">
        <f>_xlfn.IFNA(_xlfn.XLOOKUP(D218,'Same Seller Hist'!E:E,'Same Seller Hist'!M:M),"Não Match")</f>
        <v>Não Match</v>
      </c>
    </row>
    <row r="219" spans="3:13" hidden="1" x14ac:dyDescent="0.35">
      <c r="C219" s="18">
        <v>45992</v>
      </c>
      <c r="D219" s="5">
        <v>333705502</v>
      </c>
      <c r="E219" s="5" t="s">
        <v>1467</v>
      </c>
      <c r="F219" s="5" t="s">
        <v>905</v>
      </c>
      <c r="G219" s="5">
        <v>0</v>
      </c>
      <c r="H219" s="5">
        <v>1</v>
      </c>
      <c r="I219" s="19">
        <v>1286.4193548387098</v>
      </c>
      <c r="J219" s="19">
        <v>12588.396507974096</v>
      </c>
      <c r="K219" s="5">
        <v>212</v>
      </c>
      <c r="L219" s="21" t="str">
        <f>IF(ISNA(_xlfn.XLOOKUP(D219,'Same Seller Hist'!E:E,'Same Seller Hist'!E:E)),"Não","Sim")</f>
        <v>Não</v>
      </c>
      <c r="M219" s="21" t="str">
        <f>_xlfn.IFNA(_xlfn.XLOOKUP(D219,'Same Seller Hist'!E:E,'Same Seller Hist'!M:M),"Não Match")</f>
        <v>Não Match</v>
      </c>
    </row>
    <row r="220" spans="3:13" hidden="1" x14ac:dyDescent="0.35">
      <c r="C220" s="18">
        <v>45992</v>
      </c>
      <c r="D220" s="5">
        <v>1293262405</v>
      </c>
      <c r="E220" s="5" t="s">
        <v>1468</v>
      </c>
      <c r="F220" s="5" t="s">
        <v>1734</v>
      </c>
      <c r="G220" s="5">
        <v>1</v>
      </c>
      <c r="H220" s="5">
        <v>1</v>
      </c>
      <c r="I220" s="19">
        <v>1284.7096774193549</v>
      </c>
      <c r="J220" s="19">
        <v>7124.6017034718716</v>
      </c>
      <c r="K220" s="5">
        <v>213</v>
      </c>
      <c r="L220" s="21" t="str">
        <f>IF(ISNA(_xlfn.XLOOKUP(D220,'Same Seller Hist'!E:E,'Same Seller Hist'!E:E)),"Não","Sim")</f>
        <v>Não</v>
      </c>
      <c r="M220" s="21" t="str">
        <f>_xlfn.IFNA(_xlfn.XLOOKUP(D220,'Same Seller Hist'!E:E,'Same Seller Hist'!M:M),"Não Match")</f>
        <v>Não Match</v>
      </c>
    </row>
    <row r="221" spans="3:13" hidden="1" x14ac:dyDescent="0.35">
      <c r="C221" s="18">
        <v>45992</v>
      </c>
      <c r="D221" s="5">
        <v>1236023768</v>
      </c>
      <c r="E221" s="5" t="s">
        <v>1469</v>
      </c>
      <c r="F221" s="5" t="s">
        <v>1734</v>
      </c>
      <c r="G221" s="5">
        <v>1</v>
      </c>
      <c r="H221" s="5">
        <v>1</v>
      </c>
      <c r="I221" s="19">
        <v>1284.3225806451612</v>
      </c>
      <c r="J221" s="19">
        <v>5707.7238421251932</v>
      </c>
      <c r="K221" s="5">
        <v>214</v>
      </c>
      <c r="L221" s="21" t="str">
        <f>IF(ISNA(_xlfn.XLOOKUP(D221,'Same Seller Hist'!E:E,'Same Seller Hist'!E:E)),"Não","Sim")</f>
        <v>Não</v>
      </c>
      <c r="M221" s="21" t="str">
        <f>_xlfn.IFNA(_xlfn.XLOOKUP(D221,'Same Seller Hist'!E:E,'Same Seller Hist'!M:M),"Não Match")</f>
        <v>Não Match</v>
      </c>
    </row>
    <row r="222" spans="3:13" hidden="1" x14ac:dyDescent="0.35">
      <c r="C222" s="18">
        <v>45992</v>
      </c>
      <c r="D222" s="5">
        <v>1045150428</v>
      </c>
      <c r="E222" s="5" t="s">
        <v>1470</v>
      </c>
      <c r="F222" s="5" t="s">
        <v>1734</v>
      </c>
      <c r="G222" s="5">
        <v>1</v>
      </c>
      <c r="H222" s="5">
        <v>0</v>
      </c>
      <c r="I222" s="19">
        <v>1281.4838709677385</v>
      </c>
      <c r="J222" s="19">
        <v>5867.8218583847092</v>
      </c>
      <c r="K222" s="5">
        <v>215</v>
      </c>
      <c r="L222" s="21" t="str">
        <f>IF(ISNA(_xlfn.XLOOKUP(D222,'Same Seller Hist'!E:E,'Same Seller Hist'!E:E)),"Não","Sim")</f>
        <v>Não</v>
      </c>
      <c r="M222" s="21" t="str">
        <f>_xlfn.IFNA(_xlfn.XLOOKUP(D222,'Same Seller Hist'!E:E,'Same Seller Hist'!M:M),"Não Match")</f>
        <v>Não Match</v>
      </c>
    </row>
    <row r="223" spans="3:13" x14ac:dyDescent="0.35">
      <c r="C223" s="18">
        <v>45992</v>
      </c>
      <c r="D223" s="5">
        <v>1278493331</v>
      </c>
      <c r="E223" s="5" t="s">
        <v>1471</v>
      </c>
      <c r="F223" s="5" t="s">
        <v>1734</v>
      </c>
      <c r="G223" s="5">
        <v>1</v>
      </c>
      <c r="H223" s="5">
        <v>1</v>
      </c>
      <c r="I223" s="19">
        <v>1278.1290322580646</v>
      </c>
      <c r="J223" s="19">
        <v>6577.2764696790646</v>
      </c>
      <c r="K223" s="5">
        <v>216</v>
      </c>
      <c r="L223" s="21" t="str">
        <f>IF(ISNA(_xlfn.XLOOKUP(D223,'Same Seller Hist'!E:E,'Same Seller Hist'!E:E)),"Não","Sim")</f>
        <v>Sim</v>
      </c>
      <c r="M223" s="21" t="str">
        <f>_xlfn.IFNA(_xlfn.XLOOKUP(D223,'Same Seller Hist'!E:E,'Same Seller Hist'!M:M),"Não Match")</f>
        <v>Ativo</v>
      </c>
    </row>
    <row r="224" spans="3:13" hidden="1" x14ac:dyDescent="0.35">
      <c r="C224" s="18">
        <v>45992</v>
      </c>
      <c r="D224" s="5">
        <v>1058674242</v>
      </c>
      <c r="E224" s="5" t="s">
        <v>1472</v>
      </c>
      <c r="F224" s="5" t="s">
        <v>1734</v>
      </c>
      <c r="G224" s="5">
        <v>1</v>
      </c>
      <c r="H224" s="5">
        <v>0</v>
      </c>
      <c r="I224" s="19">
        <v>1267.741935483871</v>
      </c>
      <c r="J224" s="19">
        <v>6251.491437288968</v>
      </c>
      <c r="K224" s="5">
        <v>217</v>
      </c>
      <c r="L224" s="21" t="str">
        <f>IF(ISNA(_xlfn.XLOOKUP(D224,'Same Seller Hist'!E:E,'Same Seller Hist'!E:E)),"Não","Sim")</f>
        <v>Não</v>
      </c>
      <c r="M224" s="21" t="str">
        <f>_xlfn.IFNA(_xlfn.XLOOKUP(D224,'Same Seller Hist'!E:E,'Same Seller Hist'!M:M),"Não Match")</f>
        <v>Não Match</v>
      </c>
    </row>
    <row r="225" spans="3:13" x14ac:dyDescent="0.35">
      <c r="C225" s="18">
        <v>45992</v>
      </c>
      <c r="D225" s="5">
        <v>570502401</v>
      </c>
      <c r="E225" s="5" t="s">
        <v>1473</v>
      </c>
      <c r="F225" s="5" t="s">
        <v>903</v>
      </c>
      <c r="G225" s="5">
        <v>0</v>
      </c>
      <c r="H225" s="5">
        <v>1</v>
      </c>
      <c r="I225" s="19">
        <v>1266.516129032258</v>
      </c>
      <c r="J225" s="19">
        <v>4357.18500269171</v>
      </c>
      <c r="K225" s="5">
        <v>218</v>
      </c>
      <c r="L225" s="21" t="str">
        <f>IF(ISNA(_xlfn.XLOOKUP(D225,'Same Seller Hist'!E:E,'Same Seller Hist'!E:E)),"Não","Sim")</f>
        <v>Sim</v>
      </c>
      <c r="M225" s="21" t="str">
        <f>_xlfn.IFNA(_xlfn.XLOOKUP(D225,'Same Seller Hist'!E:E,'Same Seller Hist'!M:M),"Não Match")</f>
        <v>Ativo</v>
      </c>
    </row>
    <row r="226" spans="3:13" hidden="1" x14ac:dyDescent="0.35">
      <c r="C226" s="18">
        <v>45992</v>
      </c>
      <c r="D226" s="5">
        <v>1397809275</v>
      </c>
      <c r="E226" s="5" t="s">
        <v>1474</v>
      </c>
      <c r="F226" s="5" t="s">
        <v>1734</v>
      </c>
      <c r="G226" s="5">
        <v>1</v>
      </c>
      <c r="H226" s="5">
        <v>1</v>
      </c>
      <c r="I226" s="19">
        <v>1263.1935483870934</v>
      </c>
      <c r="J226" s="19">
        <v>10858.001493625419</v>
      </c>
      <c r="K226" s="5">
        <v>219</v>
      </c>
      <c r="L226" s="21" t="str">
        <f>IF(ISNA(_xlfn.XLOOKUP(D226,'Same Seller Hist'!E:E,'Same Seller Hist'!E:E)),"Não","Sim")</f>
        <v>Não</v>
      </c>
      <c r="M226" s="21" t="str">
        <f>_xlfn.IFNA(_xlfn.XLOOKUP(D226,'Same Seller Hist'!E:E,'Same Seller Hist'!M:M),"Não Match")</f>
        <v>Não Match</v>
      </c>
    </row>
    <row r="227" spans="3:13" hidden="1" x14ac:dyDescent="0.35">
      <c r="C227" s="18">
        <v>45992</v>
      </c>
      <c r="D227" s="5">
        <v>919254450</v>
      </c>
      <c r="E227" s="5" t="s">
        <v>1475</v>
      </c>
      <c r="F227" s="5" t="s">
        <v>1734</v>
      </c>
      <c r="G227" s="5">
        <v>1</v>
      </c>
      <c r="H227" s="5">
        <v>1</v>
      </c>
      <c r="I227" s="19">
        <v>1262.1290322580612</v>
      </c>
      <c r="J227" s="19">
        <v>19246.090480673582</v>
      </c>
      <c r="K227" s="5">
        <v>220</v>
      </c>
      <c r="L227" s="21" t="str">
        <f>IF(ISNA(_xlfn.XLOOKUP(D227,'Same Seller Hist'!E:E,'Same Seller Hist'!E:E)),"Não","Sim")</f>
        <v>Não</v>
      </c>
      <c r="M227" s="21" t="str">
        <f>_xlfn.IFNA(_xlfn.XLOOKUP(D227,'Same Seller Hist'!E:E,'Same Seller Hist'!M:M),"Não Match")</f>
        <v>Não Match</v>
      </c>
    </row>
    <row r="228" spans="3:13" hidden="1" x14ac:dyDescent="0.35">
      <c r="C228" s="18">
        <v>45992</v>
      </c>
      <c r="D228" s="5">
        <v>437927074</v>
      </c>
      <c r="E228" s="5" t="s">
        <v>1476</v>
      </c>
      <c r="F228" s="5" t="s">
        <v>903</v>
      </c>
      <c r="G228" s="5">
        <v>0</v>
      </c>
      <c r="H228" s="5">
        <v>1</v>
      </c>
      <c r="I228" s="19">
        <v>1256.6451612903227</v>
      </c>
      <c r="J228" s="19">
        <v>6853.6876451624839</v>
      </c>
      <c r="K228" s="5">
        <v>221</v>
      </c>
      <c r="L228" s="21" t="str">
        <f>IF(ISNA(_xlfn.XLOOKUP(D228,'Same Seller Hist'!E:E,'Same Seller Hist'!E:E)),"Não","Sim")</f>
        <v>Não</v>
      </c>
      <c r="M228" s="21" t="str">
        <f>_xlfn.IFNA(_xlfn.XLOOKUP(D228,'Same Seller Hist'!E:E,'Same Seller Hist'!M:M),"Não Match")</f>
        <v>Não Match</v>
      </c>
    </row>
    <row r="229" spans="3:13" hidden="1" x14ac:dyDescent="0.35">
      <c r="C229" s="18">
        <v>45992</v>
      </c>
      <c r="D229" s="5">
        <v>663271681</v>
      </c>
      <c r="E229" s="5" t="s">
        <v>1477</v>
      </c>
      <c r="F229" s="5" t="s">
        <v>1734</v>
      </c>
      <c r="G229" s="5">
        <v>1</v>
      </c>
      <c r="H229" s="5">
        <v>1</v>
      </c>
      <c r="I229" s="19">
        <v>1254.7096774193515</v>
      </c>
      <c r="J229" s="19">
        <v>9342.1383488637093</v>
      </c>
      <c r="K229" s="5">
        <v>222</v>
      </c>
      <c r="L229" s="21" t="str">
        <f>IF(ISNA(_xlfn.XLOOKUP(D229,'Same Seller Hist'!E:E,'Same Seller Hist'!E:E)),"Não","Sim")</f>
        <v>Não</v>
      </c>
      <c r="M229" s="21" t="str">
        <f>_xlfn.IFNA(_xlfn.XLOOKUP(D229,'Same Seller Hist'!E:E,'Same Seller Hist'!M:M),"Não Match")</f>
        <v>Não Match</v>
      </c>
    </row>
    <row r="230" spans="3:13" x14ac:dyDescent="0.35">
      <c r="C230" s="18">
        <v>45992</v>
      </c>
      <c r="D230" s="5">
        <v>436723291</v>
      </c>
      <c r="E230" s="5" t="s">
        <v>1478</v>
      </c>
      <c r="F230" s="5" t="s">
        <v>906</v>
      </c>
      <c r="G230" s="5">
        <v>0</v>
      </c>
      <c r="H230" s="5">
        <v>1</v>
      </c>
      <c r="I230" s="19">
        <v>1249.516129032258</v>
      </c>
      <c r="J230" s="19">
        <v>7577.0928849943866</v>
      </c>
      <c r="K230" s="5">
        <v>223</v>
      </c>
      <c r="L230" s="21" t="str">
        <f>IF(ISNA(_xlfn.XLOOKUP(D230,'Same Seller Hist'!E:E,'Same Seller Hist'!E:E)),"Não","Sim")</f>
        <v>Sim</v>
      </c>
      <c r="M230" s="21" t="str">
        <f>_xlfn.IFNA(_xlfn.XLOOKUP(D230,'Same Seller Hist'!E:E,'Same Seller Hist'!M:M),"Não Match")</f>
        <v>Ativo</v>
      </c>
    </row>
    <row r="231" spans="3:13" hidden="1" x14ac:dyDescent="0.35">
      <c r="C231" s="18">
        <v>45992</v>
      </c>
      <c r="D231" s="5">
        <v>1351555956</v>
      </c>
      <c r="E231" s="5" t="s">
        <v>1479</v>
      </c>
      <c r="F231" s="5" t="s">
        <v>905</v>
      </c>
      <c r="G231" s="5">
        <v>0</v>
      </c>
      <c r="H231" s="5">
        <v>0</v>
      </c>
      <c r="I231" s="19">
        <v>1246.0322580645129</v>
      </c>
      <c r="J231" s="19">
        <v>5177.2316429590646</v>
      </c>
      <c r="K231" s="5">
        <v>224</v>
      </c>
      <c r="L231" s="21" t="str">
        <f>IF(ISNA(_xlfn.XLOOKUP(D231,'Same Seller Hist'!E:E,'Same Seller Hist'!E:E)),"Não","Sim")</f>
        <v>Não</v>
      </c>
      <c r="M231" s="21" t="str">
        <f>_xlfn.IFNA(_xlfn.XLOOKUP(D231,'Same Seller Hist'!E:E,'Same Seller Hist'!M:M),"Não Match")</f>
        <v>Não Match</v>
      </c>
    </row>
    <row r="232" spans="3:13" hidden="1" x14ac:dyDescent="0.35">
      <c r="C232" s="18">
        <v>45992</v>
      </c>
      <c r="D232" s="5">
        <v>999239250</v>
      </c>
      <c r="E232" s="5" t="s">
        <v>1480</v>
      </c>
      <c r="F232" s="5" t="s">
        <v>906</v>
      </c>
      <c r="G232" s="5">
        <v>0</v>
      </c>
      <c r="H232" s="5">
        <v>1</v>
      </c>
      <c r="I232" s="19">
        <v>1245.0322580645161</v>
      </c>
      <c r="J232" s="19">
        <v>5420.5973943294512</v>
      </c>
      <c r="K232" s="5">
        <v>225</v>
      </c>
      <c r="L232" s="21" t="str">
        <f>IF(ISNA(_xlfn.XLOOKUP(D232,'Same Seller Hist'!E:E,'Same Seller Hist'!E:E)),"Não","Sim")</f>
        <v>Não</v>
      </c>
      <c r="M232" s="21" t="str">
        <f>_xlfn.IFNA(_xlfn.XLOOKUP(D232,'Same Seller Hist'!E:E,'Same Seller Hist'!M:M),"Não Match")</f>
        <v>Não Match</v>
      </c>
    </row>
    <row r="233" spans="3:13" x14ac:dyDescent="0.35">
      <c r="C233" s="18">
        <v>45992</v>
      </c>
      <c r="D233" s="5">
        <v>376022922</v>
      </c>
      <c r="E233" s="5" t="s">
        <v>1481</v>
      </c>
      <c r="F233" s="5" t="s">
        <v>1734</v>
      </c>
      <c r="G233" s="5">
        <v>1</v>
      </c>
      <c r="H233" s="5">
        <v>0</v>
      </c>
      <c r="I233" s="19">
        <v>1240.8387096774193</v>
      </c>
      <c r="J233" s="19">
        <v>7320.8880750954841</v>
      </c>
      <c r="K233" s="5">
        <v>226</v>
      </c>
      <c r="L233" s="21" t="str">
        <f>IF(ISNA(_xlfn.XLOOKUP(D233,'Same Seller Hist'!E:E,'Same Seller Hist'!E:E)),"Não","Sim")</f>
        <v>Sim</v>
      </c>
      <c r="M233" s="21" t="str">
        <f>_xlfn.IFNA(_xlfn.XLOOKUP(D233,'Same Seller Hist'!E:E,'Same Seller Hist'!M:M),"Não Match")</f>
        <v>Ativo</v>
      </c>
    </row>
    <row r="234" spans="3:13" hidden="1" x14ac:dyDescent="0.35">
      <c r="C234" s="18">
        <v>45992</v>
      </c>
      <c r="D234" s="5">
        <v>388739239</v>
      </c>
      <c r="E234" s="5" t="s">
        <v>1482</v>
      </c>
      <c r="F234" s="5" t="s">
        <v>906</v>
      </c>
      <c r="G234" s="5">
        <v>0</v>
      </c>
      <c r="H234" s="5">
        <v>1</v>
      </c>
      <c r="I234" s="19">
        <v>1236.1935483870968</v>
      </c>
      <c r="J234" s="19">
        <v>7307.8260277536774</v>
      </c>
      <c r="K234" s="5">
        <v>227</v>
      </c>
      <c r="L234" s="21" t="str">
        <f>IF(ISNA(_xlfn.XLOOKUP(D234,'Same Seller Hist'!E:E,'Same Seller Hist'!E:E)),"Não","Sim")</f>
        <v>Não</v>
      </c>
      <c r="M234" s="21" t="str">
        <f>_xlfn.IFNA(_xlfn.XLOOKUP(D234,'Same Seller Hist'!E:E,'Same Seller Hist'!M:M),"Não Match")</f>
        <v>Não Match</v>
      </c>
    </row>
    <row r="235" spans="3:13" hidden="1" x14ac:dyDescent="0.35">
      <c r="C235" s="18">
        <v>45992</v>
      </c>
      <c r="D235" s="5">
        <v>1314243679</v>
      </c>
      <c r="E235" s="5" t="s">
        <v>1483</v>
      </c>
      <c r="F235" s="5" t="s">
        <v>905</v>
      </c>
      <c r="G235" s="5">
        <v>0</v>
      </c>
      <c r="H235" s="5">
        <v>1</v>
      </c>
      <c r="I235" s="19">
        <v>1235.1612903225773</v>
      </c>
      <c r="J235" s="19">
        <v>22386.908610433195</v>
      </c>
      <c r="K235" s="5">
        <v>228</v>
      </c>
      <c r="L235" s="21" t="str">
        <f>IF(ISNA(_xlfn.XLOOKUP(D235,'Same Seller Hist'!E:E,'Same Seller Hist'!E:E)),"Não","Sim")</f>
        <v>Não</v>
      </c>
      <c r="M235" s="21" t="str">
        <f>_xlfn.IFNA(_xlfn.XLOOKUP(D235,'Same Seller Hist'!E:E,'Same Seller Hist'!M:M),"Não Match")</f>
        <v>Não Match</v>
      </c>
    </row>
    <row r="236" spans="3:13" hidden="1" x14ac:dyDescent="0.35">
      <c r="C236" s="18">
        <v>45992</v>
      </c>
      <c r="D236" s="5">
        <v>1107305320</v>
      </c>
      <c r="E236" s="5" t="s">
        <v>1484</v>
      </c>
      <c r="F236" s="5" t="s">
        <v>907</v>
      </c>
      <c r="G236" s="5">
        <v>0</v>
      </c>
      <c r="H236" s="5">
        <v>0</v>
      </c>
      <c r="I236" s="19">
        <v>1233.2580645161258</v>
      </c>
      <c r="J236" s="19">
        <v>6101.9978918125489</v>
      </c>
      <c r="K236" s="5">
        <v>229</v>
      </c>
      <c r="L236" s="21" t="str">
        <f>IF(ISNA(_xlfn.XLOOKUP(D236,'Same Seller Hist'!E:E,'Same Seller Hist'!E:E)),"Não","Sim")</f>
        <v>Não</v>
      </c>
      <c r="M236" s="21" t="str">
        <f>_xlfn.IFNA(_xlfn.XLOOKUP(D236,'Same Seller Hist'!E:E,'Same Seller Hist'!M:M),"Não Match")</f>
        <v>Não Match</v>
      </c>
    </row>
    <row r="237" spans="3:13" hidden="1" x14ac:dyDescent="0.35">
      <c r="C237" s="18">
        <v>45992</v>
      </c>
      <c r="D237" s="5">
        <v>1535794969</v>
      </c>
      <c r="E237" s="5" t="s">
        <v>1485</v>
      </c>
      <c r="F237" s="5" t="s">
        <v>1734</v>
      </c>
      <c r="G237" s="5">
        <v>1</v>
      </c>
      <c r="H237" s="5">
        <v>0</v>
      </c>
      <c r="I237" s="19">
        <v>1230.516129032258</v>
      </c>
      <c r="J237" s="19">
        <v>6147.8127243475801</v>
      </c>
      <c r="K237" s="5">
        <v>230</v>
      </c>
      <c r="L237" s="21" t="str">
        <f>IF(ISNA(_xlfn.XLOOKUP(D237,'Same Seller Hist'!E:E,'Same Seller Hist'!E:E)),"Não","Sim")</f>
        <v>Não</v>
      </c>
      <c r="M237" s="21" t="str">
        <f>_xlfn.IFNA(_xlfn.XLOOKUP(D237,'Same Seller Hist'!E:E,'Same Seller Hist'!M:M),"Não Match")</f>
        <v>Não Match</v>
      </c>
    </row>
    <row r="238" spans="3:13" hidden="1" x14ac:dyDescent="0.35">
      <c r="C238" s="18">
        <v>45992</v>
      </c>
      <c r="D238" s="5">
        <v>1042165059</v>
      </c>
      <c r="E238" s="5" t="s">
        <v>1486</v>
      </c>
      <c r="F238" s="5" t="s">
        <v>1734</v>
      </c>
      <c r="G238" s="5">
        <v>1</v>
      </c>
      <c r="H238" s="5">
        <v>0</v>
      </c>
      <c r="I238" s="19">
        <v>1223.4516129032224</v>
      </c>
      <c r="J238" s="19">
        <v>5789.3344949704833</v>
      </c>
      <c r="K238" s="5">
        <v>231</v>
      </c>
      <c r="L238" s="21" t="str">
        <f>IF(ISNA(_xlfn.XLOOKUP(D238,'Same Seller Hist'!E:E,'Same Seller Hist'!E:E)),"Não","Sim")</f>
        <v>Não</v>
      </c>
      <c r="M238" s="21" t="str">
        <f>_xlfn.IFNA(_xlfn.XLOOKUP(D238,'Same Seller Hist'!E:E,'Same Seller Hist'!M:M),"Não Match")</f>
        <v>Não Match</v>
      </c>
    </row>
    <row r="239" spans="3:13" hidden="1" x14ac:dyDescent="0.35">
      <c r="C239" s="18">
        <v>45992</v>
      </c>
      <c r="D239" s="5">
        <v>940004750</v>
      </c>
      <c r="E239" s="5" t="s">
        <v>1487</v>
      </c>
      <c r="F239" s="5" t="s">
        <v>903</v>
      </c>
      <c r="G239" s="5">
        <v>0</v>
      </c>
      <c r="H239" s="5">
        <v>1</v>
      </c>
      <c r="I239" s="19">
        <v>1219.1935483870968</v>
      </c>
      <c r="J239" s="19">
        <v>7338.5430533789677</v>
      </c>
      <c r="K239" s="5">
        <v>232</v>
      </c>
      <c r="L239" s="21" t="str">
        <f>IF(ISNA(_xlfn.XLOOKUP(D239,'Same Seller Hist'!E:E,'Same Seller Hist'!E:E)),"Não","Sim")</f>
        <v>Não</v>
      </c>
      <c r="M239" s="21" t="str">
        <f>_xlfn.IFNA(_xlfn.XLOOKUP(D239,'Same Seller Hist'!E:E,'Same Seller Hist'!M:M),"Não Match")</f>
        <v>Não Match</v>
      </c>
    </row>
    <row r="240" spans="3:13" hidden="1" x14ac:dyDescent="0.35">
      <c r="C240" s="18">
        <v>45992</v>
      </c>
      <c r="D240" s="5">
        <v>311485828</v>
      </c>
      <c r="E240" s="5" t="s">
        <v>1488</v>
      </c>
      <c r="F240" s="5" t="s">
        <v>905</v>
      </c>
      <c r="G240" s="5">
        <v>0</v>
      </c>
      <c r="H240" s="5">
        <v>1</v>
      </c>
      <c r="I240" s="19">
        <v>1217.064516129029</v>
      </c>
      <c r="J240" s="19">
        <v>12123.632807734903</v>
      </c>
      <c r="K240" s="5">
        <v>233</v>
      </c>
      <c r="L240" s="21" t="str">
        <f>IF(ISNA(_xlfn.XLOOKUP(D240,'Same Seller Hist'!E:E,'Same Seller Hist'!E:E)),"Não","Sim")</f>
        <v>Não</v>
      </c>
      <c r="M240" s="21" t="str">
        <f>_xlfn.IFNA(_xlfn.XLOOKUP(D240,'Same Seller Hist'!E:E,'Same Seller Hist'!M:M),"Não Match")</f>
        <v>Não Match</v>
      </c>
    </row>
    <row r="241" spans="3:13" hidden="1" x14ac:dyDescent="0.35">
      <c r="C241" s="18">
        <v>45992</v>
      </c>
      <c r="D241" s="5">
        <v>1311644435</v>
      </c>
      <c r="E241" s="5" t="s">
        <v>1489</v>
      </c>
      <c r="F241" s="5" t="s">
        <v>905</v>
      </c>
      <c r="G241" s="5">
        <v>0</v>
      </c>
      <c r="H241" s="5">
        <v>1</v>
      </c>
      <c r="I241" s="19">
        <v>1211.4193548387098</v>
      </c>
      <c r="J241" s="19">
        <v>6231.2019253778062</v>
      </c>
      <c r="K241" s="5">
        <v>234</v>
      </c>
      <c r="L241" s="21" t="str">
        <f>IF(ISNA(_xlfn.XLOOKUP(D241,'Same Seller Hist'!E:E,'Same Seller Hist'!E:E)),"Não","Sim")</f>
        <v>Não</v>
      </c>
      <c r="M241" s="21" t="str">
        <f>_xlfn.IFNA(_xlfn.XLOOKUP(D241,'Same Seller Hist'!E:E,'Same Seller Hist'!M:M),"Não Match")</f>
        <v>Não Match</v>
      </c>
    </row>
    <row r="242" spans="3:13" hidden="1" x14ac:dyDescent="0.35">
      <c r="C242" s="18">
        <v>45992</v>
      </c>
      <c r="D242" s="5">
        <v>387937307</v>
      </c>
      <c r="E242" s="5" t="s">
        <v>1490</v>
      </c>
      <c r="F242" s="5" t="s">
        <v>907</v>
      </c>
      <c r="G242" s="5">
        <v>0</v>
      </c>
      <c r="H242" s="5">
        <v>1</v>
      </c>
      <c r="I242" s="19">
        <v>1208.8064516129032</v>
      </c>
      <c r="J242" s="19">
        <v>11822.283818793419</v>
      </c>
      <c r="K242" s="5">
        <v>235</v>
      </c>
      <c r="L242" s="21" t="str">
        <f>IF(ISNA(_xlfn.XLOOKUP(D242,'Same Seller Hist'!E:E,'Same Seller Hist'!E:E)),"Não","Sim")</f>
        <v>Não</v>
      </c>
      <c r="M242" s="21" t="str">
        <f>_xlfn.IFNA(_xlfn.XLOOKUP(D242,'Same Seller Hist'!E:E,'Same Seller Hist'!M:M),"Não Match")</f>
        <v>Não Match</v>
      </c>
    </row>
    <row r="243" spans="3:13" hidden="1" x14ac:dyDescent="0.35">
      <c r="C243" s="18">
        <v>45992</v>
      </c>
      <c r="D243" s="5">
        <v>855489892</v>
      </c>
      <c r="E243" s="5" t="s">
        <v>1491</v>
      </c>
      <c r="F243" s="5" t="s">
        <v>905</v>
      </c>
      <c r="G243" s="5">
        <v>0</v>
      </c>
      <c r="H243" s="5">
        <v>1</v>
      </c>
      <c r="I243" s="19">
        <v>1205.6129032258063</v>
      </c>
      <c r="J243" s="19">
        <v>141086.70848686033</v>
      </c>
      <c r="K243" s="5">
        <v>236</v>
      </c>
      <c r="L243" s="21" t="str">
        <f>IF(ISNA(_xlfn.XLOOKUP(D243,'Same Seller Hist'!E:E,'Same Seller Hist'!E:E)),"Não","Sim")</f>
        <v>Não</v>
      </c>
      <c r="M243" s="21" t="str">
        <f>_xlfn.IFNA(_xlfn.XLOOKUP(D243,'Same Seller Hist'!E:E,'Same Seller Hist'!M:M),"Não Match")</f>
        <v>Não Match</v>
      </c>
    </row>
    <row r="244" spans="3:13" hidden="1" x14ac:dyDescent="0.35">
      <c r="C244" s="18">
        <v>45992</v>
      </c>
      <c r="D244" s="5">
        <v>322874822</v>
      </c>
      <c r="E244" s="5" t="s">
        <v>1492</v>
      </c>
      <c r="F244" s="5" t="s">
        <v>903</v>
      </c>
      <c r="G244" s="5">
        <v>0</v>
      </c>
      <c r="H244" s="5">
        <v>1</v>
      </c>
      <c r="I244" s="19">
        <v>1204.5161290322549</v>
      </c>
      <c r="J244" s="19">
        <v>4709.447019670838</v>
      </c>
      <c r="K244" s="5">
        <v>237</v>
      </c>
      <c r="L244" s="21" t="str">
        <f>IF(ISNA(_xlfn.XLOOKUP(D244,'Same Seller Hist'!E:E,'Same Seller Hist'!E:E)),"Não","Sim")</f>
        <v>Não</v>
      </c>
      <c r="M244" s="21" t="str">
        <f>_xlfn.IFNA(_xlfn.XLOOKUP(D244,'Same Seller Hist'!E:E,'Same Seller Hist'!M:M),"Não Match")</f>
        <v>Não Match</v>
      </c>
    </row>
    <row r="245" spans="3:13" x14ac:dyDescent="0.35">
      <c r="C245" s="18">
        <v>45992</v>
      </c>
      <c r="D245" s="5">
        <v>502619181</v>
      </c>
      <c r="E245" s="5" t="s">
        <v>1493</v>
      </c>
      <c r="F245" s="5" t="s">
        <v>906</v>
      </c>
      <c r="G245" s="5">
        <v>0</v>
      </c>
      <c r="H245" s="5">
        <v>1</v>
      </c>
      <c r="I245" s="19">
        <v>1200.4516129032259</v>
      </c>
      <c r="J245" s="19">
        <v>7160.8560336411283</v>
      </c>
      <c r="K245" s="5">
        <v>238</v>
      </c>
      <c r="L245" s="21" t="str">
        <f>IF(ISNA(_xlfn.XLOOKUP(D245,'Same Seller Hist'!E:E,'Same Seller Hist'!E:E)),"Não","Sim")</f>
        <v>Sim</v>
      </c>
      <c r="M245" s="21" t="str">
        <f>_xlfn.IFNA(_xlfn.XLOOKUP(D245,'Same Seller Hist'!E:E,'Same Seller Hist'!M:M),"Não Match")</f>
        <v>Ativo</v>
      </c>
    </row>
    <row r="246" spans="3:13" hidden="1" x14ac:dyDescent="0.35">
      <c r="C246" s="18">
        <v>45992</v>
      </c>
      <c r="D246" s="5">
        <v>437985893</v>
      </c>
      <c r="E246" s="5" t="s">
        <v>1494</v>
      </c>
      <c r="F246" s="5" t="s">
        <v>1734</v>
      </c>
      <c r="G246" s="5">
        <v>1</v>
      </c>
      <c r="H246" s="5">
        <v>0</v>
      </c>
      <c r="I246" s="19">
        <v>1197.9354838709678</v>
      </c>
      <c r="J246" s="19">
        <v>3722.5617263556451</v>
      </c>
      <c r="K246" s="5">
        <v>239</v>
      </c>
      <c r="L246" s="21" t="str">
        <f>IF(ISNA(_xlfn.XLOOKUP(D246,'Same Seller Hist'!E:E,'Same Seller Hist'!E:E)),"Não","Sim")</f>
        <v>Não</v>
      </c>
      <c r="M246" s="21" t="str">
        <f>_xlfn.IFNA(_xlfn.XLOOKUP(D246,'Same Seller Hist'!E:E,'Same Seller Hist'!M:M),"Não Match")</f>
        <v>Não Match</v>
      </c>
    </row>
    <row r="247" spans="3:13" hidden="1" x14ac:dyDescent="0.35">
      <c r="C247" s="18">
        <v>45992</v>
      </c>
      <c r="D247" s="5">
        <v>1259153662</v>
      </c>
      <c r="E247" s="5" t="s">
        <v>1495</v>
      </c>
      <c r="F247" s="5" t="s">
        <v>906</v>
      </c>
      <c r="G247" s="5">
        <v>0</v>
      </c>
      <c r="H247" s="5">
        <v>0</v>
      </c>
      <c r="I247" s="19">
        <v>1197.0967741935451</v>
      </c>
      <c r="J247" s="19">
        <v>9379.3936885260318</v>
      </c>
      <c r="K247" s="5">
        <v>240</v>
      </c>
      <c r="L247" s="21" t="str">
        <f>IF(ISNA(_xlfn.XLOOKUP(D247,'Same Seller Hist'!E:E,'Same Seller Hist'!E:E)),"Não","Sim")</f>
        <v>Não</v>
      </c>
      <c r="M247" s="21" t="str">
        <f>_xlfn.IFNA(_xlfn.XLOOKUP(D247,'Same Seller Hist'!E:E,'Same Seller Hist'!M:M),"Não Match")</f>
        <v>Não Match</v>
      </c>
    </row>
    <row r="248" spans="3:13" hidden="1" x14ac:dyDescent="0.35">
      <c r="C248" s="18">
        <v>45992</v>
      </c>
      <c r="D248" s="5">
        <v>1024858829</v>
      </c>
      <c r="E248" s="5" t="s">
        <v>1496</v>
      </c>
      <c r="F248" s="5" t="s">
        <v>1734</v>
      </c>
      <c r="G248" s="5">
        <v>1</v>
      </c>
      <c r="H248" s="5">
        <v>0</v>
      </c>
      <c r="I248" s="19">
        <v>1194.064516129029</v>
      </c>
      <c r="J248" s="19">
        <v>4389.3898656144838</v>
      </c>
      <c r="K248" s="5">
        <v>241</v>
      </c>
      <c r="L248" s="21" t="str">
        <f>IF(ISNA(_xlfn.XLOOKUP(D248,'Same Seller Hist'!E:E,'Same Seller Hist'!E:E)),"Não","Sim")</f>
        <v>Não</v>
      </c>
      <c r="M248" s="21" t="str">
        <f>_xlfn.IFNA(_xlfn.XLOOKUP(D248,'Same Seller Hist'!E:E,'Same Seller Hist'!M:M),"Não Match")</f>
        <v>Não Match</v>
      </c>
    </row>
    <row r="249" spans="3:13" hidden="1" x14ac:dyDescent="0.35">
      <c r="C249" s="18">
        <v>45992</v>
      </c>
      <c r="D249" s="5">
        <v>1593878986</v>
      </c>
      <c r="E249" s="5" t="s">
        <v>1497</v>
      </c>
      <c r="F249" s="5" t="s">
        <v>1734</v>
      </c>
      <c r="G249" s="5">
        <v>1</v>
      </c>
      <c r="H249" s="5">
        <v>1</v>
      </c>
      <c r="I249" s="19">
        <v>1190.7741935483871</v>
      </c>
      <c r="J249" s="19">
        <v>11211.338448039356</v>
      </c>
      <c r="K249" s="5">
        <v>242</v>
      </c>
      <c r="L249" s="21" t="str">
        <f>IF(ISNA(_xlfn.XLOOKUP(D249,'Same Seller Hist'!E:E,'Same Seller Hist'!E:E)),"Não","Sim")</f>
        <v>Não</v>
      </c>
      <c r="M249" s="21" t="str">
        <f>_xlfn.IFNA(_xlfn.XLOOKUP(D249,'Same Seller Hist'!E:E,'Same Seller Hist'!M:M),"Não Match")</f>
        <v>Não Match</v>
      </c>
    </row>
    <row r="250" spans="3:13" hidden="1" x14ac:dyDescent="0.35">
      <c r="C250" s="18">
        <v>45992</v>
      </c>
      <c r="D250" s="5">
        <v>822103155</v>
      </c>
      <c r="E250" s="5" t="s">
        <v>1498</v>
      </c>
      <c r="F250" s="5" t="s">
        <v>905</v>
      </c>
      <c r="G250" s="5">
        <v>0</v>
      </c>
      <c r="H250" s="5">
        <v>1</v>
      </c>
      <c r="I250" s="19">
        <v>1188.8387096774193</v>
      </c>
      <c r="J250" s="19">
        <v>54138.688318452259</v>
      </c>
      <c r="K250" s="5">
        <v>243</v>
      </c>
      <c r="L250" s="21" t="str">
        <f>IF(ISNA(_xlfn.XLOOKUP(D250,'Same Seller Hist'!E:E,'Same Seller Hist'!E:E)),"Não","Sim")</f>
        <v>Não</v>
      </c>
      <c r="M250" s="21" t="str">
        <f>_xlfn.IFNA(_xlfn.XLOOKUP(D250,'Same Seller Hist'!E:E,'Same Seller Hist'!M:M),"Não Match")</f>
        <v>Não Match</v>
      </c>
    </row>
    <row r="251" spans="3:13" x14ac:dyDescent="0.35">
      <c r="C251" s="18">
        <v>45992</v>
      </c>
      <c r="D251" s="5">
        <v>298953477</v>
      </c>
      <c r="E251" s="5" t="s">
        <v>1499</v>
      </c>
      <c r="F251" s="5" t="s">
        <v>906</v>
      </c>
      <c r="G251" s="5">
        <v>0</v>
      </c>
      <c r="H251" s="5">
        <v>0</v>
      </c>
      <c r="I251" s="19">
        <v>1182.2258064516095</v>
      </c>
      <c r="J251" s="19">
        <v>7398.5789810304514</v>
      </c>
      <c r="K251" s="5">
        <v>244</v>
      </c>
      <c r="L251" s="21" t="str">
        <f>IF(ISNA(_xlfn.XLOOKUP(D251,'Same Seller Hist'!E:E,'Same Seller Hist'!E:E)),"Não","Sim")</f>
        <v>Sim</v>
      </c>
      <c r="M251" s="21" t="str">
        <f>_xlfn.IFNA(_xlfn.XLOOKUP(D251,'Same Seller Hist'!E:E,'Same Seller Hist'!M:M),"Não Match")</f>
        <v>Ativo</v>
      </c>
    </row>
    <row r="252" spans="3:13" x14ac:dyDescent="0.35">
      <c r="C252" s="18">
        <v>45992</v>
      </c>
      <c r="D252" s="5">
        <v>1165620003</v>
      </c>
      <c r="E252" s="5" t="s">
        <v>1500</v>
      </c>
      <c r="F252" s="5" t="s">
        <v>904</v>
      </c>
      <c r="G252" s="5">
        <v>0</v>
      </c>
      <c r="H252" s="5">
        <v>0</v>
      </c>
      <c r="I252" s="19">
        <v>1178.4516129032224</v>
      </c>
      <c r="J252" s="19">
        <v>6066.472176553968</v>
      </c>
      <c r="K252" s="5">
        <v>245</v>
      </c>
      <c r="L252" s="21" t="str">
        <f>IF(ISNA(_xlfn.XLOOKUP(D252,'Same Seller Hist'!E:E,'Same Seller Hist'!E:E)),"Não","Sim")</f>
        <v>Sim</v>
      </c>
      <c r="M252" s="21" t="str">
        <f>_xlfn.IFNA(_xlfn.XLOOKUP(D252,'Same Seller Hist'!E:E,'Same Seller Hist'!M:M),"Não Match")</f>
        <v>Ativo</v>
      </c>
    </row>
    <row r="253" spans="3:13" hidden="1" x14ac:dyDescent="0.35">
      <c r="C253" s="18">
        <v>45992</v>
      </c>
      <c r="D253" s="5">
        <v>1221820593</v>
      </c>
      <c r="E253" s="5" t="s">
        <v>1501</v>
      </c>
      <c r="F253" s="5" t="s">
        <v>1734</v>
      </c>
      <c r="G253" s="5">
        <v>1</v>
      </c>
      <c r="H253" s="5">
        <v>1</v>
      </c>
      <c r="I253" s="19">
        <v>1175.2903225806419</v>
      </c>
      <c r="J253" s="19">
        <v>11089.901848168871</v>
      </c>
      <c r="K253" s="5">
        <v>246</v>
      </c>
      <c r="L253" s="21" t="str">
        <f>IF(ISNA(_xlfn.XLOOKUP(D253,'Same Seller Hist'!E:E,'Same Seller Hist'!E:E)),"Não","Sim")</f>
        <v>Não</v>
      </c>
      <c r="M253" s="21" t="str">
        <f>_xlfn.IFNA(_xlfn.XLOOKUP(D253,'Same Seller Hist'!E:E,'Same Seller Hist'!M:M),"Não Match")</f>
        <v>Não Match</v>
      </c>
    </row>
    <row r="254" spans="3:13" hidden="1" x14ac:dyDescent="0.35">
      <c r="C254" s="18">
        <v>45992</v>
      </c>
      <c r="D254" s="5">
        <v>829646892</v>
      </c>
      <c r="E254" s="5" t="s">
        <v>1502</v>
      </c>
      <c r="F254" s="5" t="s">
        <v>906</v>
      </c>
      <c r="G254" s="5">
        <v>0</v>
      </c>
      <c r="H254" s="5">
        <v>1</v>
      </c>
      <c r="I254" s="19">
        <v>1174.7741935483871</v>
      </c>
      <c r="J254" s="19">
        <v>7981.2063990149354</v>
      </c>
      <c r="K254" s="5">
        <v>247</v>
      </c>
      <c r="L254" s="21" t="str">
        <f>IF(ISNA(_xlfn.XLOOKUP(D254,'Same Seller Hist'!E:E,'Same Seller Hist'!E:E)),"Não","Sim")</f>
        <v>Não</v>
      </c>
      <c r="M254" s="21" t="str">
        <f>_xlfn.IFNA(_xlfn.XLOOKUP(D254,'Same Seller Hist'!E:E,'Same Seller Hist'!M:M),"Não Match")</f>
        <v>Não Match</v>
      </c>
    </row>
    <row r="255" spans="3:13" x14ac:dyDescent="0.35">
      <c r="C255" s="18">
        <v>45992</v>
      </c>
      <c r="D255" s="5">
        <v>352674932</v>
      </c>
      <c r="E255" s="5" t="s">
        <v>460</v>
      </c>
      <c r="F255" s="5" t="s">
        <v>1734</v>
      </c>
      <c r="G255" s="5">
        <v>1</v>
      </c>
      <c r="H255" s="5">
        <v>1</v>
      </c>
      <c r="I255" s="19">
        <v>1174.6451612903227</v>
      </c>
      <c r="J255" s="19">
        <v>6858.6247898428064</v>
      </c>
      <c r="K255" s="5">
        <v>248</v>
      </c>
      <c r="L255" s="21" t="str">
        <f>IF(ISNA(_xlfn.XLOOKUP(D255,'Same Seller Hist'!E:E,'Same Seller Hist'!E:E)),"Não","Sim")</f>
        <v>Sim</v>
      </c>
      <c r="M255" s="21" t="str">
        <f>_xlfn.IFNA(_xlfn.XLOOKUP(D255,'Same Seller Hist'!E:E,'Same Seller Hist'!M:M),"Não Match")</f>
        <v>Ativo</v>
      </c>
    </row>
    <row r="256" spans="3:13" hidden="1" x14ac:dyDescent="0.35">
      <c r="C256" s="18">
        <v>45992</v>
      </c>
      <c r="D256" s="5">
        <v>1232066422</v>
      </c>
      <c r="E256" s="5" t="s">
        <v>1503</v>
      </c>
      <c r="F256" s="5" t="s">
        <v>1734</v>
      </c>
      <c r="G256" s="5">
        <v>1</v>
      </c>
      <c r="H256" s="5">
        <v>1</v>
      </c>
      <c r="I256" s="19">
        <v>1173.9677419354805</v>
      </c>
      <c r="J256" s="19">
        <v>5125.5442695437423</v>
      </c>
      <c r="K256" s="5">
        <v>249</v>
      </c>
      <c r="L256" s="21" t="str">
        <f>IF(ISNA(_xlfn.XLOOKUP(D256,'Same Seller Hist'!E:E,'Same Seller Hist'!E:E)),"Não","Sim")</f>
        <v>Não</v>
      </c>
      <c r="M256" s="21" t="str">
        <f>_xlfn.IFNA(_xlfn.XLOOKUP(D256,'Same Seller Hist'!E:E,'Same Seller Hist'!M:M),"Não Match")</f>
        <v>Não Match</v>
      </c>
    </row>
    <row r="257" spans="3:13" hidden="1" x14ac:dyDescent="0.35">
      <c r="C257" s="18">
        <v>45992</v>
      </c>
      <c r="D257" s="5">
        <v>683941545</v>
      </c>
      <c r="E257" s="5" t="s">
        <v>1504</v>
      </c>
      <c r="F257" s="5" t="s">
        <v>906</v>
      </c>
      <c r="G257" s="5">
        <v>0</v>
      </c>
      <c r="H257" s="5">
        <v>1</v>
      </c>
      <c r="I257" s="19">
        <v>1172.9354838709644</v>
      </c>
      <c r="J257" s="19">
        <v>15947.750726099548</v>
      </c>
      <c r="K257" s="5">
        <v>250</v>
      </c>
      <c r="L257" s="21" t="str">
        <f>IF(ISNA(_xlfn.XLOOKUP(D257,'Same Seller Hist'!E:E,'Same Seller Hist'!E:E)),"Não","Sim")</f>
        <v>Não</v>
      </c>
      <c r="M257" s="21" t="str">
        <f>_xlfn.IFNA(_xlfn.XLOOKUP(D257,'Same Seller Hist'!E:E,'Same Seller Hist'!M:M),"Não Match")</f>
        <v>Não Match</v>
      </c>
    </row>
    <row r="258" spans="3:13" x14ac:dyDescent="0.35">
      <c r="C258" s="18">
        <v>45992</v>
      </c>
      <c r="D258" s="5">
        <v>1541927562</v>
      </c>
      <c r="E258" s="5" t="s">
        <v>1505</v>
      </c>
      <c r="F258" s="5" t="s">
        <v>905</v>
      </c>
      <c r="G258" s="5">
        <v>0</v>
      </c>
      <c r="H258" s="5">
        <v>0</v>
      </c>
      <c r="I258" s="19">
        <v>1172.3225806451612</v>
      </c>
      <c r="J258" s="19">
        <v>5011.8846230191939</v>
      </c>
      <c r="K258" s="5">
        <v>251</v>
      </c>
      <c r="L258" s="21" t="str">
        <f>IF(ISNA(_xlfn.XLOOKUP(D258,'Same Seller Hist'!E:E,'Same Seller Hist'!E:E)),"Não","Sim")</f>
        <v>Sim</v>
      </c>
      <c r="M258" s="21" t="str">
        <f>_xlfn.IFNA(_xlfn.XLOOKUP(D258,'Same Seller Hist'!E:E,'Same Seller Hist'!M:M),"Não Match")</f>
        <v>Ativo</v>
      </c>
    </row>
    <row r="259" spans="3:13" hidden="1" x14ac:dyDescent="0.35">
      <c r="C259" s="18">
        <v>45992</v>
      </c>
      <c r="D259" s="5">
        <v>1501374495</v>
      </c>
      <c r="E259" s="5" t="s">
        <v>1506</v>
      </c>
      <c r="F259" s="5" t="s">
        <v>1734</v>
      </c>
      <c r="G259" s="5">
        <v>1</v>
      </c>
      <c r="H259" s="5">
        <v>0</v>
      </c>
      <c r="I259" s="19">
        <v>1168.4516129032259</v>
      </c>
      <c r="J259" s="19">
        <v>14135.925088769483</v>
      </c>
      <c r="K259" s="5">
        <v>252</v>
      </c>
      <c r="L259" s="21" t="str">
        <f>IF(ISNA(_xlfn.XLOOKUP(D259,'Same Seller Hist'!E:E,'Same Seller Hist'!E:E)),"Não","Sim")</f>
        <v>Não</v>
      </c>
      <c r="M259" s="21" t="str">
        <f>_xlfn.IFNA(_xlfn.XLOOKUP(D259,'Same Seller Hist'!E:E,'Same Seller Hist'!M:M),"Não Match")</f>
        <v>Não Match</v>
      </c>
    </row>
    <row r="260" spans="3:13" hidden="1" x14ac:dyDescent="0.35">
      <c r="C260" s="18">
        <v>45992</v>
      </c>
      <c r="D260" s="5">
        <v>1467162087</v>
      </c>
      <c r="E260" s="5" t="s">
        <v>1507</v>
      </c>
      <c r="F260" s="5" t="s">
        <v>906</v>
      </c>
      <c r="G260" s="5">
        <v>0</v>
      </c>
      <c r="H260" s="5">
        <v>0</v>
      </c>
      <c r="I260" s="19">
        <v>1168</v>
      </c>
      <c r="J260" s="19">
        <v>4365.2517631832579</v>
      </c>
      <c r="K260" s="5">
        <v>253</v>
      </c>
      <c r="L260" s="21" t="str">
        <f>IF(ISNA(_xlfn.XLOOKUP(D260,'Same Seller Hist'!E:E,'Same Seller Hist'!E:E)),"Não","Sim")</f>
        <v>Não</v>
      </c>
      <c r="M260" s="21" t="str">
        <f>_xlfn.IFNA(_xlfn.XLOOKUP(D260,'Same Seller Hist'!E:E,'Same Seller Hist'!M:M),"Não Match")</f>
        <v>Não Match</v>
      </c>
    </row>
    <row r="261" spans="3:13" hidden="1" x14ac:dyDescent="0.35">
      <c r="C261" s="18">
        <v>45992</v>
      </c>
      <c r="D261" s="5">
        <v>768604265</v>
      </c>
      <c r="E261" s="5" t="s">
        <v>1508</v>
      </c>
      <c r="F261" s="5" t="s">
        <v>906</v>
      </c>
      <c r="G261" s="5">
        <v>0</v>
      </c>
      <c r="H261" s="5">
        <v>0</v>
      </c>
      <c r="I261" s="19">
        <v>1162.1612903225773</v>
      </c>
      <c r="J261" s="19">
        <v>6348.8326526475157</v>
      </c>
      <c r="K261" s="5">
        <v>254</v>
      </c>
      <c r="L261" s="21" t="str">
        <f>IF(ISNA(_xlfn.XLOOKUP(D261,'Same Seller Hist'!E:E,'Same Seller Hist'!E:E)),"Não","Sim")</f>
        <v>Não</v>
      </c>
      <c r="M261" s="21" t="str">
        <f>_xlfn.IFNA(_xlfn.XLOOKUP(D261,'Same Seller Hist'!E:E,'Same Seller Hist'!M:M),"Não Match")</f>
        <v>Não Match</v>
      </c>
    </row>
    <row r="262" spans="3:13" x14ac:dyDescent="0.35">
      <c r="C262" s="18">
        <v>45992</v>
      </c>
      <c r="D262" s="5">
        <v>1307017279</v>
      </c>
      <c r="E262" s="5" t="s">
        <v>1509</v>
      </c>
      <c r="F262" s="5" t="s">
        <v>1734</v>
      </c>
      <c r="G262" s="5">
        <v>1</v>
      </c>
      <c r="H262" s="5">
        <v>0</v>
      </c>
      <c r="I262" s="19">
        <v>1161.7741935483839</v>
      </c>
      <c r="J262" s="19">
        <v>6344.4856661400972</v>
      </c>
      <c r="K262" s="5">
        <v>255</v>
      </c>
      <c r="L262" s="21" t="str">
        <f>IF(ISNA(_xlfn.XLOOKUP(D262,'Same Seller Hist'!E:E,'Same Seller Hist'!E:E)),"Não","Sim")</f>
        <v>Sim</v>
      </c>
      <c r="M262" s="21" t="str">
        <f>_xlfn.IFNA(_xlfn.XLOOKUP(D262,'Same Seller Hist'!E:E,'Same Seller Hist'!M:M),"Não Match")</f>
        <v>Ativo</v>
      </c>
    </row>
    <row r="263" spans="3:13" hidden="1" x14ac:dyDescent="0.35">
      <c r="C263" s="18">
        <v>45992</v>
      </c>
      <c r="D263" s="5">
        <v>465639879</v>
      </c>
      <c r="E263" s="5" t="s">
        <v>1510</v>
      </c>
      <c r="F263" s="5" t="s">
        <v>1734</v>
      </c>
      <c r="G263" s="5">
        <v>1</v>
      </c>
      <c r="H263" s="5">
        <v>1</v>
      </c>
      <c r="I263" s="19">
        <v>1160.3225806451612</v>
      </c>
      <c r="J263" s="19">
        <v>8373.5553099345161</v>
      </c>
      <c r="K263" s="5">
        <v>256</v>
      </c>
      <c r="L263" s="21" t="str">
        <f>IF(ISNA(_xlfn.XLOOKUP(D263,'Same Seller Hist'!E:E,'Same Seller Hist'!E:E)),"Não","Sim")</f>
        <v>Não</v>
      </c>
      <c r="M263" s="21" t="str">
        <f>_xlfn.IFNA(_xlfn.XLOOKUP(D263,'Same Seller Hist'!E:E,'Same Seller Hist'!M:M),"Não Match")</f>
        <v>Não Match</v>
      </c>
    </row>
    <row r="264" spans="3:13" hidden="1" x14ac:dyDescent="0.35">
      <c r="C264" s="18">
        <v>45992</v>
      </c>
      <c r="D264" s="5">
        <v>1288270424</v>
      </c>
      <c r="E264" s="5" t="s">
        <v>1511</v>
      </c>
      <c r="F264" s="5" t="s">
        <v>905</v>
      </c>
      <c r="G264" s="5">
        <v>0</v>
      </c>
      <c r="H264" s="5">
        <v>0</v>
      </c>
      <c r="I264" s="19">
        <v>1158.4516129032224</v>
      </c>
      <c r="J264" s="19">
        <v>3831.1128744640969</v>
      </c>
      <c r="K264" s="5">
        <v>257</v>
      </c>
      <c r="L264" s="21" t="str">
        <f>IF(ISNA(_xlfn.XLOOKUP(D264,'Same Seller Hist'!E:E,'Same Seller Hist'!E:E)),"Não","Sim")</f>
        <v>Não</v>
      </c>
      <c r="M264" s="21" t="str">
        <f>_xlfn.IFNA(_xlfn.XLOOKUP(D264,'Same Seller Hist'!E:E,'Same Seller Hist'!M:M),"Não Match")</f>
        <v>Não Match</v>
      </c>
    </row>
    <row r="265" spans="3:13" hidden="1" x14ac:dyDescent="0.35">
      <c r="C265" s="18">
        <v>45992</v>
      </c>
      <c r="D265" s="5">
        <v>403112819</v>
      </c>
      <c r="E265" s="5" t="s">
        <v>1512</v>
      </c>
      <c r="F265" s="5" t="s">
        <v>1734</v>
      </c>
      <c r="G265" s="5">
        <v>1</v>
      </c>
      <c r="H265" s="5">
        <v>0</v>
      </c>
      <c r="I265" s="19">
        <v>1158.3548387096741</v>
      </c>
      <c r="J265" s="19">
        <v>5065.2757731790316</v>
      </c>
      <c r="K265" s="5">
        <v>258</v>
      </c>
      <c r="L265" s="21" t="str">
        <f>IF(ISNA(_xlfn.XLOOKUP(D265,'Same Seller Hist'!E:E,'Same Seller Hist'!E:E)),"Não","Sim")</f>
        <v>Não</v>
      </c>
      <c r="M265" s="21" t="str">
        <f>_xlfn.IFNA(_xlfn.XLOOKUP(D265,'Same Seller Hist'!E:E,'Same Seller Hist'!M:M),"Não Match")</f>
        <v>Não Match</v>
      </c>
    </row>
    <row r="266" spans="3:13" hidden="1" x14ac:dyDescent="0.35">
      <c r="C266" s="18">
        <v>45992</v>
      </c>
      <c r="D266" s="5">
        <v>1110838097</v>
      </c>
      <c r="E266" s="5" t="s">
        <v>1513</v>
      </c>
      <c r="F266" s="5" t="s">
        <v>906</v>
      </c>
      <c r="G266" s="5">
        <v>0</v>
      </c>
      <c r="H266" s="5">
        <v>0</v>
      </c>
      <c r="I266" s="19">
        <v>1156.3548387096741</v>
      </c>
      <c r="J266" s="19">
        <v>4856.3695360313868</v>
      </c>
      <c r="K266" s="5">
        <v>259</v>
      </c>
      <c r="L266" s="21" t="str">
        <f>IF(ISNA(_xlfn.XLOOKUP(D266,'Same Seller Hist'!E:E,'Same Seller Hist'!E:E)),"Não","Sim")</f>
        <v>Não</v>
      </c>
      <c r="M266" s="21" t="str">
        <f>_xlfn.IFNA(_xlfn.XLOOKUP(D266,'Same Seller Hist'!E:E,'Same Seller Hist'!M:M),"Não Match")</f>
        <v>Não Match</v>
      </c>
    </row>
    <row r="267" spans="3:13" x14ac:dyDescent="0.35">
      <c r="C267" s="18">
        <v>45992</v>
      </c>
      <c r="D267" s="5">
        <v>847598018</v>
      </c>
      <c r="E267" s="5" t="s">
        <v>1514</v>
      </c>
      <c r="F267" s="5" t="s">
        <v>905</v>
      </c>
      <c r="G267" s="5">
        <v>0</v>
      </c>
      <c r="H267" s="5">
        <v>1</v>
      </c>
      <c r="I267" s="19">
        <v>1155.3548387096773</v>
      </c>
      <c r="J267" s="19">
        <v>10260.081055630193</v>
      </c>
      <c r="K267" s="5">
        <v>260</v>
      </c>
      <c r="L267" s="21" t="str">
        <f>IF(ISNA(_xlfn.XLOOKUP(D267,'Same Seller Hist'!E:E,'Same Seller Hist'!E:E)),"Não","Sim")</f>
        <v>Sim</v>
      </c>
      <c r="M267" s="21" t="str">
        <f>_xlfn.IFNA(_xlfn.XLOOKUP(D267,'Same Seller Hist'!E:E,'Same Seller Hist'!M:M),"Não Match")</f>
        <v>Ativo</v>
      </c>
    </row>
    <row r="268" spans="3:13" hidden="1" x14ac:dyDescent="0.35">
      <c r="C268" s="18">
        <v>45992</v>
      </c>
      <c r="D268" s="5">
        <v>1419612788</v>
      </c>
      <c r="E268" s="5" t="s">
        <v>1515</v>
      </c>
      <c r="F268" s="5" t="s">
        <v>903</v>
      </c>
      <c r="G268" s="5">
        <v>0</v>
      </c>
      <c r="H268" s="5">
        <v>1</v>
      </c>
      <c r="I268" s="19">
        <v>1153.9677419354839</v>
      </c>
      <c r="J268" s="19">
        <v>4693.8681088288067</v>
      </c>
      <c r="K268" s="5">
        <v>261</v>
      </c>
      <c r="L268" s="21" t="str">
        <f>IF(ISNA(_xlfn.XLOOKUP(D268,'Same Seller Hist'!E:E,'Same Seller Hist'!E:E)),"Não","Sim")</f>
        <v>Não</v>
      </c>
      <c r="M268" s="21" t="str">
        <f>_xlfn.IFNA(_xlfn.XLOOKUP(D268,'Same Seller Hist'!E:E,'Same Seller Hist'!M:M),"Não Match")</f>
        <v>Não Match</v>
      </c>
    </row>
    <row r="269" spans="3:13" x14ac:dyDescent="0.35">
      <c r="C269" s="18">
        <v>45992</v>
      </c>
      <c r="D269" s="5">
        <v>323760756</v>
      </c>
      <c r="E269" s="5" t="s">
        <v>1516</v>
      </c>
      <c r="F269" s="5" t="s">
        <v>903</v>
      </c>
      <c r="G269" s="5">
        <v>0</v>
      </c>
      <c r="H269" s="5">
        <v>1</v>
      </c>
      <c r="I269" s="19">
        <v>1152.8709677419354</v>
      </c>
      <c r="J269" s="19">
        <v>14427.359179190742</v>
      </c>
      <c r="K269" s="5">
        <v>262</v>
      </c>
      <c r="L269" s="21" t="str">
        <f>IF(ISNA(_xlfn.XLOOKUP(D269,'Same Seller Hist'!E:E,'Same Seller Hist'!E:E)),"Não","Sim")</f>
        <v>Sim</v>
      </c>
      <c r="M269" s="21" t="str">
        <f>_xlfn.IFNA(_xlfn.XLOOKUP(D269,'Same Seller Hist'!E:E,'Same Seller Hist'!M:M),"Não Match")</f>
        <v>Ativo</v>
      </c>
    </row>
    <row r="270" spans="3:13" hidden="1" x14ac:dyDescent="0.35">
      <c r="C270" s="18">
        <v>45992</v>
      </c>
      <c r="D270" s="5">
        <v>717393801</v>
      </c>
      <c r="E270" s="5" t="s">
        <v>1517</v>
      </c>
      <c r="F270" s="5" t="s">
        <v>903</v>
      </c>
      <c r="G270" s="5">
        <v>0</v>
      </c>
      <c r="H270" s="5">
        <v>1</v>
      </c>
      <c r="I270" s="19">
        <v>1152.4193548387063</v>
      </c>
      <c r="J270" s="19">
        <v>8404.9341924134187</v>
      </c>
      <c r="K270" s="5">
        <v>263</v>
      </c>
      <c r="L270" s="21" t="str">
        <f>IF(ISNA(_xlfn.XLOOKUP(D270,'Same Seller Hist'!E:E,'Same Seller Hist'!E:E)),"Não","Sim")</f>
        <v>Não</v>
      </c>
      <c r="M270" s="21" t="str">
        <f>_xlfn.IFNA(_xlfn.XLOOKUP(D270,'Same Seller Hist'!E:E,'Same Seller Hist'!M:M),"Não Match")</f>
        <v>Não Match</v>
      </c>
    </row>
    <row r="271" spans="3:13" hidden="1" x14ac:dyDescent="0.35">
      <c r="C271" s="18">
        <v>45992</v>
      </c>
      <c r="D271" s="5">
        <v>296745639</v>
      </c>
      <c r="E271" s="5" t="s">
        <v>1518</v>
      </c>
      <c r="F271" s="5" t="s">
        <v>1734</v>
      </c>
      <c r="G271" s="5">
        <v>1</v>
      </c>
      <c r="H271" s="5">
        <v>1</v>
      </c>
      <c r="I271" s="19">
        <v>1150.9032258064517</v>
      </c>
      <c r="J271" s="19">
        <v>8071.4771638276779</v>
      </c>
      <c r="K271" s="5">
        <v>264</v>
      </c>
      <c r="L271" s="21" t="str">
        <f>IF(ISNA(_xlfn.XLOOKUP(D271,'Same Seller Hist'!E:E,'Same Seller Hist'!E:E)),"Não","Sim")</f>
        <v>Não</v>
      </c>
      <c r="M271" s="21" t="str">
        <f>_xlfn.IFNA(_xlfn.XLOOKUP(D271,'Same Seller Hist'!E:E,'Same Seller Hist'!M:M),"Não Match")</f>
        <v>Não Match</v>
      </c>
    </row>
    <row r="272" spans="3:13" hidden="1" x14ac:dyDescent="0.35">
      <c r="C272" s="18">
        <v>45992</v>
      </c>
      <c r="D272" s="5">
        <v>400262096</v>
      </c>
      <c r="E272" s="5" t="s">
        <v>1519</v>
      </c>
      <c r="F272" s="5" t="s">
        <v>906</v>
      </c>
      <c r="G272" s="5">
        <v>0</v>
      </c>
      <c r="H272" s="5">
        <v>0</v>
      </c>
      <c r="I272" s="19">
        <v>1150.6129032258063</v>
      </c>
      <c r="J272" s="19">
        <v>6641.7528933229032</v>
      </c>
      <c r="K272" s="5">
        <v>265</v>
      </c>
      <c r="L272" s="21" t="str">
        <f>IF(ISNA(_xlfn.XLOOKUP(D272,'Same Seller Hist'!E:E,'Same Seller Hist'!E:E)),"Não","Sim")</f>
        <v>Não</v>
      </c>
      <c r="M272" s="21" t="str">
        <f>_xlfn.IFNA(_xlfn.XLOOKUP(D272,'Same Seller Hist'!E:E,'Same Seller Hist'!M:M),"Não Match")</f>
        <v>Não Match</v>
      </c>
    </row>
    <row r="273" spans="3:13" hidden="1" x14ac:dyDescent="0.35">
      <c r="C273" s="18">
        <v>45992</v>
      </c>
      <c r="D273" s="5">
        <v>503936839</v>
      </c>
      <c r="E273" s="5" t="s">
        <v>1520</v>
      </c>
      <c r="F273" s="5" t="s">
        <v>905</v>
      </c>
      <c r="G273" s="5">
        <v>0</v>
      </c>
      <c r="H273" s="5">
        <v>0</v>
      </c>
      <c r="I273" s="19">
        <v>1149.1290322580612</v>
      </c>
      <c r="J273" s="19">
        <v>4129.4578708689351</v>
      </c>
      <c r="K273" s="5">
        <v>266</v>
      </c>
      <c r="L273" s="21" t="str">
        <f>IF(ISNA(_xlfn.XLOOKUP(D273,'Same Seller Hist'!E:E,'Same Seller Hist'!E:E)),"Não","Sim")</f>
        <v>Não</v>
      </c>
      <c r="M273" s="21" t="str">
        <f>_xlfn.IFNA(_xlfn.XLOOKUP(D273,'Same Seller Hist'!E:E,'Same Seller Hist'!M:M),"Não Match")</f>
        <v>Não Match</v>
      </c>
    </row>
    <row r="274" spans="3:13" hidden="1" x14ac:dyDescent="0.35">
      <c r="C274" s="18">
        <v>45992</v>
      </c>
      <c r="D274" s="5">
        <v>1412676921</v>
      </c>
      <c r="E274" s="5" t="s">
        <v>1521</v>
      </c>
      <c r="F274" s="5" t="s">
        <v>906</v>
      </c>
      <c r="G274" s="5">
        <v>0</v>
      </c>
      <c r="H274" s="5">
        <v>0</v>
      </c>
      <c r="I274" s="19">
        <v>1147.3870967741937</v>
      </c>
      <c r="J274" s="19">
        <v>5166.5052242121292</v>
      </c>
      <c r="K274" s="5">
        <v>267</v>
      </c>
      <c r="L274" s="21" t="str">
        <f>IF(ISNA(_xlfn.XLOOKUP(D274,'Same Seller Hist'!E:E,'Same Seller Hist'!E:E)),"Não","Sim")</f>
        <v>Não</v>
      </c>
      <c r="M274" s="21" t="str">
        <f>_xlfn.IFNA(_xlfn.XLOOKUP(D274,'Same Seller Hist'!E:E,'Same Seller Hist'!M:M),"Não Match")</f>
        <v>Não Match</v>
      </c>
    </row>
    <row r="275" spans="3:13" hidden="1" x14ac:dyDescent="0.35">
      <c r="C275" s="18">
        <v>45992</v>
      </c>
      <c r="D275" s="5">
        <v>385769283</v>
      </c>
      <c r="E275" s="5" t="s">
        <v>1522</v>
      </c>
      <c r="F275" s="5" t="s">
        <v>1734</v>
      </c>
      <c r="G275" s="5">
        <v>1</v>
      </c>
      <c r="H275" s="5">
        <v>0</v>
      </c>
      <c r="I275" s="19">
        <v>1145.0645161290322</v>
      </c>
      <c r="J275" s="19">
        <v>4078.3660179759354</v>
      </c>
      <c r="K275" s="5">
        <v>268</v>
      </c>
      <c r="L275" s="21" t="str">
        <f>IF(ISNA(_xlfn.XLOOKUP(D275,'Same Seller Hist'!E:E,'Same Seller Hist'!E:E)),"Não","Sim")</f>
        <v>Não</v>
      </c>
      <c r="M275" s="21" t="str">
        <f>_xlfn.IFNA(_xlfn.XLOOKUP(D275,'Same Seller Hist'!E:E,'Same Seller Hist'!M:M),"Não Match")</f>
        <v>Não Match</v>
      </c>
    </row>
    <row r="276" spans="3:13" hidden="1" x14ac:dyDescent="0.35">
      <c r="C276" s="18">
        <v>45992</v>
      </c>
      <c r="D276" s="5">
        <v>1521699574</v>
      </c>
      <c r="E276" s="5" t="s">
        <v>1523</v>
      </c>
      <c r="F276" s="5" t="s">
        <v>1734</v>
      </c>
      <c r="G276" s="5">
        <v>1</v>
      </c>
      <c r="H276" s="5">
        <v>0</v>
      </c>
      <c r="I276" s="19">
        <v>1144.7419354838678</v>
      </c>
      <c r="J276" s="19">
        <v>14043.961874386161</v>
      </c>
      <c r="K276" s="5">
        <v>269</v>
      </c>
      <c r="L276" s="21" t="str">
        <f>IF(ISNA(_xlfn.XLOOKUP(D276,'Same Seller Hist'!E:E,'Same Seller Hist'!E:E)),"Não","Sim")</f>
        <v>Não</v>
      </c>
      <c r="M276" s="21" t="str">
        <f>_xlfn.IFNA(_xlfn.XLOOKUP(D276,'Same Seller Hist'!E:E,'Same Seller Hist'!M:M),"Não Match")</f>
        <v>Não Match</v>
      </c>
    </row>
    <row r="277" spans="3:13" x14ac:dyDescent="0.35">
      <c r="C277" s="18">
        <v>45992</v>
      </c>
      <c r="D277" s="5">
        <v>463228698</v>
      </c>
      <c r="E277" s="5" t="s">
        <v>586</v>
      </c>
      <c r="F277" s="5" t="s">
        <v>1734</v>
      </c>
      <c r="G277" s="5">
        <v>1</v>
      </c>
      <c r="H277" s="5">
        <v>0</v>
      </c>
      <c r="I277" s="19">
        <v>1143.8709677419354</v>
      </c>
      <c r="J277" s="19">
        <v>4018.9564593441291</v>
      </c>
      <c r="K277" s="5">
        <v>270</v>
      </c>
      <c r="L277" s="21" t="str">
        <f>IF(ISNA(_xlfn.XLOOKUP(D277,'Same Seller Hist'!E:E,'Same Seller Hist'!E:E)),"Não","Sim")</f>
        <v>Sim</v>
      </c>
      <c r="M277" s="21" t="str">
        <f>_xlfn.IFNA(_xlfn.XLOOKUP(D277,'Same Seller Hist'!E:E,'Same Seller Hist'!M:M),"Não Match")</f>
        <v>Ativo</v>
      </c>
    </row>
    <row r="278" spans="3:13" x14ac:dyDescent="0.35">
      <c r="C278" s="18">
        <v>45992</v>
      </c>
      <c r="D278" s="5">
        <v>483838536</v>
      </c>
      <c r="E278" s="5" t="s">
        <v>1524</v>
      </c>
      <c r="F278" s="5" t="s">
        <v>903</v>
      </c>
      <c r="G278" s="5">
        <v>0</v>
      </c>
      <c r="H278" s="5">
        <v>1</v>
      </c>
      <c r="I278" s="19">
        <v>1143.4838709677385</v>
      </c>
      <c r="J278" s="19">
        <v>5690.9660609336452</v>
      </c>
      <c r="K278" s="5">
        <v>271</v>
      </c>
      <c r="L278" s="21" t="str">
        <f>IF(ISNA(_xlfn.XLOOKUP(D278,'Same Seller Hist'!E:E,'Same Seller Hist'!E:E)),"Não","Sim")</f>
        <v>Sim</v>
      </c>
      <c r="M278" s="21" t="str">
        <f>_xlfn.IFNA(_xlfn.XLOOKUP(D278,'Same Seller Hist'!E:E,'Same Seller Hist'!M:M),"Não Match")</f>
        <v>Ativo</v>
      </c>
    </row>
    <row r="279" spans="3:13" hidden="1" x14ac:dyDescent="0.35">
      <c r="C279" s="18">
        <v>45992</v>
      </c>
      <c r="D279" s="5">
        <v>1372008216</v>
      </c>
      <c r="E279" s="5" t="s">
        <v>1525</v>
      </c>
      <c r="F279" s="5" t="s">
        <v>1734</v>
      </c>
      <c r="G279" s="5">
        <v>1</v>
      </c>
      <c r="H279" s="5">
        <v>1</v>
      </c>
      <c r="I279" s="19">
        <v>1143.1290322580646</v>
      </c>
      <c r="J279" s="19">
        <v>9758.914084838807</v>
      </c>
      <c r="K279" s="5">
        <v>272</v>
      </c>
      <c r="L279" s="21" t="str">
        <f>IF(ISNA(_xlfn.XLOOKUP(D279,'Same Seller Hist'!E:E,'Same Seller Hist'!E:E)),"Não","Sim")</f>
        <v>Não</v>
      </c>
      <c r="M279" s="21" t="str">
        <f>_xlfn.IFNA(_xlfn.XLOOKUP(D279,'Same Seller Hist'!E:E,'Same Seller Hist'!M:M),"Não Match")</f>
        <v>Não Match</v>
      </c>
    </row>
    <row r="280" spans="3:13" hidden="1" x14ac:dyDescent="0.35">
      <c r="C280" s="18">
        <v>45992</v>
      </c>
      <c r="D280" s="5">
        <v>1480373975</v>
      </c>
      <c r="E280" s="5" t="s">
        <v>1526</v>
      </c>
      <c r="F280" s="5" t="s">
        <v>1734</v>
      </c>
      <c r="G280" s="5">
        <v>1</v>
      </c>
      <c r="H280" s="5">
        <v>0</v>
      </c>
      <c r="I280" s="19">
        <v>1142.8387096774193</v>
      </c>
      <c r="J280" s="19">
        <v>4094.7010784050967</v>
      </c>
      <c r="K280" s="5">
        <v>273</v>
      </c>
      <c r="L280" s="21" t="str">
        <f>IF(ISNA(_xlfn.XLOOKUP(D280,'Same Seller Hist'!E:E,'Same Seller Hist'!E:E)),"Não","Sim")</f>
        <v>Não</v>
      </c>
      <c r="M280" s="21" t="str">
        <f>_xlfn.IFNA(_xlfn.XLOOKUP(D280,'Same Seller Hist'!E:E,'Same Seller Hist'!M:M),"Não Match")</f>
        <v>Não Match</v>
      </c>
    </row>
    <row r="281" spans="3:13" x14ac:dyDescent="0.35">
      <c r="C281" s="18">
        <v>45992</v>
      </c>
      <c r="D281" s="5">
        <v>727124919</v>
      </c>
      <c r="E281" s="5" t="s">
        <v>1527</v>
      </c>
      <c r="F281" s="5" t="s">
        <v>1734</v>
      </c>
      <c r="G281" s="5">
        <v>1</v>
      </c>
      <c r="H281" s="5">
        <v>0</v>
      </c>
      <c r="I281" s="19">
        <v>1140.9677419354839</v>
      </c>
      <c r="J281" s="19">
        <v>5265.9883010669682</v>
      </c>
      <c r="K281" s="5">
        <v>274</v>
      </c>
      <c r="L281" s="21" t="str">
        <f>IF(ISNA(_xlfn.XLOOKUP(D281,'Same Seller Hist'!E:E,'Same Seller Hist'!E:E)),"Não","Sim")</f>
        <v>Sim</v>
      </c>
      <c r="M281" s="21" t="str">
        <f>_xlfn.IFNA(_xlfn.XLOOKUP(D281,'Same Seller Hist'!E:E,'Same Seller Hist'!M:M),"Não Match")</f>
        <v>Ativo</v>
      </c>
    </row>
    <row r="282" spans="3:13" x14ac:dyDescent="0.35">
      <c r="C282" s="18">
        <v>45992</v>
      </c>
      <c r="D282" s="5">
        <v>1023760886</v>
      </c>
      <c r="E282" s="5" t="s">
        <v>1528</v>
      </c>
      <c r="F282" s="5" t="s">
        <v>906</v>
      </c>
      <c r="G282" s="5">
        <v>0</v>
      </c>
      <c r="H282" s="5">
        <v>1</v>
      </c>
      <c r="I282" s="19">
        <v>1136.8064516129032</v>
      </c>
      <c r="J282" s="19">
        <v>18020.795680250838</v>
      </c>
      <c r="K282" s="5">
        <v>275</v>
      </c>
      <c r="L282" s="21" t="str">
        <f>IF(ISNA(_xlfn.XLOOKUP(D282,'Same Seller Hist'!E:E,'Same Seller Hist'!E:E)),"Não","Sim")</f>
        <v>Sim</v>
      </c>
      <c r="M282" s="21" t="str">
        <f>_xlfn.IFNA(_xlfn.XLOOKUP(D282,'Same Seller Hist'!E:E,'Same Seller Hist'!M:M),"Não Match")</f>
        <v>Ativo</v>
      </c>
    </row>
    <row r="283" spans="3:13" x14ac:dyDescent="0.35">
      <c r="C283" s="18">
        <v>45992</v>
      </c>
      <c r="D283" s="5">
        <v>1171273264</v>
      </c>
      <c r="E283" s="5" t="s">
        <v>1529</v>
      </c>
      <c r="F283" s="5" t="s">
        <v>1734</v>
      </c>
      <c r="G283" s="5">
        <v>1</v>
      </c>
      <c r="H283" s="5">
        <v>0</v>
      </c>
      <c r="I283" s="19">
        <v>1134.0322580645161</v>
      </c>
      <c r="J283" s="19">
        <v>3686.8094674805161</v>
      </c>
      <c r="K283" s="5">
        <v>276</v>
      </c>
      <c r="L283" s="21" t="str">
        <f>IF(ISNA(_xlfn.XLOOKUP(D283,'Same Seller Hist'!E:E,'Same Seller Hist'!E:E)),"Não","Sim")</f>
        <v>Sim</v>
      </c>
      <c r="M283" s="21" t="str">
        <f>_xlfn.IFNA(_xlfn.XLOOKUP(D283,'Same Seller Hist'!E:E,'Same Seller Hist'!M:M),"Não Match")</f>
        <v>Ativo</v>
      </c>
    </row>
    <row r="284" spans="3:13" hidden="1" x14ac:dyDescent="0.35">
      <c r="C284" s="18">
        <v>45992</v>
      </c>
      <c r="D284" s="5">
        <v>1474570323</v>
      </c>
      <c r="E284" s="5" t="s">
        <v>1530</v>
      </c>
      <c r="F284" s="5" t="s">
        <v>906</v>
      </c>
      <c r="G284" s="5">
        <v>0</v>
      </c>
      <c r="H284" s="5">
        <v>0</v>
      </c>
      <c r="I284" s="19">
        <v>1130.5483870967741</v>
      </c>
      <c r="J284" s="19">
        <v>3568.3292618738064</v>
      </c>
      <c r="K284" s="5">
        <v>277</v>
      </c>
      <c r="L284" s="21" t="str">
        <f>IF(ISNA(_xlfn.XLOOKUP(D284,'Same Seller Hist'!E:E,'Same Seller Hist'!E:E)),"Não","Sim")</f>
        <v>Não</v>
      </c>
      <c r="M284" s="21" t="str">
        <f>_xlfn.IFNA(_xlfn.XLOOKUP(D284,'Same Seller Hist'!E:E,'Same Seller Hist'!M:M),"Não Match")</f>
        <v>Não Match</v>
      </c>
    </row>
    <row r="285" spans="3:13" hidden="1" x14ac:dyDescent="0.35">
      <c r="C285" s="18">
        <v>45992</v>
      </c>
      <c r="D285" s="5">
        <v>1064487211</v>
      </c>
      <c r="E285" s="5" t="s">
        <v>1531</v>
      </c>
      <c r="F285" s="5" t="s">
        <v>1734</v>
      </c>
      <c r="G285" s="5">
        <v>1</v>
      </c>
      <c r="H285" s="5">
        <v>1</v>
      </c>
      <c r="I285" s="19">
        <v>1130.483870967742</v>
      </c>
      <c r="J285" s="19">
        <v>4270.4518129406451</v>
      </c>
      <c r="K285" s="5">
        <v>278</v>
      </c>
      <c r="L285" s="21" t="str">
        <f>IF(ISNA(_xlfn.XLOOKUP(D285,'Same Seller Hist'!E:E,'Same Seller Hist'!E:E)),"Não","Sim")</f>
        <v>Não</v>
      </c>
      <c r="M285" s="21" t="str">
        <f>_xlfn.IFNA(_xlfn.XLOOKUP(D285,'Same Seller Hist'!E:E,'Same Seller Hist'!M:M),"Não Match")</f>
        <v>Não Match</v>
      </c>
    </row>
    <row r="286" spans="3:13" hidden="1" x14ac:dyDescent="0.35">
      <c r="C286" s="18">
        <v>45992</v>
      </c>
      <c r="D286" s="5">
        <v>1241281618</v>
      </c>
      <c r="E286" s="5" t="s">
        <v>1532</v>
      </c>
      <c r="F286" s="5" t="s">
        <v>1734</v>
      </c>
      <c r="G286" s="5">
        <v>1</v>
      </c>
      <c r="H286" s="5">
        <v>1</v>
      </c>
      <c r="I286" s="19">
        <v>1129.9999999999968</v>
      </c>
      <c r="J286" s="19">
        <v>14388.505019959837</v>
      </c>
      <c r="K286" s="5">
        <v>279</v>
      </c>
      <c r="L286" s="21" t="str">
        <f>IF(ISNA(_xlfn.XLOOKUP(D286,'Same Seller Hist'!E:E,'Same Seller Hist'!E:E)),"Não","Sim")</f>
        <v>Não</v>
      </c>
      <c r="M286" s="21" t="str">
        <f>_xlfn.IFNA(_xlfn.XLOOKUP(D286,'Same Seller Hist'!E:E,'Same Seller Hist'!M:M),"Não Match")</f>
        <v>Não Match</v>
      </c>
    </row>
    <row r="287" spans="3:13" x14ac:dyDescent="0.35">
      <c r="C287" s="18">
        <v>45992</v>
      </c>
      <c r="D287" s="5">
        <v>831272734</v>
      </c>
      <c r="E287" s="5" t="s">
        <v>1533</v>
      </c>
      <c r="F287" s="5" t="s">
        <v>903</v>
      </c>
      <c r="G287" s="5">
        <v>0</v>
      </c>
      <c r="H287" s="5">
        <v>1</v>
      </c>
      <c r="I287" s="19">
        <v>1124.3225806451612</v>
      </c>
      <c r="J287" s="19">
        <v>7519.4760335192905</v>
      </c>
      <c r="K287" s="5">
        <v>280</v>
      </c>
      <c r="L287" s="21" t="str">
        <f>IF(ISNA(_xlfn.XLOOKUP(D287,'Same Seller Hist'!E:E,'Same Seller Hist'!E:E)),"Não","Sim")</f>
        <v>Sim</v>
      </c>
      <c r="M287" s="21" t="str">
        <f>_xlfn.IFNA(_xlfn.XLOOKUP(D287,'Same Seller Hist'!E:E,'Same Seller Hist'!M:M),"Não Match")</f>
        <v>Ativo</v>
      </c>
    </row>
    <row r="288" spans="3:13" hidden="1" x14ac:dyDescent="0.35">
      <c r="C288" s="18">
        <v>45992</v>
      </c>
      <c r="D288" s="5">
        <v>1208992205</v>
      </c>
      <c r="E288" s="5" t="s">
        <v>1534</v>
      </c>
      <c r="F288" s="5" t="s">
        <v>1734</v>
      </c>
      <c r="G288" s="5">
        <v>1</v>
      </c>
      <c r="H288" s="5">
        <v>1</v>
      </c>
      <c r="I288" s="19">
        <v>1123.2903225806419</v>
      </c>
      <c r="J288" s="19">
        <v>8472.9831969146126</v>
      </c>
      <c r="K288" s="5">
        <v>281</v>
      </c>
      <c r="L288" s="21" t="str">
        <f>IF(ISNA(_xlfn.XLOOKUP(D288,'Same Seller Hist'!E:E,'Same Seller Hist'!E:E)),"Não","Sim")</f>
        <v>Não</v>
      </c>
      <c r="M288" s="21" t="str">
        <f>_xlfn.IFNA(_xlfn.XLOOKUP(D288,'Same Seller Hist'!E:E,'Same Seller Hist'!M:M),"Não Match")</f>
        <v>Não Match</v>
      </c>
    </row>
    <row r="289" spans="3:13" hidden="1" x14ac:dyDescent="0.35">
      <c r="C289" s="18">
        <v>45992</v>
      </c>
      <c r="D289" s="5">
        <v>434200296</v>
      </c>
      <c r="E289" s="5" t="s">
        <v>1535</v>
      </c>
      <c r="F289" s="5" t="s">
        <v>906</v>
      </c>
      <c r="G289" s="5">
        <v>0</v>
      </c>
      <c r="H289" s="5">
        <v>1</v>
      </c>
      <c r="I289" s="19">
        <v>1118.516129032258</v>
      </c>
      <c r="J289" s="19">
        <v>4430.8284296530646</v>
      </c>
      <c r="K289" s="5">
        <v>282</v>
      </c>
      <c r="L289" s="21" t="str">
        <f>IF(ISNA(_xlfn.XLOOKUP(D289,'Same Seller Hist'!E:E,'Same Seller Hist'!E:E)),"Não","Sim")</f>
        <v>Não</v>
      </c>
      <c r="M289" s="21" t="str">
        <f>_xlfn.IFNA(_xlfn.XLOOKUP(D289,'Same Seller Hist'!E:E,'Same Seller Hist'!M:M),"Não Match")</f>
        <v>Não Match</v>
      </c>
    </row>
    <row r="290" spans="3:13" hidden="1" x14ac:dyDescent="0.35">
      <c r="C290" s="18">
        <v>45992</v>
      </c>
      <c r="D290" s="5">
        <v>353891630</v>
      </c>
      <c r="E290" s="5" t="s">
        <v>1536</v>
      </c>
      <c r="F290" s="5" t="s">
        <v>1734</v>
      </c>
      <c r="G290" s="5">
        <v>1</v>
      </c>
      <c r="H290" s="5">
        <v>0</v>
      </c>
      <c r="I290" s="19">
        <v>1115.8387096774193</v>
      </c>
      <c r="J290" s="19">
        <v>5488.3173080850001</v>
      </c>
      <c r="K290" s="5">
        <v>283</v>
      </c>
      <c r="L290" s="21" t="str">
        <f>IF(ISNA(_xlfn.XLOOKUP(D290,'Same Seller Hist'!E:E,'Same Seller Hist'!E:E)),"Não","Sim")</f>
        <v>Não</v>
      </c>
      <c r="M290" s="21" t="str">
        <f>_xlfn.IFNA(_xlfn.XLOOKUP(D290,'Same Seller Hist'!E:E,'Same Seller Hist'!M:M),"Não Match")</f>
        <v>Não Match</v>
      </c>
    </row>
    <row r="291" spans="3:13" hidden="1" x14ac:dyDescent="0.35">
      <c r="C291" s="18">
        <v>45992</v>
      </c>
      <c r="D291" s="5">
        <v>1000233979</v>
      </c>
      <c r="E291" s="5" t="s">
        <v>1537</v>
      </c>
      <c r="F291" s="5" t="s">
        <v>1734</v>
      </c>
      <c r="G291" s="5">
        <v>1</v>
      </c>
      <c r="H291" s="5">
        <v>1</v>
      </c>
      <c r="I291" s="19">
        <v>1115.6774193548388</v>
      </c>
      <c r="J291" s="19">
        <v>6761.4350453941288</v>
      </c>
      <c r="K291" s="5">
        <v>284</v>
      </c>
      <c r="L291" s="21" t="str">
        <f>IF(ISNA(_xlfn.XLOOKUP(D291,'Same Seller Hist'!E:E,'Same Seller Hist'!E:E)),"Não","Sim")</f>
        <v>Não</v>
      </c>
      <c r="M291" s="21" t="str">
        <f>_xlfn.IFNA(_xlfn.XLOOKUP(D291,'Same Seller Hist'!E:E,'Same Seller Hist'!M:M),"Não Match")</f>
        <v>Não Match</v>
      </c>
    </row>
    <row r="292" spans="3:13" x14ac:dyDescent="0.35">
      <c r="C292" s="18">
        <v>45992</v>
      </c>
      <c r="D292" s="5">
        <v>1220163366</v>
      </c>
      <c r="E292" s="5" t="s">
        <v>155</v>
      </c>
      <c r="F292" s="5" t="s">
        <v>1734</v>
      </c>
      <c r="G292" s="5">
        <v>1</v>
      </c>
      <c r="H292" s="5">
        <v>1</v>
      </c>
      <c r="I292" s="19">
        <v>1114.2903225806419</v>
      </c>
      <c r="J292" s="19">
        <v>9683.502954858388</v>
      </c>
      <c r="K292" s="5">
        <v>285</v>
      </c>
      <c r="L292" s="21" t="str">
        <f>IF(ISNA(_xlfn.XLOOKUP(D292,'Same Seller Hist'!E:E,'Same Seller Hist'!E:E)),"Não","Sim")</f>
        <v>Sim</v>
      </c>
      <c r="M292" s="21" t="str">
        <f>_xlfn.IFNA(_xlfn.XLOOKUP(D292,'Same Seller Hist'!E:E,'Same Seller Hist'!M:M),"Não Match")</f>
        <v>Ativo</v>
      </c>
    </row>
    <row r="293" spans="3:13" hidden="1" x14ac:dyDescent="0.35">
      <c r="C293" s="18">
        <v>45992</v>
      </c>
      <c r="D293" s="5">
        <v>378597608</v>
      </c>
      <c r="E293" s="5" t="s">
        <v>1538</v>
      </c>
      <c r="F293" s="5" t="s">
        <v>1734</v>
      </c>
      <c r="G293" s="5">
        <v>1</v>
      </c>
      <c r="H293" s="5">
        <v>1</v>
      </c>
      <c r="I293" s="19">
        <v>1113.0967741935451</v>
      </c>
      <c r="J293" s="19">
        <v>6643.7382830718389</v>
      </c>
      <c r="K293" s="5">
        <v>286</v>
      </c>
      <c r="L293" s="21" t="str">
        <f>IF(ISNA(_xlfn.XLOOKUP(D293,'Same Seller Hist'!E:E,'Same Seller Hist'!E:E)),"Não","Sim")</f>
        <v>Não</v>
      </c>
      <c r="M293" s="21" t="str">
        <f>_xlfn.IFNA(_xlfn.XLOOKUP(D293,'Same Seller Hist'!E:E,'Same Seller Hist'!M:M),"Não Match")</f>
        <v>Não Match</v>
      </c>
    </row>
    <row r="294" spans="3:13" hidden="1" x14ac:dyDescent="0.35">
      <c r="C294" s="18">
        <v>45992</v>
      </c>
      <c r="D294" s="5">
        <v>1343438067</v>
      </c>
      <c r="E294" s="5" t="s">
        <v>1539</v>
      </c>
      <c r="F294" s="5" t="s">
        <v>1734</v>
      </c>
      <c r="G294" s="5">
        <v>1</v>
      </c>
      <c r="H294" s="5">
        <v>1</v>
      </c>
      <c r="I294" s="19">
        <v>1112</v>
      </c>
      <c r="J294" s="19">
        <v>7024.39850710258</v>
      </c>
      <c r="K294" s="5">
        <v>287</v>
      </c>
      <c r="L294" s="21" t="str">
        <f>IF(ISNA(_xlfn.XLOOKUP(D294,'Same Seller Hist'!E:E,'Same Seller Hist'!E:E)),"Não","Sim")</f>
        <v>Não</v>
      </c>
      <c r="M294" s="21" t="str">
        <f>_xlfn.IFNA(_xlfn.XLOOKUP(D294,'Same Seller Hist'!E:E,'Same Seller Hist'!M:M),"Não Match")</f>
        <v>Não Match</v>
      </c>
    </row>
    <row r="295" spans="3:13" hidden="1" x14ac:dyDescent="0.35">
      <c r="C295" s="18">
        <v>45992</v>
      </c>
      <c r="D295" s="5">
        <v>601021305</v>
      </c>
      <c r="E295" s="5" t="s">
        <v>1540</v>
      </c>
      <c r="F295" s="5" t="s">
        <v>904</v>
      </c>
      <c r="G295" s="5">
        <v>0</v>
      </c>
      <c r="H295" s="5">
        <v>1</v>
      </c>
      <c r="I295" s="19">
        <v>1107.3548387096773</v>
      </c>
      <c r="J295" s="19">
        <v>35083.908082337097</v>
      </c>
      <c r="K295" s="5">
        <v>288</v>
      </c>
      <c r="L295" s="21" t="str">
        <f>IF(ISNA(_xlfn.XLOOKUP(D295,'Same Seller Hist'!E:E,'Same Seller Hist'!E:E)),"Não","Sim")</f>
        <v>Não</v>
      </c>
      <c r="M295" s="21" t="str">
        <f>_xlfn.IFNA(_xlfn.XLOOKUP(D295,'Same Seller Hist'!E:E,'Same Seller Hist'!M:M),"Não Match")</f>
        <v>Não Match</v>
      </c>
    </row>
    <row r="296" spans="3:13" x14ac:dyDescent="0.35">
      <c r="C296" s="18">
        <v>45992</v>
      </c>
      <c r="D296" s="5">
        <v>676651970</v>
      </c>
      <c r="E296" s="5" t="s">
        <v>671</v>
      </c>
      <c r="F296" s="5" t="s">
        <v>1734</v>
      </c>
      <c r="G296" s="5">
        <v>1</v>
      </c>
      <c r="H296" s="5">
        <v>1</v>
      </c>
      <c r="I296" s="19">
        <v>1106.9354838709644</v>
      </c>
      <c r="J296" s="19">
        <v>9876.2253615082918</v>
      </c>
      <c r="K296" s="5">
        <v>289</v>
      </c>
      <c r="L296" s="21" t="str">
        <f>IF(ISNA(_xlfn.XLOOKUP(D296,'Same Seller Hist'!E:E,'Same Seller Hist'!E:E)),"Não","Sim")</f>
        <v>Sim</v>
      </c>
      <c r="M296" s="21" t="str">
        <f>_xlfn.IFNA(_xlfn.XLOOKUP(D296,'Same Seller Hist'!E:E,'Same Seller Hist'!M:M),"Não Match")</f>
        <v>Ativo</v>
      </c>
    </row>
    <row r="297" spans="3:13" hidden="1" x14ac:dyDescent="0.35">
      <c r="C297" s="18">
        <v>45992</v>
      </c>
      <c r="D297" s="5">
        <v>518270617</v>
      </c>
      <c r="E297" s="5" t="s">
        <v>1541</v>
      </c>
      <c r="F297" s="5" t="s">
        <v>1734</v>
      </c>
      <c r="G297" s="5">
        <v>1</v>
      </c>
      <c r="H297" s="5">
        <v>1</v>
      </c>
      <c r="I297" s="19">
        <v>1096.9032258064483</v>
      </c>
      <c r="J297" s="19">
        <v>7908.5113222120644</v>
      </c>
      <c r="K297" s="5">
        <v>290</v>
      </c>
      <c r="L297" s="21" t="str">
        <f>IF(ISNA(_xlfn.XLOOKUP(D297,'Same Seller Hist'!E:E,'Same Seller Hist'!E:E)),"Não","Sim")</f>
        <v>Não</v>
      </c>
      <c r="M297" s="21" t="str">
        <f>_xlfn.IFNA(_xlfn.XLOOKUP(D297,'Same Seller Hist'!E:E,'Same Seller Hist'!M:M),"Não Match")</f>
        <v>Não Match</v>
      </c>
    </row>
    <row r="298" spans="3:13" hidden="1" x14ac:dyDescent="0.35">
      <c r="C298" s="18">
        <v>45992</v>
      </c>
      <c r="D298" s="5">
        <v>1046010418</v>
      </c>
      <c r="E298" s="5" t="s">
        <v>1542</v>
      </c>
      <c r="F298" s="5" t="s">
        <v>906</v>
      </c>
      <c r="G298" s="5">
        <v>0</v>
      </c>
      <c r="H298" s="5">
        <v>1</v>
      </c>
      <c r="I298" s="19">
        <v>1084.6774193548388</v>
      </c>
      <c r="J298" s="19">
        <v>4967.0034394237418</v>
      </c>
      <c r="K298" s="5">
        <v>291</v>
      </c>
      <c r="L298" s="21" t="str">
        <f>IF(ISNA(_xlfn.XLOOKUP(D298,'Same Seller Hist'!E:E,'Same Seller Hist'!E:E)),"Não","Sim")</f>
        <v>Não</v>
      </c>
      <c r="M298" s="21" t="str">
        <f>_xlfn.IFNA(_xlfn.XLOOKUP(D298,'Same Seller Hist'!E:E,'Same Seller Hist'!M:M),"Não Match")</f>
        <v>Não Match</v>
      </c>
    </row>
    <row r="299" spans="3:13" hidden="1" x14ac:dyDescent="0.35">
      <c r="C299" s="18">
        <v>45992</v>
      </c>
      <c r="D299" s="5">
        <v>425326129</v>
      </c>
      <c r="E299" s="5" t="s">
        <v>1543</v>
      </c>
      <c r="F299" s="5" t="s">
        <v>1734</v>
      </c>
      <c r="G299" s="5">
        <v>1</v>
      </c>
      <c r="H299" s="5">
        <v>1</v>
      </c>
      <c r="I299" s="19">
        <v>1084.5806451612871</v>
      </c>
      <c r="J299" s="19">
        <v>5324.5103027673549</v>
      </c>
      <c r="K299" s="5">
        <v>292</v>
      </c>
      <c r="L299" s="21" t="str">
        <f>IF(ISNA(_xlfn.XLOOKUP(D299,'Same Seller Hist'!E:E,'Same Seller Hist'!E:E)),"Não","Sim")</f>
        <v>Não</v>
      </c>
      <c r="M299" s="21" t="str">
        <f>_xlfn.IFNA(_xlfn.XLOOKUP(D299,'Same Seller Hist'!E:E,'Same Seller Hist'!M:M),"Não Match")</f>
        <v>Não Match</v>
      </c>
    </row>
    <row r="300" spans="3:13" hidden="1" x14ac:dyDescent="0.35">
      <c r="C300" s="18">
        <v>45992</v>
      </c>
      <c r="D300" s="5">
        <v>436682589</v>
      </c>
      <c r="E300" s="5" t="s">
        <v>1544</v>
      </c>
      <c r="F300" s="5" t="s">
        <v>907</v>
      </c>
      <c r="G300" s="5">
        <v>0</v>
      </c>
      <c r="H300" s="5">
        <v>1</v>
      </c>
      <c r="I300" s="19">
        <v>1079.5806451612902</v>
      </c>
      <c r="J300" s="19">
        <v>29536.794510173033</v>
      </c>
      <c r="K300" s="5">
        <v>293</v>
      </c>
      <c r="L300" s="21" t="str">
        <f>IF(ISNA(_xlfn.XLOOKUP(D300,'Same Seller Hist'!E:E,'Same Seller Hist'!E:E)),"Não","Sim")</f>
        <v>Não</v>
      </c>
      <c r="M300" s="21" t="str">
        <f>_xlfn.IFNA(_xlfn.XLOOKUP(D300,'Same Seller Hist'!E:E,'Same Seller Hist'!M:M),"Não Match")</f>
        <v>Não Match</v>
      </c>
    </row>
    <row r="301" spans="3:13" hidden="1" x14ac:dyDescent="0.35">
      <c r="C301" s="18">
        <v>45992</v>
      </c>
      <c r="D301" s="5">
        <v>1349268914</v>
      </c>
      <c r="E301" s="5" t="s">
        <v>1545</v>
      </c>
      <c r="F301" s="5" t="s">
        <v>1734</v>
      </c>
      <c r="G301" s="5">
        <v>1</v>
      </c>
      <c r="H301" s="5">
        <v>0</v>
      </c>
      <c r="I301" s="19">
        <v>1077.9999999999968</v>
      </c>
      <c r="J301" s="19">
        <v>5861.6022116983877</v>
      </c>
      <c r="K301" s="5">
        <v>294</v>
      </c>
      <c r="L301" s="21" t="str">
        <f>IF(ISNA(_xlfn.XLOOKUP(D301,'Same Seller Hist'!E:E,'Same Seller Hist'!E:E)),"Não","Sim")</f>
        <v>Não</v>
      </c>
      <c r="M301" s="21" t="str">
        <f>_xlfn.IFNA(_xlfn.XLOOKUP(D301,'Same Seller Hist'!E:E,'Same Seller Hist'!M:M),"Não Match")</f>
        <v>Não Match</v>
      </c>
    </row>
    <row r="302" spans="3:13" hidden="1" x14ac:dyDescent="0.35">
      <c r="C302" s="18">
        <v>45992</v>
      </c>
      <c r="D302" s="5">
        <v>1283669740</v>
      </c>
      <c r="E302" s="5" t="s">
        <v>1546</v>
      </c>
      <c r="F302" s="5" t="s">
        <v>903</v>
      </c>
      <c r="G302" s="5">
        <v>0</v>
      </c>
      <c r="H302" s="5">
        <v>0</v>
      </c>
      <c r="I302" s="19">
        <v>1077.6774193548388</v>
      </c>
      <c r="J302" s="19">
        <v>5372.6796826866766</v>
      </c>
      <c r="K302" s="5">
        <v>295</v>
      </c>
      <c r="L302" s="21" t="str">
        <f>IF(ISNA(_xlfn.XLOOKUP(D302,'Same Seller Hist'!E:E,'Same Seller Hist'!E:E)),"Não","Sim")</f>
        <v>Não</v>
      </c>
      <c r="M302" s="21" t="str">
        <f>_xlfn.IFNA(_xlfn.XLOOKUP(D302,'Same Seller Hist'!E:E,'Same Seller Hist'!M:M),"Não Match")</f>
        <v>Não Match</v>
      </c>
    </row>
    <row r="303" spans="3:13" x14ac:dyDescent="0.35">
      <c r="C303" s="18">
        <v>45992</v>
      </c>
      <c r="D303" s="5">
        <v>875039015</v>
      </c>
      <c r="E303" s="5" t="s">
        <v>740</v>
      </c>
      <c r="F303" s="5" t="s">
        <v>905</v>
      </c>
      <c r="G303" s="5">
        <v>0</v>
      </c>
      <c r="H303" s="5">
        <v>0</v>
      </c>
      <c r="I303" s="19">
        <v>1077.6774193548354</v>
      </c>
      <c r="J303" s="19">
        <v>10387.294337103549</v>
      </c>
      <c r="K303" s="5">
        <v>296</v>
      </c>
      <c r="L303" s="21" t="str">
        <f>IF(ISNA(_xlfn.XLOOKUP(D303,'Same Seller Hist'!E:E,'Same Seller Hist'!E:E)),"Não","Sim")</f>
        <v>Sim</v>
      </c>
      <c r="M303" s="21" t="str">
        <f>_xlfn.IFNA(_xlfn.XLOOKUP(D303,'Same Seller Hist'!E:E,'Same Seller Hist'!M:M),"Não Match")</f>
        <v>Ativo</v>
      </c>
    </row>
    <row r="304" spans="3:13" hidden="1" x14ac:dyDescent="0.35">
      <c r="C304" s="18">
        <v>45992</v>
      </c>
      <c r="D304" s="5">
        <v>1167899188</v>
      </c>
      <c r="E304" s="5" t="s">
        <v>1547</v>
      </c>
      <c r="F304" s="5" t="s">
        <v>1734</v>
      </c>
      <c r="G304" s="5">
        <v>1</v>
      </c>
      <c r="H304" s="5">
        <v>1</v>
      </c>
      <c r="I304" s="19">
        <v>1075.6451612903227</v>
      </c>
      <c r="J304" s="19">
        <v>6765.5854932528064</v>
      </c>
      <c r="K304" s="5">
        <v>297</v>
      </c>
      <c r="L304" s="21" t="str">
        <f>IF(ISNA(_xlfn.XLOOKUP(D304,'Same Seller Hist'!E:E,'Same Seller Hist'!E:E)),"Não","Sim")</f>
        <v>Não</v>
      </c>
      <c r="M304" s="21" t="str">
        <f>_xlfn.IFNA(_xlfn.XLOOKUP(D304,'Same Seller Hist'!E:E,'Same Seller Hist'!M:M),"Não Match")</f>
        <v>Não Match</v>
      </c>
    </row>
    <row r="305" spans="3:13" hidden="1" x14ac:dyDescent="0.35">
      <c r="C305" s="18">
        <v>45992</v>
      </c>
      <c r="D305" s="5">
        <v>397173223</v>
      </c>
      <c r="E305" s="5" t="s">
        <v>1548</v>
      </c>
      <c r="F305" s="5" t="s">
        <v>1734</v>
      </c>
      <c r="G305" s="5">
        <v>1</v>
      </c>
      <c r="H305" s="5">
        <v>0</v>
      </c>
      <c r="I305" s="19">
        <v>1074.548387096771</v>
      </c>
      <c r="J305" s="19">
        <v>3454.8980870081614</v>
      </c>
      <c r="K305" s="5">
        <v>298</v>
      </c>
      <c r="L305" s="21" t="str">
        <f>IF(ISNA(_xlfn.XLOOKUP(D305,'Same Seller Hist'!E:E,'Same Seller Hist'!E:E)),"Não","Sim")</f>
        <v>Não</v>
      </c>
      <c r="M305" s="21" t="str">
        <f>_xlfn.IFNA(_xlfn.XLOOKUP(D305,'Same Seller Hist'!E:E,'Same Seller Hist'!M:M),"Não Match")</f>
        <v>Não Match</v>
      </c>
    </row>
    <row r="306" spans="3:13" hidden="1" x14ac:dyDescent="0.35">
      <c r="C306" s="18">
        <v>45992</v>
      </c>
      <c r="D306" s="5">
        <v>386263059</v>
      </c>
      <c r="E306" s="5" t="s">
        <v>1549</v>
      </c>
      <c r="F306" s="5" t="s">
        <v>907</v>
      </c>
      <c r="G306" s="5">
        <v>0</v>
      </c>
      <c r="H306" s="5">
        <v>0</v>
      </c>
      <c r="I306" s="19">
        <v>1073.7741935483839</v>
      </c>
      <c r="J306" s="19">
        <v>3936.6585237584518</v>
      </c>
      <c r="K306" s="5">
        <v>299</v>
      </c>
      <c r="L306" s="21" t="str">
        <f>IF(ISNA(_xlfn.XLOOKUP(D306,'Same Seller Hist'!E:E,'Same Seller Hist'!E:E)),"Não","Sim")</f>
        <v>Não</v>
      </c>
      <c r="M306" s="21" t="str">
        <f>_xlfn.IFNA(_xlfn.XLOOKUP(D306,'Same Seller Hist'!E:E,'Same Seller Hist'!M:M),"Não Match")</f>
        <v>Não Match</v>
      </c>
    </row>
    <row r="307" spans="3:13" hidden="1" x14ac:dyDescent="0.35">
      <c r="C307" s="18">
        <v>45992</v>
      </c>
      <c r="D307" s="5">
        <v>328538026</v>
      </c>
      <c r="E307" s="5" t="s">
        <v>1550</v>
      </c>
      <c r="F307" s="5" t="s">
        <v>1734</v>
      </c>
      <c r="G307" s="5">
        <v>1</v>
      </c>
      <c r="H307" s="5">
        <v>1</v>
      </c>
      <c r="I307" s="19">
        <v>1068.9354838709678</v>
      </c>
      <c r="J307" s="19">
        <v>4884.9416273615489</v>
      </c>
      <c r="K307" s="5">
        <v>300</v>
      </c>
      <c r="L307" s="21" t="str">
        <f>IF(ISNA(_xlfn.XLOOKUP(D307,'Same Seller Hist'!E:E,'Same Seller Hist'!E:E)),"Não","Sim")</f>
        <v>Não</v>
      </c>
      <c r="M307" s="21" t="str">
        <f>_xlfn.IFNA(_xlfn.XLOOKUP(D307,'Same Seller Hist'!E:E,'Same Seller Hist'!M:M),"Não Match")</f>
        <v>Não Match</v>
      </c>
    </row>
    <row r="308" spans="3:13" hidden="1" x14ac:dyDescent="0.35">
      <c r="C308" s="18">
        <v>45992</v>
      </c>
      <c r="D308" s="5">
        <v>378087964</v>
      </c>
      <c r="E308" s="5" t="s">
        <v>1551</v>
      </c>
      <c r="F308" s="5" t="s">
        <v>906</v>
      </c>
      <c r="G308" s="5">
        <v>0</v>
      </c>
      <c r="H308" s="5">
        <v>1</v>
      </c>
      <c r="I308" s="19">
        <v>1066.2258064516095</v>
      </c>
      <c r="J308" s="19">
        <v>4355.5083388824833</v>
      </c>
      <c r="K308" s="5">
        <v>301</v>
      </c>
      <c r="L308" s="21" t="str">
        <f>IF(ISNA(_xlfn.XLOOKUP(D308,'Same Seller Hist'!E:E,'Same Seller Hist'!E:E)),"Não","Sim")</f>
        <v>Não</v>
      </c>
      <c r="M308" s="21" t="str">
        <f>_xlfn.IFNA(_xlfn.XLOOKUP(D308,'Same Seller Hist'!E:E,'Same Seller Hist'!M:M),"Não Match")</f>
        <v>Não Match</v>
      </c>
    </row>
    <row r="309" spans="3:13" hidden="1" x14ac:dyDescent="0.35">
      <c r="C309" s="18">
        <v>45992</v>
      </c>
      <c r="D309" s="5">
        <v>955956787</v>
      </c>
      <c r="E309" s="5" t="s">
        <v>1552</v>
      </c>
      <c r="F309" s="5" t="s">
        <v>1734</v>
      </c>
      <c r="G309" s="5">
        <v>1</v>
      </c>
      <c r="H309" s="5">
        <v>0</v>
      </c>
      <c r="I309" s="19">
        <v>1063.8064516129032</v>
      </c>
      <c r="J309" s="19">
        <v>5052.2843399648718</v>
      </c>
      <c r="K309" s="5">
        <v>302</v>
      </c>
      <c r="L309" s="21" t="str">
        <f>IF(ISNA(_xlfn.XLOOKUP(D309,'Same Seller Hist'!E:E,'Same Seller Hist'!E:E)),"Não","Sim")</f>
        <v>Não</v>
      </c>
      <c r="M309" s="21" t="str">
        <f>_xlfn.IFNA(_xlfn.XLOOKUP(D309,'Same Seller Hist'!E:E,'Same Seller Hist'!M:M),"Não Match")</f>
        <v>Não Match</v>
      </c>
    </row>
    <row r="310" spans="3:13" hidden="1" x14ac:dyDescent="0.35">
      <c r="C310" s="18">
        <v>45992</v>
      </c>
      <c r="D310" s="5">
        <v>1600780899</v>
      </c>
      <c r="E310" s="5" t="s">
        <v>1553</v>
      </c>
      <c r="F310" s="5" t="s">
        <v>903</v>
      </c>
      <c r="G310" s="5">
        <v>0</v>
      </c>
      <c r="H310" s="5">
        <v>0</v>
      </c>
      <c r="I310" s="19">
        <v>1061.258064516129</v>
      </c>
      <c r="J310" s="19">
        <v>3359.9472081167423</v>
      </c>
      <c r="K310" s="5">
        <v>303</v>
      </c>
      <c r="L310" s="21" t="str">
        <f>IF(ISNA(_xlfn.XLOOKUP(D310,'Same Seller Hist'!E:E,'Same Seller Hist'!E:E)),"Não","Sim")</f>
        <v>Não</v>
      </c>
      <c r="M310" s="21" t="str">
        <f>_xlfn.IFNA(_xlfn.XLOOKUP(D310,'Same Seller Hist'!E:E,'Same Seller Hist'!M:M),"Não Match")</f>
        <v>Não Match</v>
      </c>
    </row>
    <row r="311" spans="3:13" x14ac:dyDescent="0.35">
      <c r="C311" s="18">
        <v>45992</v>
      </c>
      <c r="D311" s="5">
        <v>338558924</v>
      </c>
      <c r="E311" s="5" t="s">
        <v>1554</v>
      </c>
      <c r="F311" s="5" t="s">
        <v>905</v>
      </c>
      <c r="G311" s="5">
        <v>0</v>
      </c>
      <c r="H311" s="5">
        <v>1</v>
      </c>
      <c r="I311" s="19">
        <v>1060.4516129032259</v>
      </c>
      <c r="J311" s="19">
        <v>6598.9676599932582</v>
      </c>
      <c r="K311" s="5">
        <v>304</v>
      </c>
      <c r="L311" s="21" t="str">
        <f>IF(ISNA(_xlfn.XLOOKUP(D311,'Same Seller Hist'!E:E,'Same Seller Hist'!E:E)),"Não","Sim")</f>
        <v>Sim</v>
      </c>
      <c r="M311" s="21" t="str">
        <f>_xlfn.IFNA(_xlfn.XLOOKUP(D311,'Same Seller Hist'!E:E,'Same Seller Hist'!M:M),"Não Match")</f>
        <v>Ativo</v>
      </c>
    </row>
    <row r="312" spans="3:13" hidden="1" x14ac:dyDescent="0.35">
      <c r="C312" s="18">
        <v>45992</v>
      </c>
      <c r="D312" s="5">
        <v>1197740889</v>
      </c>
      <c r="E312" s="5" t="s">
        <v>1555</v>
      </c>
      <c r="F312" s="5" t="s">
        <v>903</v>
      </c>
      <c r="G312" s="5">
        <v>0</v>
      </c>
      <c r="H312" s="5">
        <v>0</v>
      </c>
      <c r="I312" s="19">
        <v>1060.0322580645129</v>
      </c>
      <c r="J312" s="19">
        <v>5293.2948209144515</v>
      </c>
      <c r="K312" s="5">
        <v>305</v>
      </c>
      <c r="L312" s="21" t="str">
        <f>IF(ISNA(_xlfn.XLOOKUP(D312,'Same Seller Hist'!E:E,'Same Seller Hist'!E:E)),"Não","Sim")</f>
        <v>Não</v>
      </c>
      <c r="M312" s="21" t="str">
        <f>_xlfn.IFNA(_xlfn.XLOOKUP(D312,'Same Seller Hist'!E:E,'Same Seller Hist'!M:M),"Não Match")</f>
        <v>Não Match</v>
      </c>
    </row>
    <row r="313" spans="3:13" hidden="1" x14ac:dyDescent="0.35">
      <c r="C313" s="18">
        <v>45992</v>
      </c>
      <c r="D313" s="5">
        <v>546270549</v>
      </c>
      <c r="E313" s="5" t="s">
        <v>1556</v>
      </c>
      <c r="F313" s="5" t="s">
        <v>905</v>
      </c>
      <c r="G313" s="5">
        <v>0</v>
      </c>
      <c r="H313" s="5">
        <v>1</v>
      </c>
      <c r="I313" s="19">
        <v>1059.1612903225807</v>
      </c>
      <c r="J313" s="19">
        <v>8885.0395954260002</v>
      </c>
      <c r="K313" s="5">
        <v>306</v>
      </c>
      <c r="L313" s="21" t="str">
        <f>IF(ISNA(_xlfn.XLOOKUP(D313,'Same Seller Hist'!E:E,'Same Seller Hist'!E:E)),"Não","Sim")</f>
        <v>Não</v>
      </c>
      <c r="M313" s="21" t="str">
        <f>_xlfn.IFNA(_xlfn.XLOOKUP(D313,'Same Seller Hist'!E:E,'Same Seller Hist'!M:M),"Não Match")</f>
        <v>Não Match</v>
      </c>
    </row>
    <row r="314" spans="3:13" hidden="1" x14ac:dyDescent="0.35">
      <c r="C314" s="18">
        <v>45992</v>
      </c>
      <c r="D314" s="5">
        <v>406189169</v>
      </c>
      <c r="E314" s="5" t="s">
        <v>1557</v>
      </c>
      <c r="F314" s="5" t="s">
        <v>1734</v>
      </c>
      <c r="G314" s="5">
        <v>1</v>
      </c>
      <c r="H314" s="5">
        <v>0</v>
      </c>
      <c r="I314" s="19">
        <v>1057.4516129032224</v>
      </c>
      <c r="J314" s="19">
        <v>4020.0949012982901</v>
      </c>
      <c r="K314" s="5">
        <v>307</v>
      </c>
      <c r="L314" s="21" t="str">
        <f>IF(ISNA(_xlfn.XLOOKUP(D314,'Same Seller Hist'!E:E,'Same Seller Hist'!E:E)),"Não","Sim")</f>
        <v>Não</v>
      </c>
      <c r="M314" s="21" t="str">
        <f>_xlfn.IFNA(_xlfn.XLOOKUP(D314,'Same Seller Hist'!E:E,'Same Seller Hist'!M:M),"Não Match")</f>
        <v>Não Match</v>
      </c>
    </row>
    <row r="315" spans="3:13" x14ac:dyDescent="0.35">
      <c r="C315" s="18">
        <v>45992</v>
      </c>
      <c r="D315" s="5">
        <v>403640709</v>
      </c>
      <c r="E315" s="5" t="s">
        <v>1558</v>
      </c>
      <c r="F315" s="5" t="s">
        <v>905</v>
      </c>
      <c r="G315" s="5">
        <v>0</v>
      </c>
      <c r="H315" s="5">
        <v>1</v>
      </c>
      <c r="I315" s="19">
        <v>1056.1935483870936</v>
      </c>
      <c r="J315" s="19">
        <v>5769.9448312066452</v>
      </c>
      <c r="K315" s="5">
        <v>308</v>
      </c>
      <c r="L315" s="21" t="str">
        <f>IF(ISNA(_xlfn.XLOOKUP(D315,'Same Seller Hist'!E:E,'Same Seller Hist'!E:E)),"Não","Sim")</f>
        <v>Sim</v>
      </c>
      <c r="M315" s="21" t="str">
        <f>_xlfn.IFNA(_xlfn.XLOOKUP(D315,'Same Seller Hist'!E:E,'Same Seller Hist'!M:M),"Não Match")</f>
        <v>Ativo</v>
      </c>
    </row>
    <row r="316" spans="3:13" x14ac:dyDescent="0.35">
      <c r="C316" s="18">
        <v>45992</v>
      </c>
      <c r="D316" s="5">
        <v>342086228</v>
      </c>
      <c r="E316" s="5" t="s">
        <v>451</v>
      </c>
      <c r="F316" s="5" t="s">
        <v>904</v>
      </c>
      <c r="G316" s="5">
        <v>0</v>
      </c>
      <c r="H316" s="5">
        <v>1</v>
      </c>
      <c r="I316" s="19">
        <v>1054.9677419354807</v>
      </c>
      <c r="J316" s="19">
        <v>30696.130171000907</v>
      </c>
      <c r="K316" s="5">
        <v>309</v>
      </c>
      <c r="L316" s="21" t="str">
        <f>IF(ISNA(_xlfn.XLOOKUP(D316,'Same Seller Hist'!E:E,'Same Seller Hist'!E:E)),"Não","Sim")</f>
        <v>Sim</v>
      </c>
      <c r="M316" s="21" t="str">
        <f>_xlfn.IFNA(_xlfn.XLOOKUP(D316,'Same Seller Hist'!E:E,'Same Seller Hist'!M:M),"Não Match")</f>
        <v>Ativo</v>
      </c>
    </row>
    <row r="317" spans="3:13" hidden="1" x14ac:dyDescent="0.35">
      <c r="C317" s="18">
        <v>45992</v>
      </c>
      <c r="D317" s="5">
        <v>1270301055</v>
      </c>
      <c r="E317" s="5" t="s">
        <v>1559</v>
      </c>
      <c r="F317" s="5" t="s">
        <v>1734</v>
      </c>
      <c r="G317" s="5">
        <v>1</v>
      </c>
      <c r="H317" s="5">
        <v>0</v>
      </c>
      <c r="I317" s="19">
        <v>1048.2258064516129</v>
      </c>
      <c r="J317" s="19">
        <v>4860.2647005555491</v>
      </c>
      <c r="K317" s="5">
        <v>310</v>
      </c>
      <c r="L317" s="21" t="str">
        <f>IF(ISNA(_xlfn.XLOOKUP(D317,'Same Seller Hist'!E:E,'Same Seller Hist'!E:E)),"Não","Sim")</f>
        <v>Não</v>
      </c>
      <c r="M317" s="21" t="str">
        <f>_xlfn.IFNA(_xlfn.XLOOKUP(D317,'Same Seller Hist'!E:E,'Same Seller Hist'!M:M),"Não Match")</f>
        <v>Não Match</v>
      </c>
    </row>
    <row r="318" spans="3:13" x14ac:dyDescent="0.35">
      <c r="C318" s="18">
        <v>45992</v>
      </c>
      <c r="D318" s="5">
        <v>375175329</v>
      </c>
      <c r="E318" s="5" t="s">
        <v>485</v>
      </c>
      <c r="F318" s="5" t="s">
        <v>903</v>
      </c>
      <c r="G318" s="5">
        <v>0</v>
      </c>
      <c r="H318" s="5">
        <v>1</v>
      </c>
      <c r="I318" s="19">
        <v>1047.6129032258034</v>
      </c>
      <c r="J318" s="19">
        <v>10358.654945444225</v>
      </c>
      <c r="K318" s="5">
        <v>311</v>
      </c>
      <c r="L318" s="21" t="str">
        <f>IF(ISNA(_xlfn.XLOOKUP(D318,'Same Seller Hist'!E:E,'Same Seller Hist'!E:E)),"Não","Sim")</f>
        <v>Sim</v>
      </c>
      <c r="M318" s="21" t="str">
        <f>_xlfn.IFNA(_xlfn.XLOOKUP(D318,'Same Seller Hist'!E:E,'Same Seller Hist'!M:M),"Não Match")</f>
        <v>Ativo</v>
      </c>
    </row>
    <row r="319" spans="3:13" hidden="1" x14ac:dyDescent="0.35">
      <c r="C319" s="18">
        <v>45992</v>
      </c>
      <c r="D319" s="5">
        <v>411286117</v>
      </c>
      <c r="E319" s="5" t="s">
        <v>1560</v>
      </c>
      <c r="F319" s="5" t="s">
        <v>905</v>
      </c>
      <c r="G319" s="5">
        <v>0</v>
      </c>
      <c r="H319" s="5">
        <v>0</v>
      </c>
      <c r="I319" s="19">
        <v>1045.9032258064517</v>
      </c>
      <c r="J319" s="19">
        <v>4078.5829214453547</v>
      </c>
      <c r="K319" s="5">
        <v>312</v>
      </c>
      <c r="L319" s="21" t="str">
        <f>IF(ISNA(_xlfn.XLOOKUP(D319,'Same Seller Hist'!E:E,'Same Seller Hist'!E:E)),"Não","Sim")</f>
        <v>Não</v>
      </c>
      <c r="M319" s="21" t="str">
        <f>_xlfn.IFNA(_xlfn.XLOOKUP(D319,'Same Seller Hist'!E:E,'Same Seller Hist'!M:M),"Não Match")</f>
        <v>Não Match</v>
      </c>
    </row>
    <row r="320" spans="3:13" hidden="1" x14ac:dyDescent="0.35">
      <c r="C320" s="18">
        <v>45992</v>
      </c>
      <c r="D320" s="5">
        <v>1060688258</v>
      </c>
      <c r="E320" s="5" t="s">
        <v>1561</v>
      </c>
      <c r="F320" s="5" t="s">
        <v>1734</v>
      </c>
      <c r="G320" s="5">
        <v>1</v>
      </c>
      <c r="H320" s="5">
        <v>1</v>
      </c>
      <c r="I320" s="19">
        <v>1044.0322580645129</v>
      </c>
      <c r="J320" s="19">
        <v>9216.7753744661604</v>
      </c>
      <c r="K320" s="5">
        <v>313</v>
      </c>
      <c r="L320" s="21" t="str">
        <f>IF(ISNA(_xlfn.XLOOKUP(D320,'Same Seller Hist'!E:E,'Same Seller Hist'!E:E)),"Não","Sim")</f>
        <v>Não</v>
      </c>
      <c r="M320" s="21" t="str">
        <f>_xlfn.IFNA(_xlfn.XLOOKUP(D320,'Same Seller Hist'!E:E,'Same Seller Hist'!M:M),"Não Match")</f>
        <v>Não Match</v>
      </c>
    </row>
    <row r="321" spans="3:13" x14ac:dyDescent="0.35">
      <c r="C321" s="18">
        <v>45992</v>
      </c>
      <c r="D321" s="5">
        <v>413762733</v>
      </c>
      <c r="E321" s="5" t="s">
        <v>1562</v>
      </c>
      <c r="F321" s="5" t="s">
        <v>1734</v>
      </c>
      <c r="G321" s="5">
        <v>1</v>
      </c>
      <c r="H321" s="5">
        <v>1</v>
      </c>
      <c r="I321" s="19">
        <v>1043.1612903225775</v>
      </c>
      <c r="J321" s="19">
        <v>12148.091746551934</v>
      </c>
      <c r="K321" s="5">
        <v>314</v>
      </c>
      <c r="L321" s="21" t="str">
        <f>IF(ISNA(_xlfn.XLOOKUP(D321,'Same Seller Hist'!E:E,'Same Seller Hist'!E:E)),"Não","Sim")</f>
        <v>Sim</v>
      </c>
      <c r="M321" s="21" t="str">
        <f>_xlfn.IFNA(_xlfn.XLOOKUP(D321,'Same Seller Hist'!E:E,'Same Seller Hist'!M:M),"Não Match")</f>
        <v>Ativo</v>
      </c>
    </row>
    <row r="322" spans="3:13" hidden="1" x14ac:dyDescent="0.35">
      <c r="C322" s="18">
        <v>45992</v>
      </c>
      <c r="D322" s="5">
        <v>580791382</v>
      </c>
      <c r="E322" s="5" t="s">
        <v>1563</v>
      </c>
      <c r="F322" s="5" t="s">
        <v>905</v>
      </c>
      <c r="G322" s="5">
        <v>0</v>
      </c>
      <c r="H322" s="5">
        <v>1</v>
      </c>
      <c r="I322" s="19">
        <v>1042.516129032258</v>
      </c>
      <c r="J322" s="19">
        <v>68400.242148621604</v>
      </c>
      <c r="K322" s="5">
        <v>315</v>
      </c>
      <c r="L322" s="21" t="str">
        <f>IF(ISNA(_xlfn.XLOOKUP(D322,'Same Seller Hist'!E:E,'Same Seller Hist'!E:E)),"Não","Sim")</f>
        <v>Não</v>
      </c>
      <c r="M322" s="21" t="str">
        <f>_xlfn.IFNA(_xlfn.XLOOKUP(D322,'Same Seller Hist'!E:E,'Same Seller Hist'!M:M),"Não Match")</f>
        <v>Não Match</v>
      </c>
    </row>
    <row r="323" spans="3:13" hidden="1" x14ac:dyDescent="0.35">
      <c r="C323" s="18">
        <v>45992</v>
      </c>
      <c r="D323" s="5">
        <v>1579483292</v>
      </c>
      <c r="E323" s="5" t="s">
        <v>1564</v>
      </c>
      <c r="F323" s="5" t="s">
        <v>906</v>
      </c>
      <c r="G323" s="5">
        <v>0</v>
      </c>
      <c r="H323" s="5">
        <v>0</v>
      </c>
      <c r="I323" s="19">
        <v>1041.4193548387066</v>
      </c>
      <c r="J323" s="19">
        <v>5259.1554803159679</v>
      </c>
      <c r="K323" s="5">
        <v>316</v>
      </c>
      <c r="L323" s="21" t="str">
        <f>IF(ISNA(_xlfn.XLOOKUP(D323,'Same Seller Hist'!E:E,'Same Seller Hist'!E:E)),"Não","Sim")</f>
        <v>Não</v>
      </c>
      <c r="M323" s="21" t="str">
        <f>_xlfn.IFNA(_xlfn.XLOOKUP(D323,'Same Seller Hist'!E:E,'Same Seller Hist'!M:M),"Não Match")</f>
        <v>Não Match</v>
      </c>
    </row>
    <row r="324" spans="3:13" hidden="1" x14ac:dyDescent="0.35">
      <c r="C324" s="18">
        <v>45992</v>
      </c>
      <c r="D324" s="5">
        <v>293152127</v>
      </c>
      <c r="E324" s="5" t="s">
        <v>1565</v>
      </c>
      <c r="F324" s="5" t="s">
        <v>906</v>
      </c>
      <c r="G324" s="5">
        <v>0</v>
      </c>
      <c r="H324" s="5">
        <v>1</v>
      </c>
      <c r="I324" s="19">
        <v>1041.3870967741905</v>
      </c>
      <c r="J324" s="19">
        <v>12686.287392877999</v>
      </c>
      <c r="K324" s="5">
        <v>317</v>
      </c>
      <c r="L324" s="21" t="str">
        <f>IF(ISNA(_xlfn.XLOOKUP(D324,'Same Seller Hist'!E:E,'Same Seller Hist'!E:E)),"Não","Sim")</f>
        <v>Não</v>
      </c>
      <c r="M324" s="21" t="str">
        <f>_xlfn.IFNA(_xlfn.XLOOKUP(D324,'Same Seller Hist'!E:E,'Same Seller Hist'!M:M),"Não Match")</f>
        <v>Não Match</v>
      </c>
    </row>
    <row r="325" spans="3:13" x14ac:dyDescent="0.35">
      <c r="C325" s="18">
        <v>45992</v>
      </c>
      <c r="D325" s="5">
        <v>790605924</v>
      </c>
      <c r="E325" s="5" t="s">
        <v>1566</v>
      </c>
      <c r="F325" s="5" t="s">
        <v>905</v>
      </c>
      <c r="G325" s="5">
        <v>0</v>
      </c>
      <c r="H325" s="5">
        <v>1</v>
      </c>
      <c r="I325" s="19">
        <v>1041.0967741935451</v>
      </c>
      <c r="J325" s="19">
        <v>18478.950392067192</v>
      </c>
      <c r="K325" s="5">
        <v>318</v>
      </c>
      <c r="L325" s="21" t="str">
        <f>IF(ISNA(_xlfn.XLOOKUP(D325,'Same Seller Hist'!E:E,'Same Seller Hist'!E:E)),"Não","Sim")</f>
        <v>Sim</v>
      </c>
      <c r="M325" s="21" t="str">
        <f>_xlfn.IFNA(_xlfn.XLOOKUP(D325,'Same Seller Hist'!E:E,'Same Seller Hist'!M:M),"Não Match")</f>
        <v>Ativo</v>
      </c>
    </row>
    <row r="326" spans="3:13" x14ac:dyDescent="0.35">
      <c r="C326" s="18">
        <v>45992</v>
      </c>
      <c r="D326" s="5">
        <v>378982950</v>
      </c>
      <c r="E326" s="5" t="s">
        <v>495</v>
      </c>
      <c r="F326" s="5" t="s">
        <v>905</v>
      </c>
      <c r="G326" s="5">
        <v>0</v>
      </c>
      <c r="H326" s="5">
        <v>0</v>
      </c>
      <c r="I326" s="19">
        <v>1040.0967741935451</v>
      </c>
      <c r="J326" s="19">
        <v>2251.2986944728482</v>
      </c>
      <c r="K326" s="5">
        <v>319</v>
      </c>
      <c r="L326" s="21" t="str">
        <f>IF(ISNA(_xlfn.XLOOKUP(D326,'Same Seller Hist'!E:E,'Same Seller Hist'!E:E)),"Não","Sim")</f>
        <v>Sim</v>
      </c>
      <c r="M326" s="21" t="str">
        <f>_xlfn.IFNA(_xlfn.XLOOKUP(D326,'Same Seller Hist'!E:E,'Same Seller Hist'!M:M),"Não Match")</f>
        <v>Ativo</v>
      </c>
    </row>
    <row r="327" spans="3:13" hidden="1" x14ac:dyDescent="0.35">
      <c r="C327" s="18">
        <v>45992</v>
      </c>
      <c r="D327" s="5">
        <v>1371998281</v>
      </c>
      <c r="E327" s="5" t="s">
        <v>1567</v>
      </c>
      <c r="F327" s="5" t="s">
        <v>1734</v>
      </c>
      <c r="G327" s="5">
        <v>1</v>
      </c>
      <c r="H327" s="5">
        <v>1</v>
      </c>
      <c r="I327" s="19">
        <v>1036.1612903225775</v>
      </c>
      <c r="J327" s="19">
        <v>9702.0826649249029</v>
      </c>
      <c r="K327" s="5">
        <v>320</v>
      </c>
      <c r="L327" s="21" t="str">
        <f>IF(ISNA(_xlfn.XLOOKUP(D327,'Same Seller Hist'!E:E,'Same Seller Hist'!E:E)),"Não","Sim")</f>
        <v>Não</v>
      </c>
      <c r="M327" s="21" t="str">
        <f>_xlfn.IFNA(_xlfn.XLOOKUP(D327,'Same Seller Hist'!E:E,'Same Seller Hist'!M:M),"Não Match")</f>
        <v>Não Match</v>
      </c>
    </row>
    <row r="328" spans="3:13" hidden="1" x14ac:dyDescent="0.35">
      <c r="C328" s="18">
        <v>45992</v>
      </c>
      <c r="D328" s="5">
        <v>1530311909</v>
      </c>
      <c r="E328" s="5" t="s">
        <v>1568</v>
      </c>
      <c r="F328" s="5" t="s">
        <v>905</v>
      </c>
      <c r="G328" s="5">
        <v>0</v>
      </c>
      <c r="H328" s="5">
        <v>0</v>
      </c>
      <c r="I328" s="19">
        <v>1035.5483870967741</v>
      </c>
      <c r="J328" s="19">
        <v>7491.0981310433872</v>
      </c>
      <c r="K328" s="5">
        <v>321</v>
      </c>
      <c r="L328" s="21" t="str">
        <f>IF(ISNA(_xlfn.XLOOKUP(D328,'Same Seller Hist'!E:E,'Same Seller Hist'!E:E)),"Não","Sim")</f>
        <v>Não</v>
      </c>
      <c r="M328" s="21" t="str">
        <f>_xlfn.IFNA(_xlfn.XLOOKUP(D328,'Same Seller Hist'!E:E,'Same Seller Hist'!M:M),"Não Match")</f>
        <v>Não Match</v>
      </c>
    </row>
    <row r="329" spans="3:13" x14ac:dyDescent="0.35">
      <c r="C329" s="18">
        <v>45992</v>
      </c>
      <c r="D329" s="5">
        <v>1262603742</v>
      </c>
      <c r="E329" s="5" t="s">
        <v>1569</v>
      </c>
      <c r="F329" s="5" t="s">
        <v>906</v>
      </c>
      <c r="G329" s="5">
        <v>0</v>
      </c>
      <c r="H329" s="5">
        <v>1</v>
      </c>
      <c r="I329" s="19">
        <v>1035.258064516129</v>
      </c>
      <c r="J329" s="19">
        <v>7727.9425591420322</v>
      </c>
      <c r="K329" s="5">
        <v>322</v>
      </c>
      <c r="L329" s="21" t="str">
        <f>IF(ISNA(_xlfn.XLOOKUP(D329,'Same Seller Hist'!E:E,'Same Seller Hist'!E:E)),"Não","Sim")</f>
        <v>Sim</v>
      </c>
      <c r="M329" s="21" t="str">
        <f>_xlfn.IFNA(_xlfn.XLOOKUP(D329,'Same Seller Hist'!E:E,'Same Seller Hist'!M:M),"Não Match")</f>
        <v>Ativo</v>
      </c>
    </row>
    <row r="330" spans="3:13" hidden="1" x14ac:dyDescent="0.35">
      <c r="C330" s="18">
        <v>45992</v>
      </c>
      <c r="D330" s="5">
        <v>1285485572</v>
      </c>
      <c r="E330" s="5" t="s">
        <v>1570</v>
      </c>
      <c r="F330" s="5" t="s">
        <v>1734</v>
      </c>
      <c r="G330" s="5">
        <v>1</v>
      </c>
      <c r="H330" s="5">
        <v>1</v>
      </c>
      <c r="I330" s="19">
        <v>1034.9354838709646</v>
      </c>
      <c r="J330" s="19">
        <v>6901.2475263245169</v>
      </c>
      <c r="K330" s="5">
        <v>323</v>
      </c>
      <c r="L330" s="21" t="str">
        <f>IF(ISNA(_xlfn.XLOOKUP(D330,'Same Seller Hist'!E:E,'Same Seller Hist'!E:E)),"Não","Sim")</f>
        <v>Não</v>
      </c>
      <c r="M330" s="21" t="str">
        <f>_xlfn.IFNA(_xlfn.XLOOKUP(D330,'Same Seller Hist'!E:E,'Same Seller Hist'!M:M),"Não Match")</f>
        <v>Não Match</v>
      </c>
    </row>
    <row r="331" spans="3:13" x14ac:dyDescent="0.35">
      <c r="C331" s="18">
        <v>45992</v>
      </c>
      <c r="D331" s="5">
        <v>284901819</v>
      </c>
      <c r="E331" s="5" t="s">
        <v>1571</v>
      </c>
      <c r="F331" s="5" t="s">
        <v>1734</v>
      </c>
      <c r="G331" s="5">
        <v>1</v>
      </c>
      <c r="H331" s="5">
        <v>1</v>
      </c>
      <c r="I331" s="19">
        <v>1030.6129032258034</v>
      </c>
      <c r="J331" s="19">
        <v>5586.8543845695485</v>
      </c>
      <c r="K331" s="5">
        <v>324</v>
      </c>
      <c r="L331" s="21" t="str">
        <f>IF(ISNA(_xlfn.XLOOKUP(D331,'Same Seller Hist'!E:E,'Same Seller Hist'!E:E)),"Não","Sim")</f>
        <v>Sim</v>
      </c>
      <c r="M331" s="21" t="str">
        <f>_xlfn.IFNA(_xlfn.XLOOKUP(D331,'Same Seller Hist'!E:E,'Same Seller Hist'!M:M),"Não Match")</f>
        <v>Ativo</v>
      </c>
    </row>
    <row r="332" spans="3:13" hidden="1" x14ac:dyDescent="0.35">
      <c r="C332" s="18">
        <v>45992</v>
      </c>
      <c r="D332" s="5">
        <v>804505502</v>
      </c>
      <c r="E332" s="5" t="s">
        <v>1572</v>
      </c>
      <c r="F332" s="5" t="s">
        <v>1734</v>
      </c>
      <c r="G332" s="5">
        <v>1</v>
      </c>
      <c r="H332" s="5">
        <v>0</v>
      </c>
      <c r="I332" s="19">
        <v>1030.483870967742</v>
      </c>
      <c r="J332" s="19">
        <v>5783.4311055859034</v>
      </c>
      <c r="K332" s="5">
        <v>325</v>
      </c>
      <c r="L332" s="21" t="str">
        <f>IF(ISNA(_xlfn.XLOOKUP(D332,'Same Seller Hist'!E:E,'Same Seller Hist'!E:E)),"Não","Sim")</f>
        <v>Não</v>
      </c>
      <c r="M332" s="21" t="str">
        <f>_xlfn.IFNA(_xlfn.XLOOKUP(D332,'Same Seller Hist'!E:E,'Same Seller Hist'!M:M),"Não Match")</f>
        <v>Não Match</v>
      </c>
    </row>
    <row r="333" spans="3:13" hidden="1" x14ac:dyDescent="0.35">
      <c r="C333" s="18">
        <v>45992</v>
      </c>
      <c r="D333" s="5">
        <v>1390361104</v>
      </c>
      <c r="E333" s="5" t="s">
        <v>1573</v>
      </c>
      <c r="F333" s="5" t="s">
        <v>905</v>
      </c>
      <c r="G333" s="5">
        <v>0</v>
      </c>
      <c r="H333" s="5">
        <v>0</v>
      </c>
      <c r="I333" s="19">
        <v>1030.0967741935451</v>
      </c>
      <c r="J333" s="19">
        <v>5660.9148686975486</v>
      </c>
      <c r="K333" s="5">
        <v>326</v>
      </c>
      <c r="L333" s="21" t="str">
        <f>IF(ISNA(_xlfn.XLOOKUP(D333,'Same Seller Hist'!E:E,'Same Seller Hist'!E:E)),"Não","Sim")</f>
        <v>Não</v>
      </c>
      <c r="M333" s="21" t="str">
        <f>_xlfn.IFNA(_xlfn.XLOOKUP(D333,'Same Seller Hist'!E:E,'Same Seller Hist'!M:M),"Não Match")</f>
        <v>Não Match</v>
      </c>
    </row>
    <row r="334" spans="3:13" hidden="1" x14ac:dyDescent="0.35">
      <c r="C334" s="18">
        <v>45992</v>
      </c>
      <c r="D334" s="5">
        <v>590473480</v>
      </c>
      <c r="E334" s="5" t="s">
        <v>1574</v>
      </c>
      <c r="F334" s="5" t="s">
        <v>906</v>
      </c>
      <c r="G334" s="5">
        <v>0</v>
      </c>
      <c r="H334" s="5">
        <v>1</v>
      </c>
      <c r="I334" s="19">
        <v>1028.0967741935451</v>
      </c>
      <c r="J334" s="19">
        <v>2829.9381614260224</v>
      </c>
      <c r="K334" s="5">
        <v>327</v>
      </c>
      <c r="L334" s="21" t="str">
        <f>IF(ISNA(_xlfn.XLOOKUP(D334,'Same Seller Hist'!E:E,'Same Seller Hist'!E:E)),"Não","Sim")</f>
        <v>Não</v>
      </c>
      <c r="M334" s="21" t="str">
        <f>_xlfn.IFNA(_xlfn.XLOOKUP(D334,'Same Seller Hist'!E:E,'Same Seller Hist'!M:M),"Não Match")</f>
        <v>Não Match</v>
      </c>
    </row>
    <row r="335" spans="3:13" hidden="1" x14ac:dyDescent="0.35">
      <c r="C335" s="18">
        <v>45992</v>
      </c>
      <c r="D335" s="5">
        <v>1343196864</v>
      </c>
      <c r="E335" s="5" t="s">
        <v>1575</v>
      </c>
      <c r="F335" s="5" t="s">
        <v>906</v>
      </c>
      <c r="G335" s="5">
        <v>0</v>
      </c>
      <c r="H335" s="5">
        <v>0</v>
      </c>
      <c r="I335" s="19">
        <v>1026.516129032258</v>
      </c>
      <c r="J335" s="19">
        <v>2766.6668775429839</v>
      </c>
      <c r="K335" s="5">
        <v>328</v>
      </c>
      <c r="L335" s="21" t="str">
        <f>IF(ISNA(_xlfn.XLOOKUP(D335,'Same Seller Hist'!E:E,'Same Seller Hist'!E:E)),"Não","Sim")</f>
        <v>Não</v>
      </c>
      <c r="M335" s="21" t="str">
        <f>_xlfn.IFNA(_xlfn.XLOOKUP(D335,'Same Seller Hist'!E:E,'Same Seller Hist'!M:M),"Não Match")</f>
        <v>Não Match</v>
      </c>
    </row>
    <row r="336" spans="3:13" hidden="1" x14ac:dyDescent="0.35">
      <c r="C336" s="18">
        <v>45992</v>
      </c>
      <c r="D336" s="5">
        <v>1634417127</v>
      </c>
      <c r="E336" s="5" t="s">
        <v>1576</v>
      </c>
      <c r="F336" s="5" t="s">
        <v>906</v>
      </c>
      <c r="G336" s="5">
        <v>0</v>
      </c>
      <c r="H336" s="5">
        <v>0</v>
      </c>
      <c r="I336" s="19">
        <v>1025.9032258064517</v>
      </c>
      <c r="J336" s="19">
        <v>3143.9282844806289</v>
      </c>
      <c r="K336" s="5">
        <v>329</v>
      </c>
      <c r="L336" s="21" t="str">
        <f>IF(ISNA(_xlfn.XLOOKUP(D336,'Same Seller Hist'!E:E,'Same Seller Hist'!E:E)),"Não","Sim")</f>
        <v>Não</v>
      </c>
      <c r="M336" s="21" t="str">
        <f>_xlfn.IFNA(_xlfn.XLOOKUP(D336,'Same Seller Hist'!E:E,'Same Seller Hist'!M:M),"Não Match")</f>
        <v>Não Match</v>
      </c>
    </row>
    <row r="337" spans="3:13" x14ac:dyDescent="0.35">
      <c r="C337" s="18">
        <v>45992</v>
      </c>
      <c r="D337" s="5">
        <v>379994163</v>
      </c>
      <c r="E337" s="5" t="s">
        <v>497</v>
      </c>
      <c r="F337" s="5" t="s">
        <v>1734</v>
      </c>
      <c r="G337" s="5">
        <v>1</v>
      </c>
      <c r="H337" s="5">
        <v>1</v>
      </c>
      <c r="I337" s="19">
        <v>1025.1290322580614</v>
      </c>
      <c r="J337" s="19">
        <v>7773.840839249774</v>
      </c>
      <c r="K337" s="5">
        <v>330</v>
      </c>
      <c r="L337" s="21" t="str">
        <f>IF(ISNA(_xlfn.XLOOKUP(D337,'Same Seller Hist'!E:E,'Same Seller Hist'!E:E)),"Não","Sim")</f>
        <v>Sim</v>
      </c>
      <c r="M337" s="21" t="str">
        <f>_xlfn.IFNA(_xlfn.XLOOKUP(D337,'Same Seller Hist'!E:E,'Same Seller Hist'!M:M),"Não Match")</f>
        <v>Ativo</v>
      </c>
    </row>
    <row r="338" spans="3:13" x14ac:dyDescent="0.35">
      <c r="C338" s="18">
        <v>45992</v>
      </c>
      <c r="D338" s="5">
        <v>845996343</v>
      </c>
      <c r="E338" s="5" t="s">
        <v>1577</v>
      </c>
      <c r="F338" s="5" t="s">
        <v>1734</v>
      </c>
      <c r="G338" s="5">
        <v>1</v>
      </c>
      <c r="H338" s="5">
        <v>1</v>
      </c>
      <c r="I338" s="19">
        <v>1021.1612903225806</v>
      </c>
      <c r="J338" s="19">
        <v>7722.0030794325812</v>
      </c>
      <c r="K338" s="5">
        <v>331</v>
      </c>
      <c r="L338" s="21" t="str">
        <f>IF(ISNA(_xlfn.XLOOKUP(D338,'Same Seller Hist'!E:E,'Same Seller Hist'!E:E)),"Não","Sim")</f>
        <v>Sim</v>
      </c>
      <c r="M338" s="21" t="str">
        <f>_xlfn.IFNA(_xlfn.XLOOKUP(D338,'Same Seller Hist'!E:E,'Same Seller Hist'!M:M),"Não Match")</f>
        <v>Ativo</v>
      </c>
    </row>
    <row r="339" spans="3:13" x14ac:dyDescent="0.35">
      <c r="C339" s="18">
        <v>45992</v>
      </c>
      <c r="D339" s="5">
        <v>468703210</v>
      </c>
      <c r="E339" s="5" t="s">
        <v>591</v>
      </c>
      <c r="F339" s="5" t="s">
        <v>903</v>
      </c>
      <c r="G339" s="5">
        <v>0</v>
      </c>
      <c r="H339" s="5">
        <v>0</v>
      </c>
      <c r="I339" s="19">
        <v>1019.8387096774194</v>
      </c>
      <c r="J339" s="19">
        <v>4070.708542290613</v>
      </c>
      <c r="K339" s="5">
        <v>332</v>
      </c>
      <c r="L339" s="21" t="str">
        <f>IF(ISNA(_xlfn.XLOOKUP(D339,'Same Seller Hist'!E:E,'Same Seller Hist'!E:E)),"Não","Sim")</f>
        <v>Sim</v>
      </c>
      <c r="M339" s="21" t="str">
        <f>_xlfn.IFNA(_xlfn.XLOOKUP(D339,'Same Seller Hist'!E:E,'Same Seller Hist'!M:M),"Não Match")</f>
        <v>Ativo</v>
      </c>
    </row>
    <row r="340" spans="3:13" hidden="1" x14ac:dyDescent="0.35">
      <c r="C340" s="18">
        <v>45992</v>
      </c>
      <c r="D340" s="5">
        <v>1063329222</v>
      </c>
      <c r="E340" s="5" t="s">
        <v>1578</v>
      </c>
      <c r="F340" s="5" t="s">
        <v>1734</v>
      </c>
      <c r="G340" s="5">
        <v>1</v>
      </c>
      <c r="H340" s="5">
        <v>0</v>
      </c>
      <c r="I340" s="19">
        <v>1018.7741935483871</v>
      </c>
      <c r="J340" s="19">
        <v>5119.8576631245805</v>
      </c>
      <c r="K340" s="5">
        <v>333</v>
      </c>
      <c r="L340" s="21" t="str">
        <f>IF(ISNA(_xlfn.XLOOKUP(D340,'Same Seller Hist'!E:E,'Same Seller Hist'!E:E)),"Não","Sim")</f>
        <v>Não</v>
      </c>
      <c r="M340" s="21" t="str">
        <f>_xlfn.IFNA(_xlfn.XLOOKUP(D340,'Same Seller Hist'!E:E,'Same Seller Hist'!M:M),"Não Match")</f>
        <v>Não Match</v>
      </c>
    </row>
    <row r="341" spans="3:13" x14ac:dyDescent="0.35">
      <c r="C341" s="18">
        <v>45992</v>
      </c>
      <c r="D341" s="5">
        <v>1242044379</v>
      </c>
      <c r="E341" s="5" t="s">
        <v>1579</v>
      </c>
      <c r="F341" s="5" t="s">
        <v>903</v>
      </c>
      <c r="G341" s="5">
        <v>0</v>
      </c>
      <c r="H341" s="5">
        <v>1</v>
      </c>
      <c r="I341" s="19">
        <v>1016.2258064516129</v>
      </c>
      <c r="J341" s="19">
        <v>12150.095874346711</v>
      </c>
      <c r="K341" s="5">
        <v>334</v>
      </c>
      <c r="L341" s="21" t="str">
        <f>IF(ISNA(_xlfn.XLOOKUP(D341,'Same Seller Hist'!E:E,'Same Seller Hist'!E:E)),"Não","Sim")</f>
        <v>Sim</v>
      </c>
      <c r="M341" s="21" t="str">
        <f>_xlfn.IFNA(_xlfn.XLOOKUP(D341,'Same Seller Hist'!E:E,'Same Seller Hist'!M:M),"Não Match")</f>
        <v>Ativo</v>
      </c>
    </row>
    <row r="342" spans="3:13" hidden="1" x14ac:dyDescent="0.35">
      <c r="C342" s="18">
        <v>45992</v>
      </c>
      <c r="D342" s="5">
        <v>1580145778</v>
      </c>
      <c r="E342" s="5" t="s">
        <v>1580</v>
      </c>
      <c r="F342" s="5" t="s">
        <v>1734</v>
      </c>
      <c r="G342" s="5">
        <v>1</v>
      </c>
      <c r="H342" s="5">
        <v>1</v>
      </c>
      <c r="I342" s="19">
        <v>1010.1612903225774</v>
      </c>
      <c r="J342" s="19">
        <v>12255.823541800451</v>
      </c>
      <c r="K342" s="5">
        <v>335</v>
      </c>
      <c r="L342" s="21" t="str">
        <f>IF(ISNA(_xlfn.XLOOKUP(D342,'Same Seller Hist'!E:E,'Same Seller Hist'!E:E)),"Não","Sim")</f>
        <v>Não</v>
      </c>
      <c r="M342" s="21" t="str">
        <f>_xlfn.IFNA(_xlfn.XLOOKUP(D342,'Same Seller Hist'!E:E,'Same Seller Hist'!M:M),"Não Match")</f>
        <v>Não Match</v>
      </c>
    </row>
    <row r="343" spans="3:13" hidden="1" x14ac:dyDescent="0.35">
      <c r="C343" s="18">
        <v>45992</v>
      </c>
      <c r="D343" s="5">
        <v>457864097</v>
      </c>
      <c r="E343" s="5" t="s">
        <v>1581</v>
      </c>
      <c r="F343" s="5" t="s">
        <v>906</v>
      </c>
      <c r="G343" s="5">
        <v>0</v>
      </c>
      <c r="H343" s="5">
        <v>0</v>
      </c>
      <c r="I343" s="19">
        <v>1007.4193548387096</v>
      </c>
      <c r="J343" s="19">
        <v>28635.894451157645</v>
      </c>
      <c r="K343" s="5">
        <v>336</v>
      </c>
      <c r="L343" s="21" t="str">
        <f>IF(ISNA(_xlfn.XLOOKUP(D343,'Same Seller Hist'!E:E,'Same Seller Hist'!E:E)),"Não","Sim")</f>
        <v>Não</v>
      </c>
      <c r="M343" s="21" t="str">
        <f>_xlfn.IFNA(_xlfn.XLOOKUP(D343,'Same Seller Hist'!E:E,'Same Seller Hist'!M:M),"Não Match")</f>
        <v>Não Match</v>
      </c>
    </row>
    <row r="344" spans="3:13" hidden="1" x14ac:dyDescent="0.35">
      <c r="C344" s="18">
        <v>45992</v>
      </c>
      <c r="D344" s="5">
        <v>1072624004</v>
      </c>
      <c r="E344" s="5" t="s">
        <v>1582</v>
      </c>
      <c r="F344" s="5" t="s">
        <v>1734</v>
      </c>
      <c r="G344" s="5">
        <v>1</v>
      </c>
      <c r="H344" s="5">
        <v>1</v>
      </c>
      <c r="I344" s="19">
        <v>1007.2580645161258</v>
      </c>
      <c r="J344" s="19">
        <v>7539.0926024152905</v>
      </c>
      <c r="K344" s="5">
        <v>337</v>
      </c>
      <c r="L344" s="21" t="str">
        <f>IF(ISNA(_xlfn.XLOOKUP(D344,'Same Seller Hist'!E:E,'Same Seller Hist'!E:E)),"Não","Sim")</f>
        <v>Não</v>
      </c>
      <c r="M344" s="21" t="str">
        <f>_xlfn.IFNA(_xlfn.XLOOKUP(D344,'Same Seller Hist'!E:E,'Same Seller Hist'!M:M),"Não Match")</f>
        <v>Não Match</v>
      </c>
    </row>
    <row r="345" spans="3:13" x14ac:dyDescent="0.35">
      <c r="C345" s="18">
        <v>45992</v>
      </c>
      <c r="D345" s="5">
        <v>504894896</v>
      </c>
      <c r="E345" s="5" t="s">
        <v>1583</v>
      </c>
      <c r="F345" s="5" t="s">
        <v>906</v>
      </c>
      <c r="G345" s="5">
        <v>0</v>
      </c>
      <c r="H345" s="5">
        <v>0</v>
      </c>
      <c r="I345" s="19">
        <v>1006.8387096774162</v>
      </c>
      <c r="J345" s="19">
        <v>5318.063750942807</v>
      </c>
      <c r="K345" s="5">
        <v>338</v>
      </c>
      <c r="L345" s="21" t="str">
        <f>IF(ISNA(_xlfn.XLOOKUP(D345,'Same Seller Hist'!E:E,'Same Seller Hist'!E:E)),"Não","Sim")</f>
        <v>Sim</v>
      </c>
      <c r="M345" s="21" t="str">
        <f>_xlfn.IFNA(_xlfn.XLOOKUP(D345,'Same Seller Hist'!E:E,'Same Seller Hist'!M:M),"Não Match")</f>
        <v>Ativo</v>
      </c>
    </row>
    <row r="346" spans="3:13" hidden="1" x14ac:dyDescent="0.35">
      <c r="C346" s="18">
        <v>45992</v>
      </c>
      <c r="D346" s="5">
        <v>760345022</v>
      </c>
      <c r="E346" s="5" t="s">
        <v>1584</v>
      </c>
      <c r="F346" s="5" t="s">
        <v>906</v>
      </c>
      <c r="G346" s="5">
        <v>0</v>
      </c>
      <c r="H346" s="5">
        <v>1</v>
      </c>
      <c r="I346" s="19">
        <v>1006.7096774193549</v>
      </c>
      <c r="J346" s="19">
        <v>11782.263923915678</v>
      </c>
      <c r="K346" s="5">
        <v>339</v>
      </c>
      <c r="L346" s="21" t="str">
        <f>IF(ISNA(_xlfn.XLOOKUP(D346,'Same Seller Hist'!E:E,'Same Seller Hist'!E:E)),"Não","Sim")</f>
        <v>Não</v>
      </c>
      <c r="M346" s="21" t="str">
        <f>_xlfn.IFNA(_xlfn.XLOOKUP(D346,'Same Seller Hist'!E:E,'Same Seller Hist'!M:M),"Não Match")</f>
        <v>Não Match</v>
      </c>
    </row>
    <row r="347" spans="3:13" x14ac:dyDescent="0.35">
      <c r="C347" s="18">
        <v>45992</v>
      </c>
      <c r="D347" s="5">
        <v>1046470373</v>
      </c>
      <c r="E347" s="5" t="s">
        <v>1585</v>
      </c>
      <c r="F347" s="5" t="s">
        <v>1734</v>
      </c>
      <c r="G347" s="5">
        <v>1</v>
      </c>
      <c r="H347" s="5">
        <v>1</v>
      </c>
      <c r="I347" s="19">
        <v>1006.3225806451613</v>
      </c>
      <c r="J347" s="19">
        <v>5080.7053821297413</v>
      </c>
      <c r="K347" s="5">
        <v>340</v>
      </c>
      <c r="L347" s="21" t="str">
        <f>IF(ISNA(_xlfn.XLOOKUP(D347,'Same Seller Hist'!E:E,'Same Seller Hist'!E:E)),"Não","Sim")</f>
        <v>Sim</v>
      </c>
      <c r="M347" s="21" t="str">
        <f>_xlfn.IFNA(_xlfn.XLOOKUP(D347,'Same Seller Hist'!E:E,'Same Seller Hist'!M:M),"Não Match")</f>
        <v>Ativo</v>
      </c>
    </row>
    <row r="348" spans="3:13" hidden="1" x14ac:dyDescent="0.35">
      <c r="C348" s="18">
        <v>45992</v>
      </c>
      <c r="D348" s="5">
        <v>722975682</v>
      </c>
      <c r="E348" s="5" t="s">
        <v>1586</v>
      </c>
      <c r="F348" s="5" t="s">
        <v>906</v>
      </c>
      <c r="G348" s="5">
        <v>0</v>
      </c>
      <c r="H348" s="5">
        <v>1</v>
      </c>
      <c r="I348" s="19">
        <v>1004.4516129032259</v>
      </c>
      <c r="J348" s="19">
        <v>5222.0917387172258</v>
      </c>
      <c r="K348" s="5">
        <v>341</v>
      </c>
      <c r="L348" s="21" t="str">
        <f>IF(ISNA(_xlfn.XLOOKUP(D348,'Same Seller Hist'!E:E,'Same Seller Hist'!E:E)),"Não","Sim")</f>
        <v>Não</v>
      </c>
      <c r="M348" s="21" t="str">
        <f>_xlfn.IFNA(_xlfn.XLOOKUP(D348,'Same Seller Hist'!E:E,'Same Seller Hist'!M:M),"Não Match")</f>
        <v>Não Match</v>
      </c>
    </row>
    <row r="349" spans="3:13" hidden="1" x14ac:dyDescent="0.35">
      <c r="C349" s="18">
        <v>45992</v>
      </c>
      <c r="D349" s="5">
        <v>1578757985</v>
      </c>
      <c r="E349" s="5" t="s">
        <v>1587</v>
      </c>
      <c r="F349" s="5" t="s">
        <v>1734</v>
      </c>
      <c r="G349" s="5">
        <v>1</v>
      </c>
      <c r="H349" s="5">
        <v>0</v>
      </c>
      <c r="I349" s="19">
        <v>1004.2258064516129</v>
      </c>
      <c r="J349" s="19">
        <v>5192.1220057888386</v>
      </c>
      <c r="K349" s="5">
        <v>342</v>
      </c>
      <c r="L349" s="21" t="str">
        <f>IF(ISNA(_xlfn.XLOOKUP(D349,'Same Seller Hist'!E:E,'Same Seller Hist'!E:E)),"Não","Sim")</f>
        <v>Não</v>
      </c>
      <c r="M349" s="21" t="str">
        <f>_xlfn.IFNA(_xlfn.XLOOKUP(D349,'Same Seller Hist'!E:E,'Same Seller Hist'!M:M),"Não Match")</f>
        <v>Não Match</v>
      </c>
    </row>
    <row r="350" spans="3:13" hidden="1" x14ac:dyDescent="0.35">
      <c r="C350" s="18">
        <v>45992</v>
      </c>
      <c r="D350" s="5">
        <v>1162643281</v>
      </c>
      <c r="E350" s="5" t="s">
        <v>1588</v>
      </c>
      <c r="F350" s="5" t="s">
        <v>903</v>
      </c>
      <c r="G350" s="5">
        <v>0</v>
      </c>
      <c r="H350" s="5">
        <v>0</v>
      </c>
      <c r="I350" s="19">
        <v>1003.9032258064484</v>
      </c>
      <c r="J350" s="19">
        <v>3864.0346635842579</v>
      </c>
      <c r="K350" s="5">
        <v>343</v>
      </c>
      <c r="L350" s="21" t="str">
        <f>IF(ISNA(_xlfn.XLOOKUP(D350,'Same Seller Hist'!E:E,'Same Seller Hist'!E:E)),"Não","Sim")</f>
        <v>Não</v>
      </c>
      <c r="M350" s="21" t="str">
        <f>_xlfn.IFNA(_xlfn.XLOOKUP(D350,'Same Seller Hist'!E:E,'Same Seller Hist'!M:M),"Não Match")</f>
        <v>Não Match</v>
      </c>
    </row>
    <row r="351" spans="3:13" hidden="1" x14ac:dyDescent="0.35">
      <c r="C351" s="18">
        <v>45992</v>
      </c>
      <c r="D351" s="5">
        <v>791265315</v>
      </c>
      <c r="E351" s="5" t="s">
        <v>1589</v>
      </c>
      <c r="F351" s="5" t="s">
        <v>1734</v>
      </c>
      <c r="G351" s="5">
        <v>1</v>
      </c>
      <c r="H351" s="5">
        <v>1</v>
      </c>
      <c r="I351" s="19">
        <v>1003.0967741935484</v>
      </c>
      <c r="J351" s="19">
        <v>9842.6863615020975</v>
      </c>
      <c r="K351" s="5">
        <v>344</v>
      </c>
      <c r="L351" s="21" t="str">
        <f>IF(ISNA(_xlfn.XLOOKUP(D351,'Same Seller Hist'!E:E,'Same Seller Hist'!E:E)),"Não","Sim")</f>
        <v>Não</v>
      </c>
      <c r="M351" s="21" t="str">
        <f>_xlfn.IFNA(_xlfn.XLOOKUP(D351,'Same Seller Hist'!E:E,'Same Seller Hist'!M:M),"Não Match")</f>
        <v>Não Match</v>
      </c>
    </row>
    <row r="352" spans="3:13" hidden="1" x14ac:dyDescent="0.35">
      <c r="C352" s="18">
        <v>45992</v>
      </c>
      <c r="D352" s="5">
        <v>447393034</v>
      </c>
      <c r="E352" s="5" t="s">
        <v>1590</v>
      </c>
      <c r="F352" s="5" t="s">
        <v>1734</v>
      </c>
      <c r="G352" s="5">
        <v>1</v>
      </c>
      <c r="H352" s="5">
        <v>1</v>
      </c>
      <c r="I352" s="19">
        <v>1002.8387096774194</v>
      </c>
      <c r="J352" s="19">
        <v>6471.8481290105483</v>
      </c>
      <c r="K352" s="5">
        <v>345</v>
      </c>
      <c r="L352" s="21" t="str">
        <f>IF(ISNA(_xlfn.XLOOKUP(D352,'Same Seller Hist'!E:E,'Same Seller Hist'!E:E)),"Não","Sim")</f>
        <v>Não</v>
      </c>
      <c r="M352" s="21" t="str">
        <f>_xlfn.IFNA(_xlfn.XLOOKUP(D352,'Same Seller Hist'!E:E,'Same Seller Hist'!M:M),"Não Match")</f>
        <v>Não Match</v>
      </c>
    </row>
    <row r="353" spans="3:13" hidden="1" x14ac:dyDescent="0.35">
      <c r="C353" s="18">
        <v>45992</v>
      </c>
      <c r="D353" s="5">
        <v>1157950131</v>
      </c>
      <c r="E353" s="5" t="s">
        <v>1591</v>
      </c>
      <c r="F353" s="5" t="s">
        <v>903</v>
      </c>
      <c r="G353" s="5">
        <v>0</v>
      </c>
      <c r="H353" s="5">
        <v>1</v>
      </c>
      <c r="I353" s="19">
        <v>1000.3225806451582</v>
      </c>
      <c r="J353" s="19">
        <v>7684.5060128972582</v>
      </c>
      <c r="K353" s="5">
        <v>346</v>
      </c>
      <c r="L353" s="21" t="str">
        <f>IF(ISNA(_xlfn.XLOOKUP(D353,'Same Seller Hist'!E:E,'Same Seller Hist'!E:E)),"Não","Sim")</f>
        <v>Não</v>
      </c>
      <c r="M353" s="21" t="str">
        <f>_xlfn.IFNA(_xlfn.XLOOKUP(D353,'Same Seller Hist'!E:E,'Same Seller Hist'!M:M),"Não Match")</f>
        <v>Não Match</v>
      </c>
    </row>
    <row r="354" spans="3:13" hidden="1" x14ac:dyDescent="0.35">
      <c r="C354" s="18">
        <v>45992</v>
      </c>
      <c r="D354" s="5">
        <v>733998429</v>
      </c>
      <c r="E354" s="5" t="s">
        <v>1592</v>
      </c>
      <c r="F354" s="5" t="s">
        <v>1734</v>
      </c>
      <c r="G354" s="5">
        <v>1</v>
      </c>
      <c r="H354" s="5">
        <v>1</v>
      </c>
      <c r="I354" s="19">
        <v>999.51612903225805</v>
      </c>
      <c r="J354" s="19">
        <v>5789.3370255197096</v>
      </c>
      <c r="K354" s="5">
        <v>347</v>
      </c>
      <c r="L354" s="21" t="str">
        <f>IF(ISNA(_xlfn.XLOOKUP(D354,'Same Seller Hist'!E:E,'Same Seller Hist'!E:E)),"Não","Sim")</f>
        <v>Não</v>
      </c>
      <c r="M354" s="21" t="str">
        <f>_xlfn.IFNA(_xlfn.XLOOKUP(D354,'Same Seller Hist'!E:E,'Same Seller Hist'!M:M),"Não Match")</f>
        <v>Não Match</v>
      </c>
    </row>
    <row r="355" spans="3:13" x14ac:dyDescent="0.35">
      <c r="C355" s="18">
        <v>45992</v>
      </c>
      <c r="D355" s="5">
        <v>986450286</v>
      </c>
      <c r="E355" s="5" t="s">
        <v>1593</v>
      </c>
      <c r="F355" s="5" t="s">
        <v>1734</v>
      </c>
      <c r="G355" s="5">
        <v>1</v>
      </c>
      <c r="H355" s="5">
        <v>0</v>
      </c>
      <c r="I355" s="19">
        <v>998.25806451612584</v>
      </c>
      <c r="J355" s="19">
        <v>2081.7327213006292</v>
      </c>
      <c r="K355" s="5">
        <v>348</v>
      </c>
      <c r="L355" s="21" t="str">
        <f>IF(ISNA(_xlfn.XLOOKUP(D355,'Same Seller Hist'!E:E,'Same Seller Hist'!E:E)),"Não","Sim")</f>
        <v>Sim</v>
      </c>
      <c r="M355" s="21" t="str">
        <f>_xlfn.IFNA(_xlfn.XLOOKUP(D355,'Same Seller Hist'!E:E,'Same Seller Hist'!M:M),"Não Match")</f>
        <v>Ativo</v>
      </c>
    </row>
    <row r="356" spans="3:13" hidden="1" x14ac:dyDescent="0.35">
      <c r="C356" s="18">
        <v>45992</v>
      </c>
      <c r="D356" s="5">
        <v>505682429</v>
      </c>
      <c r="E356" s="5" t="s">
        <v>1594</v>
      </c>
      <c r="F356" s="5" t="s">
        <v>905</v>
      </c>
      <c r="G356" s="5">
        <v>0</v>
      </c>
      <c r="H356" s="5">
        <v>1</v>
      </c>
      <c r="I356" s="19">
        <v>998.09677419354841</v>
      </c>
      <c r="J356" s="19">
        <v>5740.0033559800004</v>
      </c>
      <c r="K356" s="5">
        <v>349</v>
      </c>
      <c r="L356" s="21" t="str">
        <f>IF(ISNA(_xlfn.XLOOKUP(D356,'Same Seller Hist'!E:E,'Same Seller Hist'!E:E)),"Não","Sim")</f>
        <v>Não</v>
      </c>
      <c r="M356" s="21" t="str">
        <f>_xlfn.IFNA(_xlfn.XLOOKUP(D356,'Same Seller Hist'!E:E,'Same Seller Hist'!M:M),"Não Match")</f>
        <v>Não Match</v>
      </c>
    </row>
    <row r="357" spans="3:13" hidden="1" x14ac:dyDescent="0.35">
      <c r="C357" s="18">
        <v>45992</v>
      </c>
      <c r="D357" s="5">
        <v>586154858</v>
      </c>
      <c r="E357" s="5" t="s">
        <v>1595</v>
      </c>
      <c r="F357" s="5" t="s">
        <v>906</v>
      </c>
      <c r="G357" s="5">
        <v>0</v>
      </c>
      <c r="H357" s="5">
        <v>1</v>
      </c>
      <c r="I357" s="19">
        <v>997.0322580645161</v>
      </c>
      <c r="J357" s="19">
        <v>4836.0057949465163</v>
      </c>
      <c r="K357" s="5">
        <v>350</v>
      </c>
      <c r="L357" s="21" t="str">
        <f>IF(ISNA(_xlfn.XLOOKUP(D357,'Same Seller Hist'!E:E,'Same Seller Hist'!E:E)),"Não","Sim")</f>
        <v>Não</v>
      </c>
      <c r="M357" s="21" t="str">
        <f>_xlfn.IFNA(_xlfn.XLOOKUP(D357,'Same Seller Hist'!E:E,'Same Seller Hist'!M:M),"Não Match")</f>
        <v>Não Match</v>
      </c>
    </row>
    <row r="358" spans="3:13" x14ac:dyDescent="0.35">
      <c r="C358" s="18">
        <v>45992</v>
      </c>
      <c r="D358" s="5">
        <v>397374716</v>
      </c>
      <c r="E358" s="5" t="s">
        <v>1596</v>
      </c>
      <c r="F358" s="5" t="s">
        <v>1734</v>
      </c>
      <c r="G358" s="5">
        <v>1</v>
      </c>
      <c r="H358" s="5">
        <v>1</v>
      </c>
      <c r="I358" s="19">
        <v>995.48387096773877</v>
      </c>
      <c r="J358" s="19">
        <v>7664.8528716645478</v>
      </c>
      <c r="K358" s="5">
        <v>351</v>
      </c>
      <c r="L358" s="21" t="str">
        <f>IF(ISNA(_xlfn.XLOOKUP(D358,'Same Seller Hist'!E:E,'Same Seller Hist'!E:E)),"Não","Sim")</f>
        <v>Sim</v>
      </c>
      <c r="M358" s="21" t="str">
        <f>_xlfn.IFNA(_xlfn.XLOOKUP(D358,'Same Seller Hist'!E:E,'Same Seller Hist'!M:M),"Não Match")</f>
        <v>Ativo</v>
      </c>
    </row>
    <row r="359" spans="3:13" hidden="1" x14ac:dyDescent="0.35">
      <c r="C359" s="18">
        <v>45992</v>
      </c>
      <c r="D359" s="5">
        <v>1304396058</v>
      </c>
      <c r="E359" s="5" t="s">
        <v>1597</v>
      </c>
      <c r="F359" s="5" t="s">
        <v>1734</v>
      </c>
      <c r="G359" s="5">
        <v>1</v>
      </c>
      <c r="H359" s="5">
        <v>0</v>
      </c>
      <c r="I359" s="19">
        <v>994.12903225806133</v>
      </c>
      <c r="J359" s="19">
        <v>4276.7615950737099</v>
      </c>
      <c r="K359" s="5">
        <v>352</v>
      </c>
      <c r="L359" s="21" t="str">
        <f>IF(ISNA(_xlfn.XLOOKUP(D359,'Same Seller Hist'!E:E,'Same Seller Hist'!E:E)),"Não","Sim")</f>
        <v>Não</v>
      </c>
      <c r="M359" s="21" t="str">
        <f>_xlfn.IFNA(_xlfn.XLOOKUP(D359,'Same Seller Hist'!E:E,'Same Seller Hist'!M:M),"Não Match")</f>
        <v>Não Match</v>
      </c>
    </row>
    <row r="360" spans="3:13" hidden="1" x14ac:dyDescent="0.35">
      <c r="C360" s="18">
        <v>45992</v>
      </c>
      <c r="D360" s="5">
        <v>1321451938</v>
      </c>
      <c r="E360" s="5" t="s">
        <v>1598</v>
      </c>
      <c r="F360" s="5" t="s">
        <v>1734</v>
      </c>
      <c r="G360" s="5">
        <v>1</v>
      </c>
      <c r="H360" s="5">
        <v>1</v>
      </c>
      <c r="I360" s="19">
        <v>991.96774193548072</v>
      </c>
      <c r="J360" s="19">
        <v>5573.1008369206447</v>
      </c>
      <c r="K360" s="5">
        <v>353</v>
      </c>
      <c r="L360" s="21" t="str">
        <f>IF(ISNA(_xlfn.XLOOKUP(D360,'Same Seller Hist'!E:E,'Same Seller Hist'!E:E)),"Não","Sim")</f>
        <v>Não</v>
      </c>
      <c r="M360" s="21" t="str">
        <f>_xlfn.IFNA(_xlfn.XLOOKUP(D360,'Same Seller Hist'!E:E,'Same Seller Hist'!M:M),"Não Match")</f>
        <v>Não Match</v>
      </c>
    </row>
    <row r="361" spans="3:13" hidden="1" x14ac:dyDescent="0.35">
      <c r="C361" s="18">
        <v>45992</v>
      </c>
      <c r="D361" s="5">
        <v>976415369</v>
      </c>
      <c r="E361" s="5" t="s">
        <v>1599</v>
      </c>
      <c r="F361" s="5" t="s">
        <v>905</v>
      </c>
      <c r="G361" s="5">
        <v>0</v>
      </c>
      <c r="H361" s="5">
        <v>1</v>
      </c>
      <c r="I361" s="19">
        <v>991.06451612902913</v>
      </c>
      <c r="J361" s="19">
        <v>18869.254023783968</v>
      </c>
      <c r="K361" s="5">
        <v>354</v>
      </c>
      <c r="L361" s="21" t="str">
        <f>IF(ISNA(_xlfn.XLOOKUP(D361,'Same Seller Hist'!E:E,'Same Seller Hist'!E:E)),"Não","Sim")</f>
        <v>Não</v>
      </c>
      <c r="M361" s="21" t="str">
        <f>_xlfn.IFNA(_xlfn.XLOOKUP(D361,'Same Seller Hist'!E:E,'Same Seller Hist'!M:M),"Não Match")</f>
        <v>Não Match</v>
      </c>
    </row>
    <row r="362" spans="3:13" x14ac:dyDescent="0.35">
      <c r="C362" s="18">
        <v>45992</v>
      </c>
      <c r="D362" s="5">
        <v>422903557</v>
      </c>
      <c r="E362" s="5" t="s">
        <v>1600</v>
      </c>
      <c r="F362" s="5" t="s">
        <v>906</v>
      </c>
      <c r="G362" s="5">
        <v>0</v>
      </c>
      <c r="H362" s="5">
        <v>0</v>
      </c>
      <c r="I362" s="19">
        <v>990.29032258064194</v>
      </c>
      <c r="J362" s="19">
        <v>3479.3616651460966</v>
      </c>
      <c r="K362" s="5">
        <v>355</v>
      </c>
      <c r="L362" s="21" t="str">
        <f>IF(ISNA(_xlfn.XLOOKUP(D362,'Same Seller Hist'!E:E,'Same Seller Hist'!E:E)),"Não","Sim")</f>
        <v>Sim</v>
      </c>
      <c r="M362" s="21" t="str">
        <f>_xlfn.IFNA(_xlfn.XLOOKUP(D362,'Same Seller Hist'!E:E,'Same Seller Hist'!M:M),"Não Match")</f>
        <v>Ativo</v>
      </c>
    </row>
    <row r="363" spans="3:13" hidden="1" x14ac:dyDescent="0.35">
      <c r="C363" s="18">
        <v>45992</v>
      </c>
      <c r="D363" s="5">
        <v>399802573</v>
      </c>
      <c r="E363" s="5" t="s">
        <v>1601</v>
      </c>
      <c r="F363" s="5" t="s">
        <v>1734</v>
      </c>
      <c r="G363" s="5">
        <v>1</v>
      </c>
      <c r="H363" s="5">
        <v>0</v>
      </c>
      <c r="I363" s="19">
        <v>989.87096774193549</v>
      </c>
      <c r="J363" s="19">
        <v>4719.8378405561934</v>
      </c>
      <c r="K363" s="5">
        <v>356</v>
      </c>
      <c r="L363" s="21" t="str">
        <f>IF(ISNA(_xlfn.XLOOKUP(D363,'Same Seller Hist'!E:E,'Same Seller Hist'!E:E)),"Não","Sim")</f>
        <v>Não</v>
      </c>
      <c r="M363" s="21" t="str">
        <f>_xlfn.IFNA(_xlfn.XLOOKUP(D363,'Same Seller Hist'!E:E,'Same Seller Hist'!M:M),"Não Match")</f>
        <v>Não Match</v>
      </c>
    </row>
    <row r="364" spans="3:13" hidden="1" x14ac:dyDescent="0.35">
      <c r="C364" s="18">
        <v>45992</v>
      </c>
      <c r="D364" s="5">
        <v>384552607</v>
      </c>
      <c r="E364" s="5" t="s">
        <v>1602</v>
      </c>
      <c r="F364" s="5" t="s">
        <v>1734</v>
      </c>
      <c r="G364" s="5">
        <v>1</v>
      </c>
      <c r="H364" s="5">
        <v>1</v>
      </c>
      <c r="I364" s="19">
        <v>989.80645161290317</v>
      </c>
      <c r="J364" s="19">
        <v>5328.2327880340645</v>
      </c>
      <c r="K364" s="5">
        <v>357</v>
      </c>
      <c r="L364" s="21" t="str">
        <f>IF(ISNA(_xlfn.XLOOKUP(D364,'Same Seller Hist'!E:E,'Same Seller Hist'!E:E)),"Não","Sim")</f>
        <v>Não</v>
      </c>
      <c r="M364" s="21" t="str">
        <f>_xlfn.IFNA(_xlfn.XLOOKUP(D364,'Same Seller Hist'!E:E,'Same Seller Hist'!M:M),"Não Match")</f>
        <v>Não Match</v>
      </c>
    </row>
    <row r="365" spans="3:13" hidden="1" x14ac:dyDescent="0.35">
      <c r="C365" s="18">
        <v>45992</v>
      </c>
      <c r="D365" s="5">
        <v>1543579690</v>
      </c>
      <c r="E365" s="5" t="s">
        <v>1603</v>
      </c>
      <c r="F365" s="5" t="s">
        <v>1734</v>
      </c>
      <c r="G365" s="5">
        <v>1</v>
      </c>
      <c r="H365" s="5">
        <v>0</v>
      </c>
      <c r="I365" s="19">
        <v>989.74193548386779</v>
      </c>
      <c r="J365" s="19">
        <v>3394.977901451839</v>
      </c>
      <c r="K365" s="5">
        <v>358</v>
      </c>
      <c r="L365" s="21" t="str">
        <f>IF(ISNA(_xlfn.XLOOKUP(D365,'Same Seller Hist'!E:E,'Same Seller Hist'!E:E)),"Não","Sim")</f>
        <v>Não</v>
      </c>
      <c r="M365" s="21" t="str">
        <f>_xlfn.IFNA(_xlfn.XLOOKUP(D365,'Same Seller Hist'!E:E,'Same Seller Hist'!M:M),"Não Match")</f>
        <v>Não Match</v>
      </c>
    </row>
    <row r="366" spans="3:13" hidden="1" x14ac:dyDescent="0.35">
      <c r="C366" s="18">
        <v>45992</v>
      </c>
      <c r="D366" s="5">
        <v>854590033</v>
      </c>
      <c r="E366" s="5" t="s">
        <v>1604</v>
      </c>
      <c r="F366" s="5" t="s">
        <v>1734</v>
      </c>
      <c r="G366" s="5">
        <v>1</v>
      </c>
      <c r="H366" s="5">
        <v>1</v>
      </c>
      <c r="I366" s="19">
        <v>986.45161290322267</v>
      </c>
      <c r="J366" s="19">
        <v>8044.9630044047099</v>
      </c>
      <c r="K366" s="5">
        <v>359</v>
      </c>
      <c r="L366" s="21" t="str">
        <f>IF(ISNA(_xlfn.XLOOKUP(D366,'Same Seller Hist'!E:E,'Same Seller Hist'!E:E)),"Não","Sim")</f>
        <v>Não</v>
      </c>
      <c r="M366" s="21" t="str">
        <f>_xlfn.IFNA(_xlfn.XLOOKUP(D366,'Same Seller Hist'!E:E,'Same Seller Hist'!M:M),"Não Match")</f>
        <v>Não Match</v>
      </c>
    </row>
    <row r="367" spans="3:13" hidden="1" x14ac:dyDescent="0.35">
      <c r="C367" s="18">
        <v>45992</v>
      </c>
      <c r="D367" s="5">
        <v>1209188883</v>
      </c>
      <c r="E367" s="5" t="s">
        <v>1605</v>
      </c>
      <c r="F367" s="5" t="s">
        <v>906</v>
      </c>
      <c r="G367" s="5">
        <v>0</v>
      </c>
      <c r="H367" s="5">
        <v>0</v>
      </c>
      <c r="I367" s="19">
        <v>986.12903225806133</v>
      </c>
      <c r="J367" s="19">
        <v>7085.2930712269681</v>
      </c>
      <c r="K367" s="5">
        <v>360</v>
      </c>
      <c r="L367" s="21" t="str">
        <f>IF(ISNA(_xlfn.XLOOKUP(D367,'Same Seller Hist'!E:E,'Same Seller Hist'!E:E)),"Não","Sim")</f>
        <v>Não</v>
      </c>
      <c r="M367" s="21" t="str">
        <f>_xlfn.IFNA(_xlfn.XLOOKUP(D367,'Same Seller Hist'!E:E,'Same Seller Hist'!M:M),"Não Match")</f>
        <v>Não Match</v>
      </c>
    </row>
    <row r="368" spans="3:13" x14ac:dyDescent="0.35">
      <c r="C368" s="18">
        <v>45992</v>
      </c>
      <c r="D368" s="5">
        <v>1383463294</v>
      </c>
      <c r="E368" s="5" t="s">
        <v>230</v>
      </c>
      <c r="F368" s="5" t="s">
        <v>905</v>
      </c>
      <c r="G368" s="5">
        <v>0</v>
      </c>
      <c r="H368" s="5">
        <v>0</v>
      </c>
      <c r="I368" s="19">
        <v>984.70967741935488</v>
      </c>
      <c r="J368" s="19">
        <v>4845.5200848058712</v>
      </c>
      <c r="K368" s="5">
        <v>361</v>
      </c>
      <c r="L368" s="21" t="str">
        <f>IF(ISNA(_xlfn.XLOOKUP(D368,'Same Seller Hist'!E:E,'Same Seller Hist'!E:E)),"Não","Sim")</f>
        <v>Sim</v>
      </c>
      <c r="M368" s="21" t="str">
        <f>_xlfn.IFNA(_xlfn.XLOOKUP(D368,'Same Seller Hist'!E:E,'Same Seller Hist'!M:M),"Não Match")</f>
        <v>Ativo</v>
      </c>
    </row>
    <row r="369" spans="3:13" x14ac:dyDescent="0.35">
      <c r="C369" s="18">
        <v>45992</v>
      </c>
      <c r="D369" s="5">
        <v>1264631014</v>
      </c>
      <c r="E369" s="5" t="s">
        <v>1606</v>
      </c>
      <c r="F369" s="5" t="s">
        <v>1734</v>
      </c>
      <c r="G369" s="5">
        <v>1</v>
      </c>
      <c r="H369" s="5">
        <v>1</v>
      </c>
      <c r="I369" s="19">
        <v>974.32258064515815</v>
      </c>
      <c r="J369" s="19">
        <v>7077.4793647981296</v>
      </c>
      <c r="K369" s="5">
        <v>362</v>
      </c>
      <c r="L369" s="21" t="str">
        <f>IF(ISNA(_xlfn.XLOOKUP(D369,'Same Seller Hist'!E:E,'Same Seller Hist'!E:E)),"Não","Sim")</f>
        <v>Sim</v>
      </c>
      <c r="M369" s="21" t="str">
        <f>_xlfn.IFNA(_xlfn.XLOOKUP(D369,'Same Seller Hist'!E:E,'Same Seller Hist'!M:M),"Não Match")</f>
        <v>Ativo</v>
      </c>
    </row>
    <row r="370" spans="3:13" hidden="1" x14ac:dyDescent="0.35">
      <c r="C370" s="18">
        <v>45992</v>
      </c>
      <c r="D370" s="5">
        <v>1166391508</v>
      </c>
      <c r="E370" s="5" t="s">
        <v>1607</v>
      </c>
      <c r="F370" s="5" t="s">
        <v>1734</v>
      </c>
      <c r="G370" s="5">
        <v>1</v>
      </c>
      <c r="H370" s="5">
        <v>1</v>
      </c>
      <c r="I370" s="19">
        <v>972.70967741935169</v>
      </c>
      <c r="J370" s="19">
        <v>12191.432614266581</v>
      </c>
      <c r="K370" s="5">
        <v>363</v>
      </c>
      <c r="L370" s="21" t="str">
        <f>IF(ISNA(_xlfn.XLOOKUP(D370,'Same Seller Hist'!E:E,'Same Seller Hist'!E:E)),"Não","Sim")</f>
        <v>Não</v>
      </c>
      <c r="M370" s="21" t="str">
        <f>_xlfn.IFNA(_xlfn.XLOOKUP(D370,'Same Seller Hist'!E:E,'Same Seller Hist'!M:M),"Não Match")</f>
        <v>Não Match</v>
      </c>
    </row>
    <row r="371" spans="3:13" hidden="1" x14ac:dyDescent="0.35">
      <c r="C371" s="18">
        <v>45992</v>
      </c>
      <c r="D371" s="5">
        <v>1265342871</v>
      </c>
      <c r="E371" s="5" t="s">
        <v>1608</v>
      </c>
      <c r="F371" s="5" t="s">
        <v>1734</v>
      </c>
      <c r="G371" s="5">
        <v>1</v>
      </c>
      <c r="H371" s="5">
        <v>0</v>
      </c>
      <c r="I371" s="19">
        <v>969.70967741935488</v>
      </c>
      <c r="J371" s="19">
        <v>3826.0172697323869</v>
      </c>
      <c r="K371" s="5">
        <v>364</v>
      </c>
      <c r="L371" s="21" t="str">
        <f>IF(ISNA(_xlfn.XLOOKUP(D371,'Same Seller Hist'!E:E,'Same Seller Hist'!E:E)),"Não","Sim")</f>
        <v>Não</v>
      </c>
      <c r="M371" s="21" t="str">
        <f>_xlfn.IFNA(_xlfn.XLOOKUP(D371,'Same Seller Hist'!E:E,'Same Seller Hist'!M:M),"Não Match")</f>
        <v>Não Match</v>
      </c>
    </row>
    <row r="372" spans="3:13" hidden="1" x14ac:dyDescent="0.35">
      <c r="C372" s="18">
        <v>45992</v>
      </c>
      <c r="D372" s="5">
        <v>489577930</v>
      </c>
      <c r="E372" s="5" t="s">
        <v>1609</v>
      </c>
      <c r="F372" s="5" t="s">
        <v>1734</v>
      </c>
      <c r="G372" s="5">
        <v>1</v>
      </c>
      <c r="H372" s="5">
        <v>1</v>
      </c>
      <c r="I372" s="19">
        <v>969.54838709677108</v>
      </c>
      <c r="J372" s="19">
        <v>6186.3909341602257</v>
      </c>
      <c r="K372" s="5">
        <v>365</v>
      </c>
      <c r="L372" s="21" t="str">
        <f>IF(ISNA(_xlfn.XLOOKUP(D372,'Same Seller Hist'!E:E,'Same Seller Hist'!E:E)),"Não","Sim")</f>
        <v>Não</v>
      </c>
      <c r="M372" s="21" t="str">
        <f>_xlfn.IFNA(_xlfn.XLOOKUP(D372,'Same Seller Hist'!E:E,'Same Seller Hist'!M:M),"Não Match")</f>
        <v>Não Match</v>
      </c>
    </row>
    <row r="373" spans="3:13" hidden="1" x14ac:dyDescent="0.35">
      <c r="C373" s="18">
        <v>45992</v>
      </c>
      <c r="D373" s="5">
        <v>657120589</v>
      </c>
      <c r="E373" s="5" t="s">
        <v>1610</v>
      </c>
      <c r="F373" s="5" t="s">
        <v>906</v>
      </c>
      <c r="G373" s="5">
        <v>0</v>
      </c>
      <c r="H373" s="5">
        <v>1</v>
      </c>
      <c r="I373" s="19">
        <v>969.35483870967744</v>
      </c>
      <c r="J373" s="19">
        <v>5506.050733119806</v>
      </c>
      <c r="K373" s="5">
        <v>366</v>
      </c>
      <c r="L373" s="21" t="str">
        <f>IF(ISNA(_xlfn.XLOOKUP(D373,'Same Seller Hist'!E:E,'Same Seller Hist'!E:E)),"Não","Sim")</f>
        <v>Não</v>
      </c>
      <c r="M373" s="21" t="str">
        <f>_xlfn.IFNA(_xlfn.XLOOKUP(D373,'Same Seller Hist'!E:E,'Same Seller Hist'!M:M),"Não Match")</f>
        <v>Não Match</v>
      </c>
    </row>
    <row r="374" spans="3:13" hidden="1" x14ac:dyDescent="0.35">
      <c r="C374" s="18">
        <v>45992</v>
      </c>
      <c r="D374" s="5">
        <v>969508885</v>
      </c>
      <c r="E374" s="5" t="s">
        <v>1611</v>
      </c>
      <c r="F374" s="5" t="s">
        <v>906</v>
      </c>
      <c r="G374" s="5">
        <v>0</v>
      </c>
      <c r="H374" s="5">
        <v>0</v>
      </c>
      <c r="I374" s="19">
        <v>969.09677419354523</v>
      </c>
      <c r="J374" s="19">
        <v>2451.0165994449194</v>
      </c>
      <c r="K374" s="5">
        <v>367</v>
      </c>
      <c r="L374" s="21" t="str">
        <f>IF(ISNA(_xlfn.XLOOKUP(D374,'Same Seller Hist'!E:E,'Same Seller Hist'!E:E)),"Não","Sim")</f>
        <v>Não</v>
      </c>
      <c r="M374" s="21" t="str">
        <f>_xlfn.IFNA(_xlfn.XLOOKUP(D374,'Same Seller Hist'!E:E,'Same Seller Hist'!M:M),"Não Match")</f>
        <v>Não Match</v>
      </c>
    </row>
    <row r="375" spans="3:13" hidden="1" x14ac:dyDescent="0.35">
      <c r="C375" s="18">
        <v>45992</v>
      </c>
      <c r="D375" s="5">
        <v>1312004344</v>
      </c>
      <c r="E375" s="5" t="s">
        <v>1612</v>
      </c>
      <c r="F375" s="5" t="s">
        <v>903</v>
      </c>
      <c r="G375" s="5">
        <v>0</v>
      </c>
      <c r="H375" s="5">
        <v>0</v>
      </c>
      <c r="I375" s="19">
        <v>967.51612903225487</v>
      </c>
      <c r="J375" s="19">
        <v>6802.0111771560969</v>
      </c>
      <c r="K375" s="5">
        <v>368</v>
      </c>
      <c r="L375" s="21" t="str">
        <f>IF(ISNA(_xlfn.XLOOKUP(D375,'Same Seller Hist'!E:E,'Same Seller Hist'!E:E)),"Não","Sim")</f>
        <v>Não</v>
      </c>
      <c r="M375" s="21" t="str">
        <f>_xlfn.IFNA(_xlfn.XLOOKUP(D375,'Same Seller Hist'!E:E,'Same Seller Hist'!M:M),"Não Match")</f>
        <v>Não Match</v>
      </c>
    </row>
    <row r="376" spans="3:13" x14ac:dyDescent="0.35">
      <c r="C376" s="18">
        <v>45992</v>
      </c>
      <c r="D376" s="5">
        <v>331517678</v>
      </c>
      <c r="E376" s="5" t="s">
        <v>1613</v>
      </c>
      <c r="F376" s="5" t="s">
        <v>1734</v>
      </c>
      <c r="G376" s="5">
        <v>1</v>
      </c>
      <c r="H376" s="5">
        <v>0</v>
      </c>
      <c r="I376" s="19">
        <v>967.16129032257743</v>
      </c>
      <c r="J376" s="19">
        <v>3994.9900721395161</v>
      </c>
      <c r="K376" s="5">
        <v>369</v>
      </c>
      <c r="L376" s="21" t="str">
        <f>IF(ISNA(_xlfn.XLOOKUP(D376,'Same Seller Hist'!E:E,'Same Seller Hist'!E:E)),"Não","Sim")</f>
        <v>Sim</v>
      </c>
      <c r="M376" s="21" t="str">
        <f>_xlfn.IFNA(_xlfn.XLOOKUP(D376,'Same Seller Hist'!E:E,'Same Seller Hist'!M:M),"Não Match")</f>
        <v>Ativo</v>
      </c>
    </row>
    <row r="377" spans="3:13" hidden="1" x14ac:dyDescent="0.35">
      <c r="C377" s="18">
        <v>45992</v>
      </c>
      <c r="D377" s="5">
        <v>409941475</v>
      </c>
      <c r="E377" s="5" t="s">
        <v>1614</v>
      </c>
      <c r="F377" s="5" t="s">
        <v>1734</v>
      </c>
      <c r="G377" s="5">
        <v>1</v>
      </c>
      <c r="H377" s="5">
        <v>1</v>
      </c>
      <c r="I377" s="19">
        <v>967.12903225806133</v>
      </c>
      <c r="J377" s="19">
        <v>4080.4770309791293</v>
      </c>
      <c r="K377" s="5">
        <v>370</v>
      </c>
      <c r="L377" s="21" t="str">
        <f>IF(ISNA(_xlfn.XLOOKUP(D377,'Same Seller Hist'!E:E,'Same Seller Hist'!E:E)),"Não","Sim")</f>
        <v>Não</v>
      </c>
      <c r="M377" s="21" t="str">
        <f>_xlfn.IFNA(_xlfn.XLOOKUP(D377,'Same Seller Hist'!E:E,'Same Seller Hist'!M:M),"Não Match")</f>
        <v>Não Match</v>
      </c>
    </row>
    <row r="378" spans="3:13" hidden="1" x14ac:dyDescent="0.35">
      <c r="C378" s="18">
        <v>45992</v>
      </c>
      <c r="D378" s="5">
        <v>593088966</v>
      </c>
      <c r="E378" s="5" t="s">
        <v>1615</v>
      </c>
      <c r="F378" s="5" t="s">
        <v>1734</v>
      </c>
      <c r="G378" s="5">
        <v>1</v>
      </c>
      <c r="H378" s="5">
        <v>0</v>
      </c>
      <c r="I378" s="19">
        <v>966.70967741935169</v>
      </c>
      <c r="J378" s="19">
        <v>2673.3659110254998</v>
      </c>
      <c r="K378" s="5">
        <v>371</v>
      </c>
      <c r="L378" s="21" t="str">
        <f>IF(ISNA(_xlfn.XLOOKUP(D378,'Same Seller Hist'!E:E,'Same Seller Hist'!E:E)),"Não","Sim")</f>
        <v>Não</v>
      </c>
      <c r="M378" s="21" t="str">
        <f>_xlfn.IFNA(_xlfn.XLOOKUP(D378,'Same Seller Hist'!E:E,'Same Seller Hist'!M:M),"Não Match")</f>
        <v>Não Match</v>
      </c>
    </row>
    <row r="379" spans="3:13" hidden="1" x14ac:dyDescent="0.35">
      <c r="C379" s="18">
        <v>45992</v>
      </c>
      <c r="D379" s="5">
        <v>1384111782</v>
      </c>
      <c r="E379" s="5" t="s">
        <v>1616</v>
      </c>
      <c r="F379" s="5" t="s">
        <v>905</v>
      </c>
      <c r="G379" s="5">
        <v>0</v>
      </c>
      <c r="H379" s="5">
        <v>1</v>
      </c>
      <c r="I379" s="19">
        <v>966.64516129032256</v>
      </c>
      <c r="J379" s="19">
        <v>18093.985899464096</v>
      </c>
      <c r="K379" s="5">
        <v>372</v>
      </c>
      <c r="L379" s="21" t="str">
        <f>IF(ISNA(_xlfn.XLOOKUP(D379,'Same Seller Hist'!E:E,'Same Seller Hist'!E:E)),"Não","Sim")</f>
        <v>Não</v>
      </c>
      <c r="M379" s="21" t="str">
        <f>_xlfn.IFNA(_xlfn.XLOOKUP(D379,'Same Seller Hist'!E:E,'Same Seller Hist'!M:M),"Não Match")</f>
        <v>Não Match</v>
      </c>
    </row>
    <row r="380" spans="3:13" hidden="1" x14ac:dyDescent="0.35">
      <c r="C380" s="18">
        <v>45992</v>
      </c>
      <c r="D380" s="5">
        <v>589142248</v>
      </c>
      <c r="E380" s="5" t="s">
        <v>1617</v>
      </c>
      <c r="F380" s="5" t="s">
        <v>1734</v>
      </c>
      <c r="G380" s="5">
        <v>1</v>
      </c>
      <c r="H380" s="5">
        <v>0</v>
      </c>
      <c r="I380" s="19">
        <v>964.96774193548072</v>
      </c>
      <c r="J380" s="19">
        <v>9153.5891046986126</v>
      </c>
      <c r="K380" s="5">
        <v>373</v>
      </c>
      <c r="L380" s="21" t="str">
        <f>IF(ISNA(_xlfn.XLOOKUP(D380,'Same Seller Hist'!E:E,'Same Seller Hist'!E:E)),"Não","Sim")</f>
        <v>Não</v>
      </c>
      <c r="M380" s="21" t="str">
        <f>_xlfn.IFNA(_xlfn.XLOOKUP(D380,'Same Seller Hist'!E:E,'Same Seller Hist'!M:M),"Não Match")</f>
        <v>Não Match</v>
      </c>
    </row>
    <row r="381" spans="3:13" x14ac:dyDescent="0.35">
      <c r="C381" s="18">
        <v>45992</v>
      </c>
      <c r="D381" s="5">
        <v>961638733</v>
      </c>
      <c r="E381" s="5" t="s">
        <v>761</v>
      </c>
      <c r="F381" s="5" t="s">
        <v>905</v>
      </c>
      <c r="G381" s="5">
        <v>0</v>
      </c>
      <c r="H381" s="5">
        <v>1</v>
      </c>
      <c r="I381" s="19">
        <v>962.32258064515815</v>
      </c>
      <c r="J381" s="19">
        <v>9882.1833985151607</v>
      </c>
      <c r="K381" s="5">
        <v>374</v>
      </c>
      <c r="L381" s="21" t="str">
        <f>IF(ISNA(_xlfn.XLOOKUP(D381,'Same Seller Hist'!E:E,'Same Seller Hist'!E:E)),"Não","Sim")</f>
        <v>Sim</v>
      </c>
      <c r="M381" s="21" t="str">
        <f>_xlfn.IFNA(_xlfn.XLOOKUP(D381,'Same Seller Hist'!E:E,'Same Seller Hist'!M:M),"Não Match")</f>
        <v>Ativo</v>
      </c>
    </row>
    <row r="382" spans="3:13" x14ac:dyDescent="0.35">
      <c r="C382" s="18">
        <v>45992</v>
      </c>
      <c r="D382" s="5">
        <v>401609924</v>
      </c>
      <c r="E382" s="5" t="s">
        <v>1618</v>
      </c>
      <c r="F382" s="5" t="s">
        <v>1734</v>
      </c>
      <c r="G382" s="5">
        <v>1</v>
      </c>
      <c r="H382" s="5">
        <v>0</v>
      </c>
      <c r="I382" s="19">
        <v>960.03225806451292</v>
      </c>
      <c r="J382" s="19">
        <v>4019.7777402218712</v>
      </c>
      <c r="K382" s="5">
        <v>375</v>
      </c>
      <c r="L382" s="21" t="str">
        <f>IF(ISNA(_xlfn.XLOOKUP(D382,'Same Seller Hist'!E:E,'Same Seller Hist'!E:E)),"Não","Sim")</f>
        <v>Sim</v>
      </c>
      <c r="M382" s="21" t="str">
        <f>_xlfn.IFNA(_xlfn.XLOOKUP(D382,'Same Seller Hist'!E:E,'Same Seller Hist'!M:M),"Não Match")</f>
        <v>Ativo</v>
      </c>
    </row>
    <row r="383" spans="3:13" hidden="1" x14ac:dyDescent="0.35">
      <c r="C383" s="18">
        <v>45992</v>
      </c>
      <c r="D383" s="5">
        <v>807597901</v>
      </c>
      <c r="E383" s="5" t="s">
        <v>1619</v>
      </c>
      <c r="F383" s="5" t="s">
        <v>1734</v>
      </c>
      <c r="G383" s="5">
        <v>1</v>
      </c>
      <c r="H383" s="5">
        <v>1</v>
      </c>
      <c r="I383" s="19">
        <v>958.61290322580646</v>
      </c>
      <c r="J383" s="19">
        <v>4552.4169824578703</v>
      </c>
      <c r="K383" s="5">
        <v>376</v>
      </c>
      <c r="L383" s="21" t="str">
        <f>IF(ISNA(_xlfn.XLOOKUP(D383,'Same Seller Hist'!E:E,'Same Seller Hist'!E:E)),"Não","Sim")</f>
        <v>Não</v>
      </c>
      <c r="M383" s="21" t="str">
        <f>_xlfn.IFNA(_xlfn.XLOOKUP(D383,'Same Seller Hist'!E:E,'Same Seller Hist'!M:M),"Não Match")</f>
        <v>Não Match</v>
      </c>
    </row>
    <row r="384" spans="3:13" hidden="1" x14ac:dyDescent="0.35">
      <c r="C384" s="18">
        <v>45992</v>
      </c>
      <c r="D384" s="5">
        <v>1508524367</v>
      </c>
      <c r="E384" s="5" t="s">
        <v>1620</v>
      </c>
      <c r="F384" s="5" t="s">
        <v>906</v>
      </c>
      <c r="G384" s="5">
        <v>0</v>
      </c>
      <c r="H384" s="5">
        <v>0</v>
      </c>
      <c r="I384" s="19">
        <v>957.48387096773877</v>
      </c>
      <c r="J384" s="19">
        <v>4547.8912313507417</v>
      </c>
      <c r="K384" s="5">
        <v>377</v>
      </c>
      <c r="L384" s="21" t="str">
        <f>IF(ISNA(_xlfn.XLOOKUP(D384,'Same Seller Hist'!E:E,'Same Seller Hist'!E:E)),"Não","Sim")</f>
        <v>Não</v>
      </c>
      <c r="M384" s="21" t="str">
        <f>_xlfn.IFNA(_xlfn.XLOOKUP(D384,'Same Seller Hist'!E:E,'Same Seller Hist'!M:M),"Não Match")</f>
        <v>Não Match</v>
      </c>
    </row>
    <row r="385" spans="3:13" hidden="1" x14ac:dyDescent="0.35">
      <c r="C385" s="18">
        <v>45992</v>
      </c>
      <c r="D385" s="5">
        <v>1126064857</v>
      </c>
      <c r="E385" s="5" t="s">
        <v>1621</v>
      </c>
      <c r="F385" s="5" t="s">
        <v>1734</v>
      </c>
      <c r="G385" s="5">
        <v>1</v>
      </c>
      <c r="H385" s="5">
        <v>1</v>
      </c>
      <c r="I385" s="19">
        <v>951.77419354838707</v>
      </c>
      <c r="J385" s="19">
        <v>3865.0065116240971</v>
      </c>
      <c r="K385" s="5">
        <v>378</v>
      </c>
      <c r="L385" s="21" t="str">
        <f>IF(ISNA(_xlfn.XLOOKUP(D385,'Same Seller Hist'!E:E,'Same Seller Hist'!E:E)),"Não","Sim")</f>
        <v>Não</v>
      </c>
      <c r="M385" s="21" t="str">
        <f>_xlfn.IFNA(_xlfn.XLOOKUP(D385,'Same Seller Hist'!E:E,'Same Seller Hist'!M:M),"Não Match")</f>
        <v>Não Match</v>
      </c>
    </row>
    <row r="386" spans="3:13" hidden="1" x14ac:dyDescent="0.35">
      <c r="C386" s="18">
        <v>45992</v>
      </c>
      <c r="D386" s="5">
        <v>383127299</v>
      </c>
      <c r="E386" s="5" t="s">
        <v>1622</v>
      </c>
      <c r="F386" s="5" t="s">
        <v>906</v>
      </c>
      <c r="G386" s="5">
        <v>0</v>
      </c>
      <c r="H386" s="5">
        <v>0</v>
      </c>
      <c r="I386" s="19">
        <v>949.38709677419035</v>
      </c>
      <c r="J386" s="19">
        <v>2934.0284486971836</v>
      </c>
      <c r="K386" s="5">
        <v>379</v>
      </c>
      <c r="L386" s="21" t="str">
        <f>IF(ISNA(_xlfn.XLOOKUP(D386,'Same Seller Hist'!E:E,'Same Seller Hist'!E:E)),"Não","Sim")</f>
        <v>Não</v>
      </c>
      <c r="M386" s="21" t="str">
        <f>_xlfn.IFNA(_xlfn.XLOOKUP(D386,'Same Seller Hist'!E:E,'Same Seller Hist'!M:M),"Não Match")</f>
        <v>Não Match</v>
      </c>
    </row>
    <row r="387" spans="3:13" hidden="1" x14ac:dyDescent="0.35">
      <c r="C387" s="18">
        <v>45992</v>
      </c>
      <c r="D387" s="5">
        <v>730955077</v>
      </c>
      <c r="E387" s="5" t="s">
        <v>1623</v>
      </c>
      <c r="F387" s="5" t="s">
        <v>905</v>
      </c>
      <c r="G387" s="5">
        <v>0</v>
      </c>
      <c r="H387" s="5">
        <v>1</v>
      </c>
      <c r="I387" s="19">
        <v>945.70967741935169</v>
      </c>
      <c r="J387" s="19">
        <v>30298.446880791966</v>
      </c>
      <c r="K387" s="5">
        <v>380</v>
      </c>
      <c r="L387" s="21" t="str">
        <f>IF(ISNA(_xlfn.XLOOKUP(D387,'Same Seller Hist'!E:E,'Same Seller Hist'!E:E)),"Não","Sim")</f>
        <v>Não</v>
      </c>
      <c r="M387" s="21" t="str">
        <f>_xlfn.IFNA(_xlfn.XLOOKUP(D387,'Same Seller Hist'!E:E,'Same Seller Hist'!M:M),"Não Match")</f>
        <v>Não Match</v>
      </c>
    </row>
    <row r="388" spans="3:13" x14ac:dyDescent="0.35">
      <c r="C388" s="18">
        <v>45992</v>
      </c>
      <c r="D388" s="5">
        <v>398944029</v>
      </c>
      <c r="E388" s="5" t="s">
        <v>529</v>
      </c>
      <c r="F388" s="5" t="s">
        <v>906</v>
      </c>
      <c r="G388" s="5">
        <v>0</v>
      </c>
      <c r="H388" s="5">
        <v>1</v>
      </c>
      <c r="I388" s="19">
        <v>944.54838709677415</v>
      </c>
      <c r="J388" s="19">
        <v>12389.453972633743</v>
      </c>
      <c r="K388" s="5">
        <v>381</v>
      </c>
      <c r="L388" s="21" t="str">
        <f>IF(ISNA(_xlfn.XLOOKUP(D388,'Same Seller Hist'!E:E,'Same Seller Hist'!E:E)),"Não","Sim")</f>
        <v>Sim</v>
      </c>
      <c r="M388" s="21" t="str">
        <f>_xlfn.IFNA(_xlfn.XLOOKUP(D388,'Same Seller Hist'!E:E,'Same Seller Hist'!M:M),"Não Match")</f>
        <v>Ativo</v>
      </c>
    </row>
    <row r="389" spans="3:13" hidden="1" x14ac:dyDescent="0.35">
      <c r="C389" s="18">
        <v>45992</v>
      </c>
      <c r="D389" s="5">
        <v>1534000949</v>
      </c>
      <c r="E389" s="5" t="s">
        <v>1624</v>
      </c>
      <c r="F389" s="5" t="s">
        <v>1734</v>
      </c>
      <c r="G389" s="5">
        <v>1</v>
      </c>
      <c r="H389" s="5">
        <v>1</v>
      </c>
      <c r="I389" s="19">
        <v>943.74193548386779</v>
      </c>
      <c r="J389" s="19">
        <v>8263.4692685466453</v>
      </c>
      <c r="K389" s="5">
        <v>382</v>
      </c>
      <c r="L389" s="21" t="str">
        <f>IF(ISNA(_xlfn.XLOOKUP(D389,'Same Seller Hist'!E:E,'Same Seller Hist'!E:E)),"Não","Sim")</f>
        <v>Não</v>
      </c>
      <c r="M389" s="21" t="str">
        <f>_xlfn.IFNA(_xlfn.XLOOKUP(D389,'Same Seller Hist'!E:E,'Same Seller Hist'!M:M),"Não Match")</f>
        <v>Não Match</v>
      </c>
    </row>
    <row r="390" spans="3:13" hidden="1" x14ac:dyDescent="0.35">
      <c r="C390" s="18">
        <v>45992</v>
      </c>
      <c r="D390" s="5">
        <v>1210495282</v>
      </c>
      <c r="E390" s="5" t="s">
        <v>1625</v>
      </c>
      <c r="F390" s="5" t="s">
        <v>905</v>
      </c>
      <c r="G390" s="5">
        <v>0</v>
      </c>
      <c r="H390" s="5">
        <v>0</v>
      </c>
      <c r="I390" s="19">
        <v>940.67741935483559</v>
      </c>
      <c r="J390" s="19">
        <v>4295.3138307013878</v>
      </c>
      <c r="K390" s="5">
        <v>383</v>
      </c>
      <c r="L390" s="21" t="str">
        <f>IF(ISNA(_xlfn.XLOOKUP(D390,'Same Seller Hist'!E:E,'Same Seller Hist'!E:E)),"Não","Sim")</f>
        <v>Não</v>
      </c>
      <c r="M390" s="21" t="str">
        <f>_xlfn.IFNA(_xlfn.XLOOKUP(D390,'Same Seller Hist'!E:E,'Same Seller Hist'!M:M),"Não Match")</f>
        <v>Não Match</v>
      </c>
    </row>
    <row r="391" spans="3:13" hidden="1" x14ac:dyDescent="0.35">
      <c r="C391" s="18">
        <v>45992</v>
      </c>
      <c r="D391" s="5">
        <v>990887809</v>
      </c>
      <c r="E391" s="5" t="s">
        <v>1626</v>
      </c>
      <c r="F391" s="5" t="s">
        <v>1734</v>
      </c>
      <c r="G391" s="5">
        <v>1</v>
      </c>
      <c r="H391" s="5">
        <v>0</v>
      </c>
      <c r="I391" s="19">
        <v>939.9032258064484</v>
      </c>
      <c r="J391" s="19">
        <v>6241.0186750874836</v>
      </c>
      <c r="K391" s="5">
        <v>384</v>
      </c>
      <c r="L391" s="21" t="str">
        <f>IF(ISNA(_xlfn.XLOOKUP(D391,'Same Seller Hist'!E:E,'Same Seller Hist'!E:E)),"Não","Sim")</f>
        <v>Não</v>
      </c>
      <c r="M391" s="21" t="str">
        <f>_xlfn.IFNA(_xlfn.XLOOKUP(D391,'Same Seller Hist'!E:E,'Same Seller Hist'!M:M),"Não Match")</f>
        <v>Não Match</v>
      </c>
    </row>
    <row r="392" spans="3:13" hidden="1" x14ac:dyDescent="0.35">
      <c r="C392" s="18">
        <v>45992</v>
      </c>
      <c r="D392" s="5">
        <v>331720585</v>
      </c>
      <c r="E392" s="5" t="s">
        <v>1627</v>
      </c>
      <c r="F392" s="5" t="s">
        <v>905</v>
      </c>
      <c r="G392" s="5">
        <v>0</v>
      </c>
      <c r="H392" s="5">
        <v>0</v>
      </c>
      <c r="I392" s="19">
        <v>939.77419354838389</v>
      </c>
      <c r="J392" s="19">
        <v>5016.0919477918387</v>
      </c>
      <c r="K392" s="5">
        <v>385</v>
      </c>
      <c r="L392" s="21" t="str">
        <f>IF(ISNA(_xlfn.XLOOKUP(D392,'Same Seller Hist'!E:E,'Same Seller Hist'!E:E)),"Não","Sim")</f>
        <v>Não</v>
      </c>
      <c r="M392" s="21" t="str">
        <f>_xlfn.IFNA(_xlfn.XLOOKUP(D392,'Same Seller Hist'!E:E,'Same Seller Hist'!M:M),"Não Match")</f>
        <v>Não Match</v>
      </c>
    </row>
    <row r="393" spans="3:13" x14ac:dyDescent="0.35">
      <c r="C393" s="18">
        <v>45992</v>
      </c>
      <c r="D393" s="5">
        <v>300863563</v>
      </c>
      <c r="E393" s="5" t="s">
        <v>1628</v>
      </c>
      <c r="F393" s="5" t="s">
        <v>906</v>
      </c>
      <c r="G393" s="5">
        <v>0</v>
      </c>
      <c r="H393" s="5">
        <v>1</v>
      </c>
      <c r="I393" s="19">
        <v>939.54838709677415</v>
      </c>
      <c r="J393" s="19">
        <v>7697.8130406582895</v>
      </c>
      <c r="K393" s="5">
        <v>386</v>
      </c>
      <c r="L393" s="21" t="str">
        <f>IF(ISNA(_xlfn.XLOOKUP(D393,'Same Seller Hist'!E:E,'Same Seller Hist'!E:E)),"Não","Sim")</f>
        <v>Sim</v>
      </c>
      <c r="M393" s="21" t="str">
        <f>_xlfn.IFNA(_xlfn.XLOOKUP(D393,'Same Seller Hist'!E:E,'Same Seller Hist'!M:M),"Não Match")</f>
        <v>Ativo</v>
      </c>
    </row>
    <row r="394" spans="3:13" hidden="1" x14ac:dyDescent="0.35">
      <c r="C394" s="18">
        <v>45992</v>
      </c>
      <c r="D394" s="5">
        <v>1612664450</v>
      </c>
      <c r="E394" s="5" t="s">
        <v>1629</v>
      </c>
      <c r="F394" s="5" t="s">
        <v>904</v>
      </c>
      <c r="G394" s="5">
        <v>0</v>
      </c>
      <c r="H394" s="5">
        <v>0</v>
      </c>
      <c r="I394" s="19">
        <v>938.87096774193549</v>
      </c>
      <c r="J394" s="19">
        <v>6540.1139164891292</v>
      </c>
      <c r="K394" s="5">
        <v>387</v>
      </c>
      <c r="L394" s="21" t="str">
        <f>IF(ISNA(_xlfn.XLOOKUP(D394,'Same Seller Hist'!E:E,'Same Seller Hist'!E:E)),"Não","Sim")</f>
        <v>Não</v>
      </c>
      <c r="M394" s="21" t="str">
        <f>_xlfn.IFNA(_xlfn.XLOOKUP(D394,'Same Seller Hist'!E:E,'Same Seller Hist'!M:M),"Não Match")</f>
        <v>Não Match</v>
      </c>
    </row>
    <row r="395" spans="3:13" hidden="1" x14ac:dyDescent="0.35">
      <c r="C395" s="18">
        <v>45992</v>
      </c>
      <c r="D395" s="5">
        <v>1620496963</v>
      </c>
      <c r="E395" s="5" t="s">
        <v>1630</v>
      </c>
      <c r="F395" s="5" t="s">
        <v>1734</v>
      </c>
      <c r="G395" s="5">
        <v>1</v>
      </c>
      <c r="H395" s="5">
        <v>0</v>
      </c>
      <c r="I395" s="19">
        <v>938.06451612902913</v>
      </c>
      <c r="J395" s="19">
        <v>5864.8287110308065</v>
      </c>
      <c r="K395" s="5">
        <v>388</v>
      </c>
      <c r="L395" s="21" t="str">
        <f>IF(ISNA(_xlfn.XLOOKUP(D395,'Same Seller Hist'!E:E,'Same Seller Hist'!E:E)),"Não","Sim")</f>
        <v>Não</v>
      </c>
      <c r="M395" s="21" t="str">
        <f>_xlfn.IFNA(_xlfn.XLOOKUP(D395,'Same Seller Hist'!E:E,'Same Seller Hist'!M:M),"Não Match")</f>
        <v>Não Match</v>
      </c>
    </row>
    <row r="396" spans="3:13" hidden="1" x14ac:dyDescent="0.35">
      <c r="C396" s="18">
        <v>45992</v>
      </c>
      <c r="D396" s="5">
        <v>303439692</v>
      </c>
      <c r="E396" s="5" t="s">
        <v>1631</v>
      </c>
      <c r="F396" s="5" t="s">
        <v>905</v>
      </c>
      <c r="G396" s="5">
        <v>0</v>
      </c>
      <c r="H396" s="5">
        <v>1</v>
      </c>
      <c r="I396" s="19">
        <v>937.93548387096462</v>
      </c>
      <c r="J396" s="19">
        <v>10205.604122850968</v>
      </c>
      <c r="K396" s="5">
        <v>389</v>
      </c>
      <c r="L396" s="21" t="str">
        <f>IF(ISNA(_xlfn.XLOOKUP(D396,'Same Seller Hist'!E:E,'Same Seller Hist'!E:E)),"Não","Sim")</f>
        <v>Não</v>
      </c>
      <c r="M396" s="21" t="str">
        <f>_xlfn.IFNA(_xlfn.XLOOKUP(D396,'Same Seller Hist'!E:E,'Same Seller Hist'!M:M),"Não Match")</f>
        <v>Não Match</v>
      </c>
    </row>
    <row r="397" spans="3:13" x14ac:dyDescent="0.35">
      <c r="C397" s="18">
        <v>45992</v>
      </c>
      <c r="D397" s="5">
        <v>710045240</v>
      </c>
      <c r="E397" s="5" t="s">
        <v>1632</v>
      </c>
      <c r="F397" s="5" t="s">
        <v>905</v>
      </c>
      <c r="G397" s="5">
        <v>0</v>
      </c>
      <c r="H397" s="5">
        <v>1</v>
      </c>
      <c r="I397" s="19">
        <v>932.35483870967425</v>
      </c>
      <c r="J397" s="19">
        <v>7005.6743754767422</v>
      </c>
      <c r="K397" s="5">
        <v>390</v>
      </c>
      <c r="L397" s="21" t="str">
        <f>IF(ISNA(_xlfn.XLOOKUP(D397,'Same Seller Hist'!E:E,'Same Seller Hist'!E:E)),"Não","Sim")</f>
        <v>Sim</v>
      </c>
      <c r="M397" s="21" t="str">
        <f>_xlfn.IFNA(_xlfn.XLOOKUP(D397,'Same Seller Hist'!E:E,'Same Seller Hist'!M:M),"Não Match")</f>
        <v>Ativo</v>
      </c>
    </row>
    <row r="398" spans="3:13" hidden="1" x14ac:dyDescent="0.35">
      <c r="C398" s="18">
        <v>45992</v>
      </c>
      <c r="D398" s="5">
        <v>815959323</v>
      </c>
      <c r="E398" s="5" t="s">
        <v>1633</v>
      </c>
      <c r="F398" s="5" t="s">
        <v>906</v>
      </c>
      <c r="G398" s="5">
        <v>0</v>
      </c>
      <c r="H398" s="5">
        <v>1</v>
      </c>
      <c r="I398" s="19">
        <v>931.80645161290317</v>
      </c>
      <c r="J398" s="19">
        <v>9122.5885380367417</v>
      </c>
      <c r="K398" s="5">
        <v>391</v>
      </c>
      <c r="L398" s="21" t="str">
        <f>IF(ISNA(_xlfn.XLOOKUP(D398,'Same Seller Hist'!E:E,'Same Seller Hist'!E:E)),"Não","Sim")</f>
        <v>Não</v>
      </c>
      <c r="M398" s="21" t="str">
        <f>_xlfn.IFNA(_xlfn.XLOOKUP(D398,'Same Seller Hist'!E:E,'Same Seller Hist'!M:M),"Não Match")</f>
        <v>Não Match</v>
      </c>
    </row>
    <row r="399" spans="3:13" x14ac:dyDescent="0.35">
      <c r="C399" s="18">
        <v>45992</v>
      </c>
      <c r="D399" s="5">
        <v>347988064</v>
      </c>
      <c r="E399" s="5" t="s">
        <v>458</v>
      </c>
      <c r="F399" s="5" t="s">
        <v>903</v>
      </c>
      <c r="G399" s="5">
        <v>0</v>
      </c>
      <c r="H399" s="5">
        <v>1</v>
      </c>
      <c r="I399" s="19">
        <v>931.35483870967425</v>
      </c>
      <c r="J399" s="19">
        <v>10885.50768516145</v>
      </c>
      <c r="K399" s="5">
        <v>392</v>
      </c>
      <c r="L399" s="21" t="str">
        <f>IF(ISNA(_xlfn.XLOOKUP(D399,'Same Seller Hist'!E:E,'Same Seller Hist'!E:E)),"Não","Sim")</f>
        <v>Sim</v>
      </c>
      <c r="M399" s="21" t="str">
        <f>_xlfn.IFNA(_xlfn.XLOOKUP(D399,'Same Seller Hist'!E:E,'Same Seller Hist'!M:M),"Não Match")</f>
        <v>Ativo</v>
      </c>
    </row>
    <row r="400" spans="3:13" x14ac:dyDescent="0.35">
      <c r="C400" s="18">
        <v>45992</v>
      </c>
      <c r="D400" s="5">
        <v>1553736756</v>
      </c>
      <c r="E400" s="5" t="s">
        <v>318</v>
      </c>
      <c r="F400" s="5" t="s">
        <v>1734</v>
      </c>
      <c r="G400" s="5">
        <v>1</v>
      </c>
      <c r="H400" s="5">
        <v>1</v>
      </c>
      <c r="I400" s="19">
        <v>928.16129032257743</v>
      </c>
      <c r="J400" s="19">
        <v>8733.3390571761938</v>
      </c>
      <c r="K400" s="5">
        <v>393</v>
      </c>
      <c r="L400" s="21" t="str">
        <f>IF(ISNA(_xlfn.XLOOKUP(D400,'Same Seller Hist'!E:E,'Same Seller Hist'!E:E)),"Não","Sim")</f>
        <v>Sim</v>
      </c>
      <c r="M400" s="21" t="str">
        <f>_xlfn.IFNA(_xlfn.XLOOKUP(D400,'Same Seller Hist'!E:E,'Same Seller Hist'!M:M),"Não Match")</f>
        <v>Ativo</v>
      </c>
    </row>
    <row r="401" spans="3:13" hidden="1" x14ac:dyDescent="0.35">
      <c r="C401" s="18">
        <v>45992</v>
      </c>
      <c r="D401" s="5">
        <v>663461151</v>
      </c>
      <c r="E401" s="5" t="s">
        <v>1634</v>
      </c>
      <c r="F401" s="5" t="s">
        <v>1734</v>
      </c>
      <c r="G401" s="5">
        <v>1</v>
      </c>
      <c r="H401" s="5">
        <v>1</v>
      </c>
      <c r="I401" s="19">
        <v>927.70967741935169</v>
      </c>
      <c r="J401" s="19">
        <v>3892.1383036806774</v>
      </c>
      <c r="K401" s="5">
        <v>394</v>
      </c>
      <c r="L401" s="21" t="str">
        <f>IF(ISNA(_xlfn.XLOOKUP(D401,'Same Seller Hist'!E:E,'Same Seller Hist'!E:E)),"Não","Sim")</f>
        <v>Não</v>
      </c>
      <c r="M401" s="21" t="str">
        <f>_xlfn.IFNA(_xlfn.XLOOKUP(D401,'Same Seller Hist'!E:E,'Same Seller Hist'!M:M),"Não Match")</f>
        <v>Não Match</v>
      </c>
    </row>
    <row r="402" spans="3:13" hidden="1" x14ac:dyDescent="0.35">
      <c r="C402" s="18">
        <v>45992</v>
      </c>
      <c r="D402" s="5">
        <v>1431580280</v>
      </c>
      <c r="E402" s="5" t="s">
        <v>1635</v>
      </c>
      <c r="F402" s="5" t="s">
        <v>1734</v>
      </c>
      <c r="G402" s="5">
        <v>1</v>
      </c>
      <c r="H402" s="5">
        <v>1</v>
      </c>
      <c r="I402" s="19">
        <v>926.70967741935488</v>
      </c>
      <c r="J402" s="19">
        <v>3694.2519074676129</v>
      </c>
      <c r="K402" s="5">
        <v>395</v>
      </c>
      <c r="L402" s="21" t="str">
        <f>IF(ISNA(_xlfn.XLOOKUP(D402,'Same Seller Hist'!E:E,'Same Seller Hist'!E:E)),"Não","Sim")</f>
        <v>Não</v>
      </c>
      <c r="M402" s="21" t="str">
        <f>_xlfn.IFNA(_xlfn.XLOOKUP(D402,'Same Seller Hist'!E:E,'Same Seller Hist'!M:M),"Não Match")</f>
        <v>Não Match</v>
      </c>
    </row>
    <row r="403" spans="3:13" hidden="1" x14ac:dyDescent="0.35">
      <c r="C403" s="18">
        <v>45992</v>
      </c>
      <c r="D403" s="5">
        <v>1020402982</v>
      </c>
      <c r="E403" s="5" t="s">
        <v>1636</v>
      </c>
      <c r="F403" s="5" t="s">
        <v>1734</v>
      </c>
      <c r="G403" s="5">
        <v>1</v>
      </c>
      <c r="H403" s="5">
        <v>1</v>
      </c>
      <c r="I403" s="19">
        <v>924.54838709677415</v>
      </c>
      <c r="J403" s="19">
        <v>7569.8410790457747</v>
      </c>
      <c r="K403" s="5">
        <v>396</v>
      </c>
      <c r="L403" s="21" t="str">
        <f>IF(ISNA(_xlfn.XLOOKUP(D403,'Same Seller Hist'!E:E,'Same Seller Hist'!E:E)),"Não","Sim")</f>
        <v>Não</v>
      </c>
      <c r="M403" s="21" t="str">
        <f>_xlfn.IFNA(_xlfn.XLOOKUP(D403,'Same Seller Hist'!E:E,'Same Seller Hist'!M:M),"Não Match")</f>
        <v>Não Match</v>
      </c>
    </row>
    <row r="404" spans="3:13" hidden="1" x14ac:dyDescent="0.35">
      <c r="C404" s="18">
        <v>45992</v>
      </c>
      <c r="D404" s="5">
        <v>1227023039</v>
      </c>
      <c r="E404" s="5" t="s">
        <v>1637</v>
      </c>
      <c r="F404" s="5" t="s">
        <v>904</v>
      </c>
      <c r="G404" s="5">
        <v>0</v>
      </c>
      <c r="H404" s="5">
        <v>1</v>
      </c>
      <c r="I404" s="19">
        <v>924.32258064515815</v>
      </c>
      <c r="J404" s="19">
        <v>10238.947608473612</v>
      </c>
      <c r="K404" s="5">
        <v>397</v>
      </c>
      <c r="L404" s="21" t="str">
        <f>IF(ISNA(_xlfn.XLOOKUP(D404,'Same Seller Hist'!E:E,'Same Seller Hist'!E:E)),"Não","Sim")</f>
        <v>Não</v>
      </c>
      <c r="M404" s="21" t="str">
        <f>_xlfn.IFNA(_xlfn.XLOOKUP(D404,'Same Seller Hist'!E:E,'Same Seller Hist'!M:M),"Não Match")</f>
        <v>Não Match</v>
      </c>
    </row>
    <row r="405" spans="3:13" hidden="1" x14ac:dyDescent="0.35">
      <c r="C405" s="18">
        <v>45992</v>
      </c>
      <c r="D405" s="5">
        <v>989001237</v>
      </c>
      <c r="E405" s="5" t="s">
        <v>1638</v>
      </c>
      <c r="F405" s="5" t="s">
        <v>903</v>
      </c>
      <c r="G405" s="5">
        <v>0</v>
      </c>
      <c r="H405" s="5">
        <v>1</v>
      </c>
      <c r="I405" s="19">
        <v>923.9677419354839</v>
      </c>
      <c r="J405" s="19">
        <v>9677.2298655588056</v>
      </c>
      <c r="K405" s="5">
        <v>398</v>
      </c>
      <c r="L405" s="21" t="str">
        <f>IF(ISNA(_xlfn.XLOOKUP(D405,'Same Seller Hist'!E:E,'Same Seller Hist'!E:E)),"Não","Sim")</f>
        <v>Não</v>
      </c>
      <c r="M405" s="21" t="str">
        <f>_xlfn.IFNA(_xlfn.XLOOKUP(D405,'Same Seller Hist'!E:E,'Same Seller Hist'!M:M),"Não Match")</f>
        <v>Não Match</v>
      </c>
    </row>
    <row r="406" spans="3:13" hidden="1" x14ac:dyDescent="0.35">
      <c r="C406" s="18">
        <v>45992</v>
      </c>
      <c r="D406" s="5">
        <v>340054154</v>
      </c>
      <c r="E406" s="5" t="s">
        <v>1639</v>
      </c>
      <c r="F406" s="5" t="s">
        <v>906</v>
      </c>
      <c r="G406" s="5">
        <v>0</v>
      </c>
      <c r="H406" s="5">
        <v>1</v>
      </c>
      <c r="I406" s="19">
        <v>923.77419354838389</v>
      </c>
      <c r="J406" s="19">
        <v>33295.808792363874</v>
      </c>
      <c r="K406" s="5">
        <v>399</v>
      </c>
      <c r="L406" s="21" t="str">
        <f>IF(ISNA(_xlfn.XLOOKUP(D406,'Same Seller Hist'!E:E,'Same Seller Hist'!E:E)),"Não","Sim")</f>
        <v>Não</v>
      </c>
      <c r="M406" s="21" t="str">
        <f>_xlfn.IFNA(_xlfn.XLOOKUP(D406,'Same Seller Hist'!E:E,'Same Seller Hist'!M:M),"Não Match")</f>
        <v>Não Match</v>
      </c>
    </row>
    <row r="407" spans="3:13" x14ac:dyDescent="0.35">
      <c r="C407" s="18">
        <v>45992</v>
      </c>
      <c r="D407" s="5">
        <v>1155571749</v>
      </c>
      <c r="E407" s="5" t="s">
        <v>1640</v>
      </c>
      <c r="F407" s="5" t="s">
        <v>1734</v>
      </c>
      <c r="G407" s="5">
        <v>1</v>
      </c>
      <c r="H407" s="5">
        <v>1</v>
      </c>
      <c r="I407" s="19">
        <v>922.06451612903231</v>
      </c>
      <c r="J407" s="19">
        <v>6409.7796351124516</v>
      </c>
      <c r="K407" s="5">
        <v>400</v>
      </c>
      <c r="L407" s="21" t="str">
        <f>IF(ISNA(_xlfn.XLOOKUP(D407,'Same Seller Hist'!E:E,'Same Seller Hist'!E:E)),"Não","Sim")</f>
        <v>Sim</v>
      </c>
      <c r="M407" s="21" t="str">
        <f>_xlfn.IFNA(_xlfn.XLOOKUP(D407,'Same Seller Hist'!E:E,'Same Seller Hist'!M:M),"Não Match")</f>
        <v>Ativo</v>
      </c>
    </row>
    <row r="408" spans="3:13" x14ac:dyDescent="0.35">
      <c r="C408" s="18">
        <v>45992</v>
      </c>
      <c r="D408" s="5">
        <v>1117805526</v>
      </c>
      <c r="E408" s="5" t="s">
        <v>1641</v>
      </c>
      <c r="F408" s="5" t="s">
        <v>1734</v>
      </c>
      <c r="G408" s="5">
        <v>1</v>
      </c>
      <c r="H408" s="5">
        <v>0</v>
      </c>
      <c r="I408" s="19">
        <v>921.58064516129036</v>
      </c>
      <c r="J408" s="19">
        <v>4470.0202352863553</v>
      </c>
      <c r="K408" s="5">
        <v>401</v>
      </c>
      <c r="L408" s="21" t="str">
        <f>IF(ISNA(_xlfn.XLOOKUP(D408,'Same Seller Hist'!E:E,'Same Seller Hist'!E:E)),"Não","Sim")</f>
        <v>Sim</v>
      </c>
      <c r="M408" s="21" t="str">
        <f>_xlfn.IFNA(_xlfn.XLOOKUP(D408,'Same Seller Hist'!E:E,'Same Seller Hist'!M:M),"Não Match")</f>
        <v>Ativo</v>
      </c>
    </row>
    <row r="409" spans="3:13" hidden="1" x14ac:dyDescent="0.35">
      <c r="C409" s="18">
        <v>45992</v>
      </c>
      <c r="D409" s="5">
        <v>1128449458</v>
      </c>
      <c r="E409" s="5" t="s">
        <v>1642</v>
      </c>
      <c r="F409" s="5" t="s">
        <v>906</v>
      </c>
      <c r="G409" s="5">
        <v>0</v>
      </c>
      <c r="H409" s="5">
        <v>1</v>
      </c>
      <c r="I409" s="19">
        <v>921.51612903225487</v>
      </c>
      <c r="J409" s="19">
        <v>2810.6523100698519</v>
      </c>
      <c r="K409" s="5">
        <v>402</v>
      </c>
      <c r="L409" s="21" t="str">
        <f>IF(ISNA(_xlfn.XLOOKUP(D409,'Same Seller Hist'!E:E,'Same Seller Hist'!E:E)),"Não","Sim")</f>
        <v>Não</v>
      </c>
      <c r="M409" s="21" t="str">
        <f>_xlfn.IFNA(_xlfn.XLOOKUP(D409,'Same Seller Hist'!E:E,'Same Seller Hist'!M:M),"Não Match")</f>
        <v>Não Match</v>
      </c>
    </row>
    <row r="410" spans="3:13" x14ac:dyDescent="0.35">
      <c r="C410" s="18">
        <v>45992</v>
      </c>
      <c r="D410" s="5">
        <v>436773535</v>
      </c>
      <c r="E410" s="5" t="s">
        <v>573</v>
      </c>
      <c r="F410" s="5" t="s">
        <v>903</v>
      </c>
      <c r="G410" s="5">
        <v>0</v>
      </c>
      <c r="H410" s="5">
        <v>1</v>
      </c>
      <c r="I410" s="19">
        <v>920.83870967741939</v>
      </c>
      <c r="J410" s="19">
        <v>8706.8130283091286</v>
      </c>
      <c r="K410" s="5">
        <v>403</v>
      </c>
      <c r="L410" s="21" t="str">
        <f>IF(ISNA(_xlfn.XLOOKUP(D410,'Same Seller Hist'!E:E,'Same Seller Hist'!E:E)),"Não","Sim")</f>
        <v>Sim</v>
      </c>
      <c r="M410" s="21" t="str">
        <f>_xlfn.IFNA(_xlfn.XLOOKUP(D410,'Same Seller Hist'!E:E,'Same Seller Hist'!M:M),"Não Match")</f>
        <v>Ativo</v>
      </c>
    </row>
    <row r="411" spans="3:13" hidden="1" x14ac:dyDescent="0.35">
      <c r="C411" s="18">
        <v>45992</v>
      </c>
      <c r="D411" s="5">
        <v>429531216</v>
      </c>
      <c r="E411" s="5" t="s">
        <v>1643</v>
      </c>
      <c r="F411" s="5" t="s">
        <v>1734</v>
      </c>
      <c r="G411" s="5">
        <v>1</v>
      </c>
      <c r="H411" s="5">
        <v>1</v>
      </c>
      <c r="I411" s="19">
        <v>919.48387096773877</v>
      </c>
      <c r="J411" s="19">
        <v>7743.9151497723233</v>
      </c>
      <c r="K411" s="5">
        <v>404</v>
      </c>
      <c r="L411" s="21" t="str">
        <f>IF(ISNA(_xlfn.XLOOKUP(D411,'Same Seller Hist'!E:E,'Same Seller Hist'!E:E)),"Não","Sim")</f>
        <v>Não</v>
      </c>
      <c r="M411" s="21" t="str">
        <f>_xlfn.IFNA(_xlfn.XLOOKUP(D411,'Same Seller Hist'!E:E,'Same Seller Hist'!M:M),"Não Match")</f>
        <v>Não Match</v>
      </c>
    </row>
    <row r="412" spans="3:13" x14ac:dyDescent="0.35">
      <c r="C412" s="18">
        <v>45992</v>
      </c>
      <c r="D412" s="5">
        <v>805449066</v>
      </c>
      <c r="E412" s="5" t="s">
        <v>711</v>
      </c>
      <c r="F412" s="5" t="s">
        <v>905</v>
      </c>
      <c r="G412" s="5">
        <v>0</v>
      </c>
      <c r="H412" s="5">
        <v>1</v>
      </c>
      <c r="I412" s="19">
        <v>918.45161290322585</v>
      </c>
      <c r="J412" s="19">
        <v>21187.664579271161</v>
      </c>
      <c r="K412" s="5">
        <v>405</v>
      </c>
      <c r="L412" s="21" t="str">
        <f>IF(ISNA(_xlfn.XLOOKUP(D412,'Same Seller Hist'!E:E,'Same Seller Hist'!E:E)),"Não","Sim")</f>
        <v>Sim</v>
      </c>
      <c r="M412" s="21" t="str">
        <f>_xlfn.IFNA(_xlfn.XLOOKUP(D412,'Same Seller Hist'!E:E,'Same Seller Hist'!M:M),"Não Match")</f>
        <v>Ativo</v>
      </c>
    </row>
    <row r="413" spans="3:13" hidden="1" x14ac:dyDescent="0.35">
      <c r="C413" s="18">
        <v>45992</v>
      </c>
      <c r="D413" s="5">
        <v>1345857560</v>
      </c>
      <c r="E413" s="5" t="s">
        <v>1644</v>
      </c>
      <c r="F413" s="5" t="s">
        <v>1734</v>
      </c>
      <c r="G413" s="5">
        <v>1</v>
      </c>
      <c r="H413" s="5">
        <v>1</v>
      </c>
      <c r="I413" s="19">
        <v>918.19354838709364</v>
      </c>
      <c r="J413" s="19">
        <v>6610.6917141986132</v>
      </c>
      <c r="K413" s="5">
        <v>406</v>
      </c>
      <c r="L413" s="21" t="str">
        <f>IF(ISNA(_xlfn.XLOOKUP(D413,'Same Seller Hist'!E:E,'Same Seller Hist'!E:E)),"Não","Sim")</f>
        <v>Não</v>
      </c>
      <c r="M413" s="21" t="str">
        <f>_xlfn.IFNA(_xlfn.XLOOKUP(D413,'Same Seller Hist'!E:E,'Same Seller Hist'!M:M),"Não Match")</f>
        <v>Não Match</v>
      </c>
    </row>
    <row r="414" spans="3:13" hidden="1" x14ac:dyDescent="0.35">
      <c r="C414" s="18">
        <v>45992</v>
      </c>
      <c r="D414" s="5">
        <v>1171894916</v>
      </c>
      <c r="E414" s="5" t="s">
        <v>1645</v>
      </c>
      <c r="F414" s="5" t="s">
        <v>905</v>
      </c>
      <c r="G414" s="5">
        <v>0</v>
      </c>
      <c r="H414" s="5">
        <v>0</v>
      </c>
      <c r="I414" s="19">
        <v>918.03225806451292</v>
      </c>
      <c r="J414" s="19">
        <v>6173.4660782571291</v>
      </c>
      <c r="K414" s="5">
        <v>407</v>
      </c>
      <c r="L414" s="21" t="str">
        <f>IF(ISNA(_xlfn.XLOOKUP(D414,'Same Seller Hist'!E:E,'Same Seller Hist'!E:E)),"Não","Sim")</f>
        <v>Não</v>
      </c>
      <c r="M414" s="21" t="str">
        <f>_xlfn.IFNA(_xlfn.XLOOKUP(D414,'Same Seller Hist'!E:E,'Same Seller Hist'!M:M),"Não Match")</f>
        <v>Não Match</v>
      </c>
    </row>
    <row r="415" spans="3:13" hidden="1" x14ac:dyDescent="0.35">
      <c r="C415" s="18">
        <v>45992</v>
      </c>
      <c r="D415" s="5">
        <v>984259416</v>
      </c>
      <c r="E415" s="5" t="s">
        <v>1646</v>
      </c>
      <c r="F415" s="5" t="s">
        <v>903</v>
      </c>
      <c r="G415" s="5">
        <v>0</v>
      </c>
      <c r="H415" s="5">
        <v>0</v>
      </c>
      <c r="I415" s="19">
        <v>917.83870967741939</v>
      </c>
      <c r="J415" s="19">
        <v>5909.6224704770966</v>
      </c>
      <c r="K415" s="5">
        <v>408</v>
      </c>
      <c r="L415" s="21" t="str">
        <f>IF(ISNA(_xlfn.XLOOKUP(D415,'Same Seller Hist'!E:E,'Same Seller Hist'!E:E)),"Não","Sim")</f>
        <v>Não</v>
      </c>
      <c r="M415" s="21" t="str">
        <f>_xlfn.IFNA(_xlfn.XLOOKUP(D415,'Same Seller Hist'!E:E,'Same Seller Hist'!M:M),"Não Match")</f>
        <v>Não Match</v>
      </c>
    </row>
    <row r="416" spans="3:13" hidden="1" x14ac:dyDescent="0.35">
      <c r="C416" s="18">
        <v>45992</v>
      </c>
      <c r="D416" s="5">
        <v>1472984464</v>
      </c>
      <c r="E416" s="5" t="s">
        <v>1647</v>
      </c>
      <c r="F416" s="5" t="s">
        <v>903</v>
      </c>
      <c r="G416" s="5">
        <v>0</v>
      </c>
      <c r="H416" s="5">
        <v>0</v>
      </c>
      <c r="I416" s="19">
        <v>916.9032258064484</v>
      </c>
      <c r="J416" s="19">
        <v>4347.4918879603865</v>
      </c>
      <c r="K416" s="5">
        <v>409</v>
      </c>
      <c r="L416" s="21" t="str">
        <f>IF(ISNA(_xlfn.XLOOKUP(D416,'Same Seller Hist'!E:E,'Same Seller Hist'!E:E)),"Não","Sim")</f>
        <v>Não</v>
      </c>
      <c r="M416" s="21" t="str">
        <f>_xlfn.IFNA(_xlfn.XLOOKUP(D416,'Same Seller Hist'!E:E,'Same Seller Hist'!M:M),"Não Match")</f>
        <v>Não Match</v>
      </c>
    </row>
    <row r="417" spans="3:13" hidden="1" x14ac:dyDescent="0.35">
      <c r="C417" s="18">
        <v>45992</v>
      </c>
      <c r="D417" s="5">
        <v>1242218903</v>
      </c>
      <c r="E417" s="5" t="s">
        <v>1648</v>
      </c>
      <c r="F417" s="5" t="s">
        <v>905</v>
      </c>
      <c r="G417" s="5">
        <v>0</v>
      </c>
      <c r="H417" s="5">
        <v>0</v>
      </c>
      <c r="I417" s="19">
        <v>914.38709677419035</v>
      </c>
      <c r="J417" s="19">
        <v>4731.4590463712575</v>
      </c>
      <c r="K417" s="5">
        <v>410</v>
      </c>
      <c r="L417" s="21" t="str">
        <f>IF(ISNA(_xlfn.XLOOKUP(D417,'Same Seller Hist'!E:E,'Same Seller Hist'!E:E)),"Não","Sim")</f>
        <v>Não</v>
      </c>
      <c r="M417" s="21" t="str">
        <f>_xlfn.IFNA(_xlfn.XLOOKUP(D417,'Same Seller Hist'!E:E,'Same Seller Hist'!M:M),"Não Match")</f>
        <v>Não Match</v>
      </c>
    </row>
    <row r="418" spans="3:13" hidden="1" x14ac:dyDescent="0.35">
      <c r="C418" s="18">
        <v>45992</v>
      </c>
      <c r="D418" s="5">
        <v>290102866</v>
      </c>
      <c r="E418" s="5" t="s">
        <v>1649</v>
      </c>
      <c r="F418" s="5" t="s">
        <v>904</v>
      </c>
      <c r="G418" s="5">
        <v>0</v>
      </c>
      <c r="H418" s="5">
        <v>0</v>
      </c>
      <c r="I418" s="19">
        <v>913.12903225806133</v>
      </c>
      <c r="J418" s="19">
        <v>4247.73093365358</v>
      </c>
      <c r="K418" s="5">
        <v>411</v>
      </c>
      <c r="L418" s="21" t="str">
        <f>IF(ISNA(_xlfn.XLOOKUP(D418,'Same Seller Hist'!E:E,'Same Seller Hist'!E:E)),"Não","Sim")</f>
        <v>Não</v>
      </c>
      <c r="M418" s="21" t="str">
        <f>_xlfn.IFNA(_xlfn.XLOOKUP(D418,'Same Seller Hist'!E:E,'Same Seller Hist'!M:M),"Não Match")</f>
        <v>Não Match</v>
      </c>
    </row>
    <row r="419" spans="3:13" hidden="1" x14ac:dyDescent="0.35">
      <c r="C419" s="18">
        <v>45992</v>
      </c>
      <c r="D419" s="5">
        <v>341061019</v>
      </c>
      <c r="E419" s="5" t="s">
        <v>1650</v>
      </c>
      <c r="F419" s="5" t="s">
        <v>1734</v>
      </c>
      <c r="G419" s="5">
        <v>1</v>
      </c>
      <c r="H419" s="5">
        <v>1</v>
      </c>
      <c r="I419" s="19">
        <v>911.70967741935488</v>
      </c>
      <c r="J419" s="19">
        <v>4866.3238989356778</v>
      </c>
      <c r="K419" s="5">
        <v>412</v>
      </c>
      <c r="L419" s="21" t="str">
        <f>IF(ISNA(_xlfn.XLOOKUP(D419,'Same Seller Hist'!E:E,'Same Seller Hist'!E:E)),"Não","Sim")</f>
        <v>Não</v>
      </c>
      <c r="M419" s="21" t="str">
        <f>_xlfn.IFNA(_xlfn.XLOOKUP(D419,'Same Seller Hist'!E:E,'Same Seller Hist'!M:M),"Não Match")</f>
        <v>Não Match</v>
      </c>
    </row>
    <row r="420" spans="3:13" x14ac:dyDescent="0.35">
      <c r="C420" s="18">
        <v>45992</v>
      </c>
      <c r="D420" s="5">
        <v>1049584869</v>
      </c>
      <c r="E420" s="5" t="s">
        <v>1651</v>
      </c>
      <c r="F420" s="5" t="s">
        <v>1734</v>
      </c>
      <c r="G420" s="5">
        <v>1</v>
      </c>
      <c r="H420" s="5">
        <v>1</v>
      </c>
      <c r="I420" s="19">
        <v>911.48387096774195</v>
      </c>
      <c r="J420" s="19">
        <v>7991.6441554059029</v>
      </c>
      <c r="K420" s="5">
        <v>413</v>
      </c>
      <c r="L420" s="21" t="str">
        <f>IF(ISNA(_xlfn.XLOOKUP(D420,'Same Seller Hist'!E:E,'Same Seller Hist'!E:E)),"Não","Sim")</f>
        <v>Sim</v>
      </c>
      <c r="M420" s="21" t="str">
        <f>_xlfn.IFNA(_xlfn.XLOOKUP(D420,'Same Seller Hist'!E:E,'Same Seller Hist'!M:M),"Não Match")</f>
        <v>Ativo</v>
      </c>
    </row>
    <row r="421" spans="3:13" hidden="1" x14ac:dyDescent="0.35">
      <c r="C421" s="18">
        <v>45992</v>
      </c>
      <c r="D421" s="5">
        <v>1235950339</v>
      </c>
      <c r="E421" s="5" t="s">
        <v>1652</v>
      </c>
      <c r="F421" s="5" t="s">
        <v>1734</v>
      </c>
      <c r="G421" s="5">
        <v>1</v>
      </c>
      <c r="H421" s="5">
        <v>1</v>
      </c>
      <c r="I421" s="19">
        <v>910.25806451612584</v>
      </c>
      <c r="J421" s="19">
        <v>9083.5489865939999</v>
      </c>
      <c r="K421" s="5">
        <v>414</v>
      </c>
      <c r="L421" s="21" t="str">
        <f>IF(ISNA(_xlfn.XLOOKUP(D421,'Same Seller Hist'!E:E,'Same Seller Hist'!E:E)),"Não","Sim")</f>
        <v>Não</v>
      </c>
      <c r="M421" s="21" t="str">
        <f>_xlfn.IFNA(_xlfn.XLOOKUP(D421,'Same Seller Hist'!E:E,'Same Seller Hist'!M:M),"Não Match")</f>
        <v>Não Match</v>
      </c>
    </row>
    <row r="422" spans="3:13" hidden="1" x14ac:dyDescent="0.35">
      <c r="C422" s="18">
        <v>45992</v>
      </c>
      <c r="D422" s="5">
        <v>412968566</v>
      </c>
      <c r="E422" s="5" t="s">
        <v>1653</v>
      </c>
      <c r="F422" s="5" t="s">
        <v>905</v>
      </c>
      <c r="G422" s="5">
        <v>0</v>
      </c>
      <c r="H422" s="5">
        <v>1</v>
      </c>
      <c r="I422" s="19">
        <v>908.35483870967425</v>
      </c>
      <c r="J422" s="19">
        <v>15048.863049259257</v>
      </c>
      <c r="K422" s="5">
        <v>415</v>
      </c>
      <c r="L422" s="21" t="str">
        <f>IF(ISNA(_xlfn.XLOOKUP(D422,'Same Seller Hist'!E:E,'Same Seller Hist'!E:E)),"Não","Sim")</f>
        <v>Não</v>
      </c>
      <c r="M422" s="21" t="str">
        <f>_xlfn.IFNA(_xlfn.XLOOKUP(D422,'Same Seller Hist'!E:E,'Same Seller Hist'!M:M),"Não Match")</f>
        <v>Não Match</v>
      </c>
    </row>
    <row r="423" spans="3:13" hidden="1" x14ac:dyDescent="0.35">
      <c r="C423" s="18">
        <v>45992</v>
      </c>
      <c r="D423" s="5">
        <v>471383080</v>
      </c>
      <c r="E423" s="5" t="s">
        <v>1654</v>
      </c>
      <c r="F423" s="5" t="s">
        <v>906</v>
      </c>
      <c r="G423" s="5">
        <v>0</v>
      </c>
      <c r="H423" s="5">
        <v>0</v>
      </c>
      <c r="I423" s="19">
        <v>905.09677419354841</v>
      </c>
      <c r="J423" s="19">
        <v>6584.6364863625158</v>
      </c>
      <c r="K423" s="5">
        <v>416</v>
      </c>
      <c r="L423" s="21" t="str">
        <f>IF(ISNA(_xlfn.XLOOKUP(D423,'Same Seller Hist'!E:E,'Same Seller Hist'!E:E)),"Não","Sim")</f>
        <v>Não</v>
      </c>
      <c r="M423" s="21" t="str">
        <f>_xlfn.IFNA(_xlfn.XLOOKUP(D423,'Same Seller Hist'!E:E,'Same Seller Hist'!M:M),"Não Match")</f>
        <v>Não Match</v>
      </c>
    </row>
    <row r="424" spans="3:13" hidden="1" x14ac:dyDescent="0.35">
      <c r="C424" s="18">
        <v>45992</v>
      </c>
      <c r="D424" s="5">
        <v>1321488407</v>
      </c>
      <c r="E424" s="5" t="s">
        <v>1655</v>
      </c>
      <c r="F424" s="5" t="s">
        <v>1734</v>
      </c>
      <c r="G424" s="5">
        <v>1</v>
      </c>
      <c r="H424" s="5">
        <v>0</v>
      </c>
      <c r="I424" s="19">
        <v>904.90322580645159</v>
      </c>
      <c r="J424" s="19">
        <v>5090.2667882547421</v>
      </c>
      <c r="K424" s="5">
        <v>417</v>
      </c>
      <c r="L424" s="21" t="str">
        <f>IF(ISNA(_xlfn.XLOOKUP(D424,'Same Seller Hist'!E:E,'Same Seller Hist'!E:E)),"Não","Sim")</f>
        <v>Não</v>
      </c>
      <c r="M424" s="21" t="str">
        <f>_xlfn.IFNA(_xlfn.XLOOKUP(D424,'Same Seller Hist'!E:E,'Same Seller Hist'!M:M),"Não Match")</f>
        <v>Não Match</v>
      </c>
    </row>
    <row r="425" spans="3:13" hidden="1" x14ac:dyDescent="0.35">
      <c r="C425" s="18">
        <v>45992</v>
      </c>
      <c r="D425" s="5">
        <v>1070348055</v>
      </c>
      <c r="E425" s="5" t="s">
        <v>1656</v>
      </c>
      <c r="F425" s="5" t="s">
        <v>1734</v>
      </c>
      <c r="G425" s="5">
        <v>1</v>
      </c>
      <c r="H425" s="5">
        <v>0</v>
      </c>
      <c r="I425" s="19">
        <v>903.41935483870645</v>
      </c>
      <c r="J425" s="19">
        <v>4729.7159859957101</v>
      </c>
      <c r="K425" s="5">
        <v>418</v>
      </c>
      <c r="L425" s="21" t="str">
        <f>IF(ISNA(_xlfn.XLOOKUP(D425,'Same Seller Hist'!E:E,'Same Seller Hist'!E:E)),"Não","Sim")</f>
        <v>Não</v>
      </c>
      <c r="M425" s="21" t="str">
        <f>_xlfn.IFNA(_xlfn.XLOOKUP(D425,'Same Seller Hist'!E:E,'Same Seller Hist'!M:M),"Não Match")</f>
        <v>Não Match</v>
      </c>
    </row>
    <row r="426" spans="3:13" hidden="1" x14ac:dyDescent="0.35">
      <c r="C426" s="18">
        <v>45992</v>
      </c>
      <c r="D426" s="5">
        <v>1574600715</v>
      </c>
      <c r="E426" s="5" t="s">
        <v>1657</v>
      </c>
      <c r="F426" s="5" t="s">
        <v>906</v>
      </c>
      <c r="G426" s="5">
        <v>0</v>
      </c>
      <c r="H426" s="5">
        <v>0</v>
      </c>
      <c r="I426" s="19">
        <v>901.0322580645161</v>
      </c>
      <c r="J426" s="19">
        <v>3000.5572009122548</v>
      </c>
      <c r="K426" s="5">
        <v>419</v>
      </c>
      <c r="L426" s="21" t="str">
        <f>IF(ISNA(_xlfn.XLOOKUP(D426,'Same Seller Hist'!E:E,'Same Seller Hist'!E:E)),"Não","Sim")</f>
        <v>Não</v>
      </c>
      <c r="M426" s="21" t="str">
        <f>_xlfn.IFNA(_xlfn.XLOOKUP(D426,'Same Seller Hist'!E:E,'Same Seller Hist'!M:M),"Não Match")</f>
        <v>Não Match</v>
      </c>
    </row>
    <row r="427" spans="3:13" x14ac:dyDescent="0.35">
      <c r="C427" s="18">
        <v>45992</v>
      </c>
      <c r="D427" s="5">
        <v>1271897145</v>
      </c>
      <c r="E427" s="5" t="s">
        <v>1658</v>
      </c>
      <c r="F427" s="5" t="s">
        <v>903</v>
      </c>
      <c r="G427" s="5">
        <v>0</v>
      </c>
      <c r="H427" s="5">
        <v>1</v>
      </c>
      <c r="I427" s="19">
        <v>900.48387096773877</v>
      </c>
      <c r="J427" s="19">
        <v>5726.3503069325488</v>
      </c>
      <c r="K427" s="5">
        <v>420</v>
      </c>
      <c r="L427" s="21" t="str">
        <f>IF(ISNA(_xlfn.XLOOKUP(D427,'Same Seller Hist'!E:E,'Same Seller Hist'!E:E)),"Não","Sim")</f>
        <v>Sim</v>
      </c>
      <c r="M427" s="21" t="str">
        <f>_xlfn.IFNA(_xlfn.XLOOKUP(D427,'Same Seller Hist'!E:E,'Same Seller Hist'!M:M),"Não Match")</f>
        <v>Ativo</v>
      </c>
    </row>
    <row r="428" spans="3:13" hidden="1" x14ac:dyDescent="0.35">
      <c r="C428" s="18">
        <v>45992</v>
      </c>
      <c r="D428" s="5">
        <v>404879684</v>
      </c>
      <c r="E428" s="5" t="s">
        <v>1659</v>
      </c>
      <c r="F428" s="5" t="s">
        <v>906</v>
      </c>
      <c r="G428" s="5">
        <v>0</v>
      </c>
      <c r="H428" s="5">
        <v>1</v>
      </c>
      <c r="I428" s="19">
        <v>899.8387096774162</v>
      </c>
      <c r="J428" s="19">
        <v>9123.7328845834527</v>
      </c>
      <c r="K428" s="5">
        <v>421</v>
      </c>
      <c r="L428" s="21" t="str">
        <f>IF(ISNA(_xlfn.XLOOKUP(D428,'Same Seller Hist'!E:E,'Same Seller Hist'!E:E)),"Não","Sim")</f>
        <v>Não</v>
      </c>
      <c r="M428" s="21" t="str">
        <f>_xlfn.IFNA(_xlfn.XLOOKUP(D428,'Same Seller Hist'!E:E,'Same Seller Hist'!M:M),"Não Match")</f>
        <v>Não Match</v>
      </c>
    </row>
    <row r="429" spans="3:13" hidden="1" x14ac:dyDescent="0.35">
      <c r="C429" s="18">
        <v>45992</v>
      </c>
      <c r="D429" s="5">
        <v>916652740</v>
      </c>
      <c r="E429" s="5" t="s">
        <v>1660</v>
      </c>
      <c r="F429" s="5" t="s">
        <v>1734</v>
      </c>
      <c r="G429" s="5">
        <v>1</v>
      </c>
      <c r="H429" s="5">
        <v>1</v>
      </c>
      <c r="I429" s="19">
        <v>898.67741935483866</v>
      </c>
      <c r="J429" s="19">
        <v>5845.2514257632256</v>
      </c>
      <c r="K429" s="5">
        <v>422</v>
      </c>
      <c r="L429" s="21" t="str">
        <f>IF(ISNA(_xlfn.XLOOKUP(D429,'Same Seller Hist'!E:E,'Same Seller Hist'!E:E)),"Não","Sim")</f>
        <v>Não</v>
      </c>
      <c r="M429" s="21" t="str">
        <f>_xlfn.IFNA(_xlfn.XLOOKUP(D429,'Same Seller Hist'!E:E,'Same Seller Hist'!M:M),"Não Match")</f>
        <v>Não Match</v>
      </c>
    </row>
    <row r="430" spans="3:13" hidden="1" x14ac:dyDescent="0.35">
      <c r="C430" s="18">
        <v>45992</v>
      </c>
      <c r="D430" s="5">
        <v>375039522</v>
      </c>
      <c r="E430" s="5" t="s">
        <v>1661</v>
      </c>
      <c r="F430" s="5" t="s">
        <v>1734</v>
      </c>
      <c r="G430" s="5">
        <v>1</v>
      </c>
      <c r="H430" s="5">
        <v>1</v>
      </c>
      <c r="I430" s="19">
        <v>898.19354838709364</v>
      </c>
      <c r="J430" s="19">
        <v>13799.277651204002</v>
      </c>
      <c r="K430" s="5">
        <v>423</v>
      </c>
      <c r="L430" s="21" t="str">
        <f>IF(ISNA(_xlfn.XLOOKUP(D430,'Same Seller Hist'!E:E,'Same Seller Hist'!E:E)),"Não","Sim")</f>
        <v>Não</v>
      </c>
      <c r="M430" s="21" t="str">
        <f>_xlfn.IFNA(_xlfn.XLOOKUP(D430,'Same Seller Hist'!E:E,'Same Seller Hist'!M:M),"Não Match")</f>
        <v>Não Match</v>
      </c>
    </row>
    <row r="431" spans="3:13" hidden="1" x14ac:dyDescent="0.35">
      <c r="C431" s="18">
        <v>45992</v>
      </c>
      <c r="D431" s="5">
        <v>1509818453</v>
      </c>
      <c r="E431" s="5" t="s">
        <v>1662</v>
      </c>
      <c r="F431" s="5" t="s">
        <v>905</v>
      </c>
      <c r="G431" s="5">
        <v>0</v>
      </c>
      <c r="H431" s="5">
        <v>1</v>
      </c>
      <c r="I431" s="19">
        <v>896.22580645160974</v>
      </c>
      <c r="J431" s="19">
        <v>6554.2152929585482</v>
      </c>
      <c r="K431" s="5">
        <v>424</v>
      </c>
      <c r="L431" s="21" t="str">
        <f>IF(ISNA(_xlfn.XLOOKUP(D431,'Same Seller Hist'!E:E,'Same Seller Hist'!E:E)),"Não","Sim")</f>
        <v>Não</v>
      </c>
      <c r="M431" s="21" t="str">
        <f>_xlfn.IFNA(_xlfn.XLOOKUP(D431,'Same Seller Hist'!E:E,'Same Seller Hist'!M:M),"Não Match")</f>
        <v>Não Match</v>
      </c>
    </row>
    <row r="432" spans="3:13" hidden="1" x14ac:dyDescent="0.35">
      <c r="C432" s="18">
        <v>45992</v>
      </c>
      <c r="D432" s="5">
        <v>795769918</v>
      </c>
      <c r="E432" s="5" t="s">
        <v>1663</v>
      </c>
      <c r="F432" s="5" t="s">
        <v>906</v>
      </c>
      <c r="G432" s="5">
        <v>0</v>
      </c>
      <c r="H432" s="5">
        <v>0</v>
      </c>
      <c r="I432" s="19">
        <v>893.58064516129036</v>
      </c>
      <c r="J432" s="19">
        <v>4505.2713266571927</v>
      </c>
      <c r="K432" s="5">
        <v>425</v>
      </c>
      <c r="L432" s="21" t="str">
        <f>IF(ISNA(_xlfn.XLOOKUP(D432,'Same Seller Hist'!E:E,'Same Seller Hist'!E:E)),"Não","Sim")</f>
        <v>Não</v>
      </c>
      <c r="M432" s="21" t="str">
        <f>_xlfn.IFNA(_xlfn.XLOOKUP(D432,'Same Seller Hist'!E:E,'Same Seller Hist'!M:M),"Não Match")</f>
        <v>Não Match</v>
      </c>
    </row>
    <row r="433" spans="3:13" x14ac:dyDescent="0.35">
      <c r="C433" s="18">
        <v>45992</v>
      </c>
      <c r="D433" s="5">
        <v>373745451</v>
      </c>
      <c r="E433" s="5" t="s">
        <v>1664</v>
      </c>
      <c r="F433" s="5" t="s">
        <v>1734</v>
      </c>
      <c r="G433" s="5">
        <v>1</v>
      </c>
      <c r="H433" s="5">
        <v>1</v>
      </c>
      <c r="I433" s="19">
        <v>892.8387096774162</v>
      </c>
      <c r="J433" s="19">
        <v>7380.453322225484</v>
      </c>
      <c r="K433" s="5">
        <v>426</v>
      </c>
      <c r="L433" s="21" t="str">
        <f>IF(ISNA(_xlfn.XLOOKUP(D433,'Same Seller Hist'!E:E,'Same Seller Hist'!E:E)),"Não","Sim")</f>
        <v>Sim</v>
      </c>
      <c r="M433" s="21" t="str">
        <f>_xlfn.IFNA(_xlfn.XLOOKUP(D433,'Same Seller Hist'!E:E,'Same Seller Hist'!M:M),"Não Match")</f>
        <v>Ativo</v>
      </c>
    </row>
    <row r="434" spans="3:13" hidden="1" x14ac:dyDescent="0.35">
      <c r="C434" s="18">
        <v>45992</v>
      </c>
      <c r="D434" s="5">
        <v>807581166</v>
      </c>
      <c r="E434" s="5" t="s">
        <v>1665</v>
      </c>
      <c r="F434" s="5" t="s">
        <v>1734</v>
      </c>
      <c r="G434" s="5">
        <v>1</v>
      </c>
      <c r="H434" s="5">
        <v>1</v>
      </c>
      <c r="I434" s="19">
        <v>888.70967741935169</v>
      </c>
      <c r="J434" s="19">
        <v>3044.7806849824065</v>
      </c>
      <c r="K434" s="5">
        <v>427</v>
      </c>
      <c r="L434" s="21" t="str">
        <f>IF(ISNA(_xlfn.XLOOKUP(D434,'Same Seller Hist'!E:E,'Same Seller Hist'!E:E)),"Não","Sim")</f>
        <v>Não</v>
      </c>
      <c r="M434" s="21" t="str">
        <f>_xlfn.IFNA(_xlfn.XLOOKUP(D434,'Same Seller Hist'!E:E,'Same Seller Hist'!M:M),"Não Match")</f>
        <v>Não Match</v>
      </c>
    </row>
    <row r="435" spans="3:13" x14ac:dyDescent="0.35">
      <c r="C435" s="18">
        <v>45992</v>
      </c>
      <c r="D435" s="5">
        <v>660511511</v>
      </c>
      <c r="E435" s="5" t="s">
        <v>1666</v>
      </c>
      <c r="F435" s="5" t="s">
        <v>905</v>
      </c>
      <c r="G435" s="5">
        <v>0</v>
      </c>
      <c r="H435" s="5">
        <v>0</v>
      </c>
      <c r="I435" s="19">
        <v>882.74193548386779</v>
      </c>
      <c r="J435" s="19">
        <v>7099.6946179955812</v>
      </c>
      <c r="K435" s="5">
        <v>428</v>
      </c>
      <c r="L435" s="21" t="str">
        <f>IF(ISNA(_xlfn.XLOOKUP(D435,'Same Seller Hist'!E:E,'Same Seller Hist'!E:E)),"Não","Sim")</f>
        <v>Sim</v>
      </c>
      <c r="M435" s="21" t="str">
        <f>_xlfn.IFNA(_xlfn.XLOOKUP(D435,'Same Seller Hist'!E:E,'Same Seller Hist'!M:M),"Não Match")</f>
        <v>Ativo</v>
      </c>
    </row>
    <row r="436" spans="3:13" hidden="1" x14ac:dyDescent="0.35">
      <c r="C436" s="18">
        <v>45992</v>
      </c>
      <c r="D436" s="5">
        <v>1541994310</v>
      </c>
      <c r="E436" s="5" t="s">
        <v>1667</v>
      </c>
      <c r="F436" s="5" t="s">
        <v>1734</v>
      </c>
      <c r="G436" s="5">
        <v>1</v>
      </c>
      <c r="H436" s="5">
        <v>0</v>
      </c>
      <c r="I436" s="19">
        <v>882.03225806451292</v>
      </c>
      <c r="J436" s="19">
        <v>6031.3733996235487</v>
      </c>
      <c r="K436" s="5">
        <v>429</v>
      </c>
      <c r="L436" s="21" t="str">
        <f>IF(ISNA(_xlfn.XLOOKUP(D436,'Same Seller Hist'!E:E,'Same Seller Hist'!E:E)),"Não","Sim")</f>
        <v>Não</v>
      </c>
      <c r="M436" s="21" t="str">
        <f>_xlfn.IFNA(_xlfn.XLOOKUP(D436,'Same Seller Hist'!E:E,'Same Seller Hist'!M:M),"Não Match")</f>
        <v>Não Match</v>
      </c>
    </row>
    <row r="437" spans="3:13" hidden="1" x14ac:dyDescent="0.35">
      <c r="C437" s="18">
        <v>45992</v>
      </c>
      <c r="D437" s="5">
        <v>1197213308</v>
      </c>
      <c r="E437" s="5" t="s">
        <v>1668</v>
      </c>
      <c r="F437" s="5" t="s">
        <v>1734</v>
      </c>
      <c r="G437" s="5">
        <v>1</v>
      </c>
      <c r="H437" s="5">
        <v>1</v>
      </c>
      <c r="I437" s="19">
        <v>878.35483870967744</v>
      </c>
      <c r="J437" s="19">
        <v>3854.6752186869358</v>
      </c>
      <c r="K437" s="5">
        <v>430</v>
      </c>
      <c r="L437" s="21" t="str">
        <f>IF(ISNA(_xlfn.XLOOKUP(D437,'Same Seller Hist'!E:E,'Same Seller Hist'!E:E)),"Não","Sim")</f>
        <v>Não</v>
      </c>
      <c r="M437" s="21" t="str">
        <f>_xlfn.IFNA(_xlfn.XLOOKUP(D437,'Same Seller Hist'!E:E,'Same Seller Hist'!M:M),"Não Match")</f>
        <v>Não Match</v>
      </c>
    </row>
    <row r="438" spans="3:13" x14ac:dyDescent="0.35">
      <c r="C438" s="18">
        <v>45992</v>
      </c>
      <c r="D438" s="5">
        <v>406098813</v>
      </c>
      <c r="E438" s="5" t="s">
        <v>1669</v>
      </c>
      <c r="F438" s="5" t="s">
        <v>1734</v>
      </c>
      <c r="G438" s="5">
        <v>1</v>
      </c>
      <c r="H438" s="5">
        <v>1</v>
      </c>
      <c r="I438" s="19">
        <v>877.67741935483866</v>
      </c>
      <c r="J438" s="19">
        <v>8582.4831771782901</v>
      </c>
      <c r="K438" s="5">
        <v>431</v>
      </c>
      <c r="L438" s="21" t="str">
        <f>IF(ISNA(_xlfn.XLOOKUP(D438,'Same Seller Hist'!E:E,'Same Seller Hist'!E:E)),"Não","Sim")</f>
        <v>Sim</v>
      </c>
      <c r="M438" s="21" t="str">
        <f>_xlfn.IFNA(_xlfn.XLOOKUP(D438,'Same Seller Hist'!E:E,'Same Seller Hist'!M:M),"Não Match")</f>
        <v>Ativo</v>
      </c>
    </row>
    <row r="439" spans="3:13" hidden="1" x14ac:dyDescent="0.35">
      <c r="C439" s="18">
        <v>45992</v>
      </c>
      <c r="D439" s="5">
        <v>1454172785</v>
      </c>
      <c r="E439" s="5" t="s">
        <v>1670</v>
      </c>
      <c r="F439" s="5" t="s">
        <v>1734</v>
      </c>
      <c r="G439" s="5">
        <v>1</v>
      </c>
      <c r="H439" s="5">
        <v>1</v>
      </c>
      <c r="I439" s="19">
        <v>877.51612903225487</v>
      </c>
      <c r="J439" s="19">
        <v>8261.6910216123233</v>
      </c>
      <c r="K439" s="5">
        <v>432</v>
      </c>
      <c r="L439" s="21" t="str">
        <f>IF(ISNA(_xlfn.XLOOKUP(D439,'Same Seller Hist'!E:E,'Same Seller Hist'!E:E)),"Não","Sim")</f>
        <v>Não</v>
      </c>
      <c r="M439" s="21" t="str">
        <f>_xlfn.IFNA(_xlfn.XLOOKUP(D439,'Same Seller Hist'!E:E,'Same Seller Hist'!M:M),"Não Match")</f>
        <v>Não Match</v>
      </c>
    </row>
    <row r="440" spans="3:13" hidden="1" x14ac:dyDescent="0.35">
      <c r="C440" s="18">
        <v>45992</v>
      </c>
      <c r="D440" s="5">
        <v>346352973</v>
      </c>
      <c r="E440" s="5" t="s">
        <v>1671</v>
      </c>
      <c r="F440" s="5" t="s">
        <v>1734</v>
      </c>
      <c r="G440" s="5">
        <v>1</v>
      </c>
      <c r="H440" s="5">
        <v>1</v>
      </c>
      <c r="I440" s="19">
        <v>876.99999999999682</v>
      </c>
      <c r="J440" s="19">
        <v>3935.6910740240646</v>
      </c>
      <c r="K440" s="5">
        <v>433</v>
      </c>
      <c r="L440" s="21" t="str">
        <f>IF(ISNA(_xlfn.XLOOKUP(D440,'Same Seller Hist'!E:E,'Same Seller Hist'!E:E)),"Não","Sim")</f>
        <v>Não</v>
      </c>
      <c r="M440" s="21" t="str">
        <f>_xlfn.IFNA(_xlfn.XLOOKUP(D440,'Same Seller Hist'!E:E,'Same Seller Hist'!M:M),"Não Match")</f>
        <v>Não Match</v>
      </c>
    </row>
    <row r="441" spans="3:13" x14ac:dyDescent="0.35">
      <c r="C441" s="18">
        <v>45992</v>
      </c>
      <c r="D441" s="5">
        <v>427289175</v>
      </c>
      <c r="E441" s="5" t="s">
        <v>1672</v>
      </c>
      <c r="F441" s="5" t="s">
        <v>903</v>
      </c>
      <c r="G441" s="5">
        <v>0</v>
      </c>
      <c r="H441" s="5">
        <v>1</v>
      </c>
      <c r="I441" s="19">
        <v>874.8064516129001</v>
      </c>
      <c r="J441" s="19">
        <v>5802.9562135131609</v>
      </c>
      <c r="K441" s="5">
        <v>434</v>
      </c>
      <c r="L441" s="21" t="str">
        <f>IF(ISNA(_xlfn.XLOOKUP(D441,'Same Seller Hist'!E:E,'Same Seller Hist'!E:E)),"Não","Sim")</f>
        <v>Sim</v>
      </c>
      <c r="M441" s="21" t="str">
        <f>_xlfn.IFNA(_xlfn.XLOOKUP(D441,'Same Seller Hist'!E:E,'Same Seller Hist'!M:M),"Não Match")</f>
        <v>Ativo</v>
      </c>
    </row>
    <row r="442" spans="3:13" x14ac:dyDescent="0.35">
      <c r="C442" s="18">
        <v>45992</v>
      </c>
      <c r="D442" s="5">
        <v>508218945</v>
      </c>
      <c r="E442" s="5" t="s">
        <v>1673</v>
      </c>
      <c r="F442" s="5" t="s">
        <v>1734</v>
      </c>
      <c r="G442" s="5">
        <v>1</v>
      </c>
      <c r="H442" s="5">
        <v>1</v>
      </c>
      <c r="I442" s="19">
        <v>873.99999999999682</v>
      </c>
      <c r="J442" s="19">
        <v>6364.3530598000316</v>
      </c>
      <c r="K442" s="5">
        <v>435</v>
      </c>
      <c r="L442" s="21" t="str">
        <f>IF(ISNA(_xlfn.XLOOKUP(D442,'Same Seller Hist'!E:E,'Same Seller Hist'!E:E)),"Não","Sim")</f>
        <v>Sim</v>
      </c>
      <c r="M442" s="21" t="str">
        <f>_xlfn.IFNA(_xlfn.XLOOKUP(D442,'Same Seller Hist'!E:E,'Same Seller Hist'!M:M),"Não Match")</f>
        <v>Ativo</v>
      </c>
    </row>
    <row r="443" spans="3:13" hidden="1" x14ac:dyDescent="0.35">
      <c r="C443" s="18">
        <v>45992</v>
      </c>
      <c r="D443" s="5">
        <v>1412882242</v>
      </c>
      <c r="E443" s="5" t="s">
        <v>1674</v>
      </c>
      <c r="F443" s="5" t="s">
        <v>1734</v>
      </c>
      <c r="G443" s="5">
        <v>1</v>
      </c>
      <c r="H443" s="5">
        <v>1</v>
      </c>
      <c r="I443" s="19">
        <v>872.41935483870645</v>
      </c>
      <c r="J443" s="19">
        <v>7264.2673528039677</v>
      </c>
      <c r="K443" s="5">
        <v>436</v>
      </c>
      <c r="L443" s="21" t="str">
        <f>IF(ISNA(_xlfn.XLOOKUP(D443,'Same Seller Hist'!E:E,'Same Seller Hist'!E:E)),"Não","Sim")</f>
        <v>Não</v>
      </c>
      <c r="M443" s="21" t="str">
        <f>_xlfn.IFNA(_xlfn.XLOOKUP(D443,'Same Seller Hist'!E:E,'Same Seller Hist'!M:M),"Não Match")</f>
        <v>Não Match</v>
      </c>
    </row>
    <row r="444" spans="3:13" hidden="1" x14ac:dyDescent="0.35">
      <c r="C444" s="18">
        <v>45992</v>
      </c>
      <c r="D444" s="5">
        <v>1547995492</v>
      </c>
      <c r="E444" s="5" t="s">
        <v>1675</v>
      </c>
      <c r="F444" s="5" t="s">
        <v>1734</v>
      </c>
      <c r="G444" s="5">
        <v>1</v>
      </c>
      <c r="H444" s="5">
        <v>0</v>
      </c>
      <c r="I444" s="19">
        <v>871.09677419354841</v>
      </c>
      <c r="J444" s="19">
        <v>5082.3120343159671</v>
      </c>
      <c r="K444" s="5">
        <v>437</v>
      </c>
      <c r="L444" s="21" t="str">
        <f>IF(ISNA(_xlfn.XLOOKUP(D444,'Same Seller Hist'!E:E,'Same Seller Hist'!E:E)),"Não","Sim")</f>
        <v>Não</v>
      </c>
      <c r="M444" s="21" t="str">
        <f>_xlfn.IFNA(_xlfn.XLOOKUP(D444,'Same Seller Hist'!E:E,'Same Seller Hist'!M:M),"Não Match")</f>
        <v>Não Match</v>
      </c>
    </row>
    <row r="445" spans="3:13" x14ac:dyDescent="0.35">
      <c r="C445" s="18">
        <v>45992</v>
      </c>
      <c r="D445" s="5">
        <v>1197145594</v>
      </c>
      <c r="E445" s="5" t="s">
        <v>1676</v>
      </c>
      <c r="F445" s="5" t="s">
        <v>905</v>
      </c>
      <c r="G445" s="5">
        <v>0</v>
      </c>
      <c r="H445" s="5">
        <v>1</v>
      </c>
      <c r="I445" s="19">
        <v>870.67741935483559</v>
      </c>
      <c r="J445" s="19">
        <v>9973.5144597804192</v>
      </c>
      <c r="K445" s="5">
        <v>438</v>
      </c>
      <c r="L445" s="21" t="str">
        <f>IF(ISNA(_xlfn.XLOOKUP(D445,'Same Seller Hist'!E:E,'Same Seller Hist'!E:E)),"Não","Sim")</f>
        <v>Sim</v>
      </c>
      <c r="M445" s="21" t="str">
        <f>_xlfn.IFNA(_xlfn.XLOOKUP(D445,'Same Seller Hist'!E:E,'Same Seller Hist'!M:M),"Não Match")</f>
        <v>Ativo</v>
      </c>
    </row>
    <row r="446" spans="3:13" hidden="1" x14ac:dyDescent="0.35">
      <c r="C446" s="18">
        <v>45992</v>
      </c>
      <c r="D446" s="5">
        <v>561156118</v>
      </c>
      <c r="E446" s="5" t="s">
        <v>1677</v>
      </c>
      <c r="F446" s="5" t="s">
        <v>906</v>
      </c>
      <c r="G446" s="5">
        <v>0</v>
      </c>
      <c r="H446" s="5">
        <v>1</v>
      </c>
      <c r="I446" s="19">
        <v>870.32258064515815</v>
      </c>
      <c r="J446" s="19">
        <v>5911.2348465039358</v>
      </c>
      <c r="K446" s="5">
        <v>439</v>
      </c>
      <c r="L446" s="21" t="str">
        <f>IF(ISNA(_xlfn.XLOOKUP(D446,'Same Seller Hist'!E:E,'Same Seller Hist'!E:E)),"Não","Sim")</f>
        <v>Não</v>
      </c>
      <c r="M446" s="21" t="str">
        <f>_xlfn.IFNA(_xlfn.XLOOKUP(D446,'Same Seller Hist'!E:E,'Same Seller Hist'!M:M),"Não Match")</f>
        <v>Não Match</v>
      </c>
    </row>
    <row r="447" spans="3:13" hidden="1" x14ac:dyDescent="0.35">
      <c r="C447" s="18">
        <v>45992</v>
      </c>
      <c r="D447" s="5">
        <v>451332066</v>
      </c>
      <c r="E447" s="5" t="s">
        <v>1678</v>
      </c>
      <c r="F447" s="5" t="s">
        <v>906</v>
      </c>
      <c r="G447" s="5">
        <v>0</v>
      </c>
      <c r="H447" s="5">
        <v>0</v>
      </c>
      <c r="I447" s="19">
        <v>869.58064516128718</v>
      </c>
      <c r="J447" s="19">
        <v>6049.0826640222576</v>
      </c>
      <c r="K447" s="5">
        <v>440</v>
      </c>
      <c r="L447" s="21" t="str">
        <f>IF(ISNA(_xlfn.XLOOKUP(D447,'Same Seller Hist'!E:E,'Same Seller Hist'!E:E)),"Não","Sim")</f>
        <v>Não</v>
      </c>
      <c r="M447" s="21" t="str">
        <f>_xlfn.IFNA(_xlfn.XLOOKUP(D447,'Same Seller Hist'!E:E,'Same Seller Hist'!M:M),"Não Match")</f>
        <v>Não Match</v>
      </c>
    </row>
    <row r="448" spans="3:13" x14ac:dyDescent="0.35">
      <c r="C448" s="18">
        <v>45992</v>
      </c>
      <c r="D448" s="5">
        <v>739972532</v>
      </c>
      <c r="E448" s="5" t="s">
        <v>691</v>
      </c>
      <c r="F448" s="5" t="s">
        <v>903</v>
      </c>
      <c r="G448" s="5">
        <v>0</v>
      </c>
      <c r="H448" s="5">
        <v>1</v>
      </c>
      <c r="I448" s="19">
        <v>869.12903225806451</v>
      </c>
      <c r="J448" s="19">
        <v>4704.2194050862909</v>
      </c>
      <c r="K448" s="5">
        <v>441</v>
      </c>
      <c r="L448" s="21" t="str">
        <f>IF(ISNA(_xlfn.XLOOKUP(D448,'Same Seller Hist'!E:E,'Same Seller Hist'!E:E)),"Não","Sim")</f>
        <v>Sim</v>
      </c>
      <c r="M448" s="21" t="str">
        <f>_xlfn.IFNA(_xlfn.XLOOKUP(D448,'Same Seller Hist'!E:E,'Same Seller Hist'!M:M),"Não Match")</f>
        <v>Ativo</v>
      </c>
    </row>
    <row r="449" spans="3:13" x14ac:dyDescent="0.35">
      <c r="C449" s="18">
        <v>45992</v>
      </c>
      <c r="D449" s="5">
        <v>821115255</v>
      </c>
      <c r="E449" s="5" t="s">
        <v>1679</v>
      </c>
      <c r="F449" s="5" t="s">
        <v>906</v>
      </c>
      <c r="G449" s="5">
        <v>0</v>
      </c>
      <c r="H449" s="5">
        <v>0</v>
      </c>
      <c r="I449" s="19">
        <v>867.12903225806451</v>
      </c>
      <c r="J449" s="19">
        <v>4182.7564152970326</v>
      </c>
      <c r="K449" s="5">
        <v>442</v>
      </c>
      <c r="L449" s="21" t="str">
        <f>IF(ISNA(_xlfn.XLOOKUP(D449,'Same Seller Hist'!E:E,'Same Seller Hist'!E:E)),"Não","Sim")</f>
        <v>Sim</v>
      </c>
      <c r="M449" s="21" t="str">
        <f>_xlfn.IFNA(_xlfn.XLOOKUP(D449,'Same Seller Hist'!E:E,'Same Seller Hist'!M:M),"Não Match")</f>
        <v>Ativo</v>
      </c>
    </row>
    <row r="450" spans="3:13" hidden="1" x14ac:dyDescent="0.35">
      <c r="C450" s="18">
        <v>45992</v>
      </c>
      <c r="D450" s="5">
        <v>378488048</v>
      </c>
      <c r="E450" s="5" t="s">
        <v>1680</v>
      </c>
      <c r="F450" s="5" t="s">
        <v>1734</v>
      </c>
      <c r="G450" s="5">
        <v>1</v>
      </c>
      <c r="H450" s="5">
        <v>1</v>
      </c>
      <c r="I450" s="19">
        <v>867.03225806451292</v>
      </c>
      <c r="J450" s="19">
        <v>5498.5095417966768</v>
      </c>
      <c r="K450" s="5">
        <v>443</v>
      </c>
      <c r="L450" s="21" t="str">
        <f>IF(ISNA(_xlfn.XLOOKUP(D450,'Same Seller Hist'!E:E,'Same Seller Hist'!E:E)),"Não","Sim")</f>
        <v>Não</v>
      </c>
      <c r="M450" s="21" t="str">
        <f>_xlfn.IFNA(_xlfn.XLOOKUP(D450,'Same Seller Hist'!E:E,'Same Seller Hist'!M:M),"Não Match")</f>
        <v>Não Match</v>
      </c>
    </row>
    <row r="451" spans="3:13" x14ac:dyDescent="0.35">
      <c r="C451" s="18">
        <v>45992</v>
      </c>
      <c r="D451" s="5">
        <v>1315716433</v>
      </c>
      <c r="E451" s="5" t="s">
        <v>203</v>
      </c>
      <c r="F451" s="5" t="s">
        <v>1734</v>
      </c>
      <c r="G451" s="5">
        <v>1</v>
      </c>
      <c r="H451" s="5">
        <v>0</v>
      </c>
      <c r="I451" s="19">
        <v>865.38709677419354</v>
      </c>
      <c r="J451" s="19">
        <v>9042.1236175083541</v>
      </c>
      <c r="K451" s="5">
        <v>444</v>
      </c>
      <c r="L451" s="21" t="str">
        <f>IF(ISNA(_xlfn.XLOOKUP(D451,'Same Seller Hist'!E:E,'Same Seller Hist'!E:E)),"Não","Sim")</f>
        <v>Sim</v>
      </c>
      <c r="M451" s="21" t="str">
        <f>_xlfn.IFNA(_xlfn.XLOOKUP(D451,'Same Seller Hist'!E:E,'Same Seller Hist'!M:M),"Não Match")</f>
        <v>Ativo</v>
      </c>
    </row>
    <row r="452" spans="3:13" hidden="1" x14ac:dyDescent="0.35">
      <c r="C452" s="18">
        <v>45992</v>
      </c>
      <c r="D452" s="5">
        <v>1258087913</v>
      </c>
      <c r="E452" s="5" t="s">
        <v>1681</v>
      </c>
      <c r="F452" s="5" t="s">
        <v>1734</v>
      </c>
      <c r="G452" s="5">
        <v>1</v>
      </c>
      <c r="H452" s="5">
        <v>1</v>
      </c>
      <c r="I452" s="19">
        <v>864.74193548386779</v>
      </c>
      <c r="J452" s="19">
        <v>8298.448869070322</v>
      </c>
      <c r="K452" s="5">
        <v>445</v>
      </c>
      <c r="L452" s="21" t="str">
        <f>IF(ISNA(_xlfn.XLOOKUP(D452,'Same Seller Hist'!E:E,'Same Seller Hist'!E:E)),"Não","Sim")</f>
        <v>Não</v>
      </c>
      <c r="M452" s="21" t="str">
        <f>_xlfn.IFNA(_xlfn.XLOOKUP(D452,'Same Seller Hist'!E:E,'Same Seller Hist'!M:M),"Não Match")</f>
        <v>Não Match</v>
      </c>
    </row>
    <row r="453" spans="3:13" hidden="1" x14ac:dyDescent="0.35">
      <c r="C453" s="18">
        <v>45992</v>
      </c>
      <c r="D453" s="5">
        <v>1209316571</v>
      </c>
      <c r="E453" s="5" t="s">
        <v>1682</v>
      </c>
      <c r="F453" s="5" t="s">
        <v>906</v>
      </c>
      <c r="G453" s="5">
        <v>0</v>
      </c>
      <c r="H453" s="5">
        <v>0</v>
      </c>
      <c r="I453" s="19">
        <v>864.38709677419035</v>
      </c>
      <c r="J453" s="19">
        <v>5844.539078629613</v>
      </c>
      <c r="K453" s="5">
        <v>446</v>
      </c>
      <c r="L453" s="21" t="str">
        <f>IF(ISNA(_xlfn.XLOOKUP(D453,'Same Seller Hist'!E:E,'Same Seller Hist'!E:E)),"Não","Sim")</f>
        <v>Não</v>
      </c>
      <c r="M453" s="21" t="str">
        <f>_xlfn.IFNA(_xlfn.XLOOKUP(D453,'Same Seller Hist'!E:E,'Same Seller Hist'!M:M),"Não Match")</f>
        <v>Não Match</v>
      </c>
    </row>
    <row r="454" spans="3:13" hidden="1" x14ac:dyDescent="0.35">
      <c r="C454" s="18">
        <v>45992</v>
      </c>
      <c r="D454" s="5">
        <v>1585429562</v>
      </c>
      <c r="E454" s="5" t="s">
        <v>1683</v>
      </c>
      <c r="F454" s="5" t="s">
        <v>1734</v>
      </c>
      <c r="G454" s="5">
        <v>1</v>
      </c>
      <c r="H454" s="5">
        <v>1</v>
      </c>
      <c r="I454" s="19">
        <v>861.8064516129001</v>
      </c>
      <c r="J454" s="19">
        <v>7271.4039589086451</v>
      </c>
      <c r="K454" s="5">
        <v>447</v>
      </c>
      <c r="L454" s="21" t="str">
        <f>IF(ISNA(_xlfn.XLOOKUP(D454,'Same Seller Hist'!E:E,'Same Seller Hist'!E:E)),"Não","Sim")</f>
        <v>Não</v>
      </c>
      <c r="M454" s="21" t="str">
        <f>_xlfn.IFNA(_xlfn.XLOOKUP(D454,'Same Seller Hist'!E:E,'Same Seller Hist'!M:M),"Não Match")</f>
        <v>Não Match</v>
      </c>
    </row>
    <row r="455" spans="3:13" x14ac:dyDescent="0.35">
      <c r="C455" s="18">
        <v>45992</v>
      </c>
      <c r="D455" s="5">
        <v>293435711</v>
      </c>
      <c r="E455" s="5" t="s">
        <v>1684</v>
      </c>
      <c r="F455" s="5" t="s">
        <v>1734</v>
      </c>
      <c r="G455" s="5">
        <v>1</v>
      </c>
      <c r="H455" s="5">
        <v>0</v>
      </c>
      <c r="I455" s="19">
        <v>860.41935483870964</v>
      </c>
      <c r="J455" s="19">
        <v>3502.6126926498387</v>
      </c>
      <c r="K455" s="5">
        <v>448</v>
      </c>
      <c r="L455" s="21" t="str">
        <f>IF(ISNA(_xlfn.XLOOKUP(D455,'Same Seller Hist'!E:E,'Same Seller Hist'!E:E)),"Não","Sim")</f>
        <v>Sim</v>
      </c>
      <c r="M455" s="21" t="str">
        <f>_xlfn.IFNA(_xlfn.XLOOKUP(D455,'Same Seller Hist'!E:E,'Same Seller Hist'!M:M),"Não Match")</f>
        <v>Ativo</v>
      </c>
    </row>
    <row r="456" spans="3:13" hidden="1" x14ac:dyDescent="0.35">
      <c r="C456" s="18">
        <v>45992</v>
      </c>
      <c r="D456" s="5">
        <v>791283306</v>
      </c>
      <c r="E456" s="5" t="s">
        <v>1685</v>
      </c>
      <c r="F456" s="5" t="s">
        <v>1734</v>
      </c>
      <c r="G456" s="5">
        <v>1</v>
      </c>
      <c r="H456" s="5">
        <v>1</v>
      </c>
      <c r="I456" s="19">
        <v>859.19354838709683</v>
      </c>
      <c r="J456" s="19">
        <v>8561.5780209306449</v>
      </c>
      <c r="K456" s="5">
        <v>449</v>
      </c>
      <c r="L456" s="21" t="str">
        <f>IF(ISNA(_xlfn.XLOOKUP(D456,'Same Seller Hist'!E:E,'Same Seller Hist'!E:E)),"Não","Sim")</f>
        <v>Não</v>
      </c>
      <c r="M456" s="21" t="str">
        <f>_xlfn.IFNA(_xlfn.XLOOKUP(D456,'Same Seller Hist'!E:E,'Same Seller Hist'!M:M),"Não Match")</f>
        <v>Não Match</v>
      </c>
    </row>
    <row r="457" spans="3:13" hidden="1" x14ac:dyDescent="0.35">
      <c r="C457" s="18">
        <v>45992</v>
      </c>
      <c r="D457" s="5">
        <v>504754787</v>
      </c>
      <c r="E457" s="5" t="s">
        <v>1686</v>
      </c>
      <c r="F457" s="5" t="s">
        <v>905</v>
      </c>
      <c r="G457" s="5">
        <v>0</v>
      </c>
      <c r="H457" s="5">
        <v>1</v>
      </c>
      <c r="I457" s="19">
        <v>859.19354838709683</v>
      </c>
      <c r="J457" s="19">
        <v>31330.929500648872</v>
      </c>
      <c r="K457" s="5">
        <v>450</v>
      </c>
      <c r="L457" s="21" t="str">
        <f>IF(ISNA(_xlfn.XLOOKUP(D457,'Same Seller Hist'!E:E,'Same Seller Hist'!E:E)),"Não","Sim")</f>
        <v>Não</v>
      </c>
      <c r="M457" s="21" t="str">
        <f>_xlfn.IFNA(_xlfn.XLOOKUP(D457,'Same Seller Hist'!E:E,'Same Seller Hist'!M:M),"Não Match")</f>
        <v>Não Match</v>
      </c>
    </row>
    <row r="458" spans="3:13" hidden="1" x14ac:dyDescent="0.35">
      <c r="C458" s="18">
        <v>45992</v>
      </c>
      <c r="D458" s="5">
        <v>1169146045</v>
      </c>
      <c r="E458" s="5" t="s">
        <v>1687</v>
      </c>
      <c r="F458" s="5" t="s">
        <v>903</v>
      </c>
      <c r="G458" s="5">
        <v>0</v>
      </c>
      <c r="H458" s="5">
        <v>1</v>
      </c>
      <c r="I458" s="19">
        <v>857.8709677419323</v>
      </c>
      <c r="J458" s="19">
        <v>4947.6624584510964</v>
      </c>
      <c r="K458" s="5">
        <v>451</v>
      </c>
      <c r="L458" s="21" t="str">
        <f>IF(ISNA(_xlfn.XLOOKUP(D458,'Same Seller Hist'!E:E,'Same Seller Hist'!E:E)),"Não","Sim")</f>
        <v>Não</v>
      </c>
      <c r="M458" s="21" t="str">
        <f>_xlfn.IFNA(_xlfn.XLOOKUP(D458,'Same Seller Hist'!E:E,'Same Seller Hist'!M:M),"Não Match")</f>
        <v>Não Match</v>
      </c>
    </row>
    <row r="459" spans="3:13" x14ac:dyDescent="0.35">
      <c r="C459" s="18">
        <v>45992</v>
      </c>
      <c r="D459" s="5">
        <v>419809235</v>
      </c>
      <c r="E459" s="5" t="s">
        <v>557</v>
      </c>
      <c r="F459" s="5" t="s">
        <v>906</v>
      </c>
      <c r="G459" s="5">
        <v>0</v>
      </c>
      <c r="H459" s="5">
        <v>1</v>
      </c>
      <c r="I459" s="19">
        <v>855.51612903225805</v>
      </c>
      <c r="J459" s="19">
        <v>3433.4911004828709</v>
      </c>
      <c r="K459" s="5">
        <v>452</v>
      </c>
      <c r="L459" s="21" t="str">
        <f>IF(ISNA(_xlfn.XLOOKUP(D459,'Same Seller Hist'!E:E,'Same Seller Hist'!E:E)),"Não","Sim")</f>
        <v>Sim</v>
      </c>
      <c r="M459" s="21" t="str">
        <f>_xlfn.IFNA(_xlfn.XLOOKUP(D459,'Same Seller Hist'!E:E,'Same Seller Hist'!M:M),"Não Match")</f>
        <v>Ativo</v>
      </c>
    </row>
    <row r="460" spans="3:13" hidden="1" x14ac:dyDescent="0.35">
      <c r="C460" s="18">
        <v>45992</v>
      </c>
      <c r="D460" s="5">
        <v>1502978038</v>
      </c>
      <c r="E460" s="5" t="s">
        <v>1688</v>
      </c>
      <c r="F460" s="5" t="s">
        <v>1734</v>
      </c>
      <c r="G460" s="5">
        <v>1</v>
      </c>
      <c r="H460" s="5">
        <v>0</v>
      </c>
      <c r="I460" s="19">
        <v>854.25806451612584</v>
      </c>
      <c r="J460" s="19">
        <v>3401.7752946349033</v>
      </c>
      <c r="K460" s="5">
        <v>453</v>
      </c>
      <c r="L460" s="21" t="str">
        <f>IF(ISNA(_xlfn.XLOOKUP(D460,'Same Seller Hist'!E:E,'Same Seller Hist'!E:E)),"Não","Sim")</f>
        <v>Não</v>
      </c>
      <c r="M460" s="21" t="str">
        <f>_xlfn.IFNA(_xlfn.XLOOKUP(D460,'Same Seller Hist'!E:E,'Same Seller Hist'!M:M),"Não Match")</f>
        <v>Não Match</v>
      </c>
    </row>
    <row r="461" spans="3:13" hidden="1" x14ac:dyDescent="0.35">
      <c r="C461" s="18">
        <v>45992</v>
      </c>
      <c r="D461" s="5">
        <v>433547294</v>
      </c>
      <c r="E461" s="5" t="s">
        <v>1689</v>
      </c>
      <c r="F461" s="5" t="s">
        <v>1734</v>
      </c>
      <c r="G461" s="5">
        <v>1</v>
      </c>
      <c r="H461" s="5">
        <v>1</v>
      </c>
      <c r="I461" s="19">
        <v>853.90322580645159</v>
      </c>
      <c r="J461" s="19">
        <v>7210.7714262219997</v>
      </c>
      <c r="K461" s="5">
        <v>454</v>
      </c>
      <c r="L461" s="21" t="str">
        <f>IF(ISNA(_xlfn.XLOOKUP(D461,'Same Seller Hist'!E:E,'Same Seller Hist'!E:E)),"Não","Sim")</f>
        <v>Não</v>
      </c>
      <c r="M461" s="21" t="str">
        <f>_xlfn.IFNA(_xlfn.XLOOKUP(D461,'Same Seller Hist'!E:E,'Same Seller Hist'!M:M),"Não Match")</f>
        <v>Não Match</v>
      </c>
    </row>
    <row r="462" spans="3:13" hidden="1" x14ac:dyDescent="0.35">
      <c r="C462" s="18">
        <v>45992</v>
      </c>
      <c r="D462" s="5">
        <v>1446748153</v>
      </c>
      <c r="E462" s="5" t="s">
        <v>1690</v>
      </c>
      <c r="F462" s="5" t="s">
        <v>1734</v>
      </c>
      <c r="G462" s="5">
        <v>1</v>
      </c>
      <c r="H462" s="5">
        <v>0</v>
      </c>
      <c r="I462" s="19">
        <v>851.19354838709364</v>
      </c>
      <c r="J462" s="19">
        <v>4434.5507341685488</v>
      </c>
      <c r="K462" s="5">
        <v>455</v>
      </c>
      <c r="L462" s="21" t="str">
        <f>IF(ISNA(_xlfn.XLOOKUP(D462,'Same Seller Hist'!E:E,'Same Seller Hist'!E:E)),"Não","Sim")</f>
        <v>Não</v>
      </c>
      <c r="M462" s="21" t="str">
        <f>_xlfn.IFNA(_xlfn.XLOOKUP(D462,'Same Seller Hist'!E:E,'Same Seller Hist'!M:M),"Não Match")</f>
        <v>Não Match</v>
      </c>
    </row>
    <row r="463" spans="3:13" x14ac:dyDescent="0.35">
      <c r="C463" s="18">
        <v>45992</v>
      </c>
      <c r="D463" s="5">
        <v>1082769865</v>
      </c>
      <c r="E463" s="5" t="s">
        <v>105</v>
      </c>
      <c r="F463" s="5" t="s">
        <v>906</v>
      </c>
      <c r="G463" s="5">
        <v>0</v>
      </c>
      <c r="H463" s="5">
        <v>0</v>
      </c>
      <c r="I463" s="19">
        <v>848.80645161290317</v>
      </c>
      <c r="J463" s="19">
        <v>1867.9941158927743</v>
      </c>
      <c r="K463" s="5">
        <v>456</v>
      </c>
      <c r="L463" s="21" t="str">
        <f>IF(ISNA(_xlfn.XLOOKUP(D463,'Same Seller Hist'!E:E,'Same Seller Hist'!E:E)),"Não","Sim")</f>
        <v>Sim</v>
      </c>
      <c r="M463" s="21" t="str">
        <f>_xlfn.IFNA(_xlfn.XLOOKUP(D463,'Same Seller Hist'!E:E,'Same Seller Hist'!M:M),"Não Match")</f>
        <v>Ativo</v>
      </c>
    </row>
    <row r="464" spans="3:13" hidden="1" x14ac:dyDescent="0.35">
      <c r="C464" s="18">
        <v>45992</v>
      </c>
      <c r="D464" s="5">
        <v>1101963744</v>
      </c>
      <c r="E464" s="5" t="s">
        <v>1691</v>
      </c>
      <c r="F464" s="5" t="s">
        <v>903</v>
      </c>
      <c r="G464" s="5">
        <v>0</v>
      </c>
      <c r="H464" s="5">
        <v>0</v>
      </c>
      <c r="I464" s="19">
        <v>847.93548387096769</v>
      </c>
      <c r="J464" s="19">
        <v>4620.5910679742583</v>
      </c>
      <c r="K464" s="5">
        <v>457</v>
      </c>
      <c r="L464" s="21" t="str">
        <f>IF(ISNA(_xlfn.XLOOKUP(D464,'Same Seller Hist'!E:E,'Same Seller Hist'!E:E)),"Não","Sim")</f>
        <v>Não</v>
      </c>
      <c r="M464" s="21" t="str">
        <f>_xlfn.IFNA(_xlfn.XLOOKUP(D464,'Same Seller Hist'!E:E,'Same Seller Hist'!M:M),"Não Match")</f>
        <v>Não Match</v>
      </c>
    </row>
    <row r="465" spans="3:13" x14ac:dyDescent="0.35">
      <c r="C465" s="18">
        <v>45992</v>
      </c>
      <c r="D465" s="5">
        <v>379659209</v>
      </c>
      <c r="E465" s="5" t="s">
        <v>496</v>
      </c>
      <c r="F465" s="5" t="s">
        <v>1734</v>
      </c>
      <c r="G465" s="5">
        <v>1</v>
      </c>
      <c r="H465" s="5">
        <v>1</v>
      </c>
      <c r="I465" s="19">
        <v>847.45161290322585</v>
      </c>
      <c r="J465" s="19">
        <v>8976.2438886699019</v>
      </c>
      <c r="K465" s="5">
        <v>458</v>
      </c>
      <c r="L465" s="21" t="str">
        <f>IF(ISNA(_xlfn.XLOOKUP(D465,'Same Seller Hist'!E:E,'Same Seller Hist'!E:E)),"Não","Sim")</f>
        <v>Sim</v>
      </c>
      <c r="M465" s="21" t="str">
        <f>_xlfn.IFNA(_xlfn.XLOOKUP(D465,'Same Seller Hist'!E:E,'Same Seller Hist'!M:M),"Não Match")</f>
        <v>Ativo</v>
      </c>
    </row>
    <row r="466" spans="3:13" x14ac:dyDescent="0.35">
      <c r="C466" s="18">
        <v>45992</v>
      </c>
      <c r="D466" s="5">
        <v>357239640</v>
      </c>
      <c r="E466" s="5" t="s">
        <v>1692</v>
      </c>
      <c r="F466" s="5" t="s">
        <v>905</v>
      </c>
      <c r="G466" s="5">
        <v>0</v>
      </c>
      <c r="H466" s="5">
        <v>1</v>
      </c>
      <c r="I466" s="19">
        <v>847.32258064515815</v>
      </c>
      <c r="J466" s="19">
        <v>44762.956080963551</v>
      </c>
      <c r="K466" s="5">
        <v>459</v>
      </c>
      <c r="L466" s="21" t="str">
        <f>IF(ISNA(_xlfn.XLOOKUP(D466,'Same Seller Hist'!E:E,'Same Seller Hist'!E:E)),"Não","Sim")</f>
        <v>Sim</v>
      </c>
      <c r="M466" s="21" t="str">
        <f>_xlfn.IFNA(_xlfn.XLOOKUP(D466,'Same Seller Hist'!E:E,'Same Seller Hist'!M:M),"Não Match")</f>
        <v>Ativo</v>
      </c>
    </row>
    <row r="467" spans="3:13" hidden="1" x14ac:dyDescent="0.35">
      <c r="C467" s="18">
        <v>45992</v>
      </c>
      <c r="D467" s="5">
        <v>1506941149</v>
      </c>
      <c r="E467" s="5" t="s">
        <v>1693</v>
      </c>
      <c r="F467" s="5" t="s">
        <v>905</v>
      </c>
      <c r="G467" s="5">
        <v>0</v>
      </c>
      <c r="H467" s="5">
        <v>0</v>
      </c>
      <c r="I467" s="19">
        <v>845.70967741935488</v>
      </c>
      <c r="J467" s="19">
        <v>5736.1422332480006</v>
      </c>
      <c r="K467" s="5">
        <v>460</v>
      </c>
      <c r="L467" s="21" t="str">
        <f>IF(ISNA(_xlfn.XLOOKUP(D467,'Same Seller Hist'!E:E,'Same Seller Hist'!E:E)),"Não","Sim")</f>
        <v>Não</v>
      </c>
      <c r="M467" s="21" t="str">
        <f>_xlfn.IFNA(_xlfn.XLOOKUP(D467,'Same Seller Hist'!E:E,'Same Seller Hist'!M:M),"Não Match")</f>
        <v>Não Match</v>
      </c>
    </row>
    <row r="468" spans="3:13" hidden="1" x14ac:dyDescent="0.35">
      <c r="C468" s="18">
        <v>45992</v>
      </c>
      <c r="D468" s="5">
        <v>322050038</v>
      </c>
      <c r="E468" s="5" t="s">
        <v>1694</v>
      </c>
      <c r="F468" s="5" t="s">
        <v>905</v>
      </c>
      <c r="G468" s="5">
        <v>0</v>
      </c>
      <c r="H468" s="5">
        <v>0</v>
      </c>
      <c r="I468" s="19">
        <v>845.06451612902913</v>
      </c>
      <c r="J468" s="19">
        <v>4739.2623293797415</v>
      </c>
      <c r="K468" s="5">
        <v>461</v>
      </c>
      <c r="L468" s="21" t="str">
        <f>IF(ISNA(_xlfn.XLOOKUP(D468,'Same Seller Hist'!E:E,'Same Seller Hist'!E:E)),"Não","Sim")</f>
        <v>Não</v>
      </c>
      <c r="M468" s="21" t="str">
        <f>_xlfn.IFNA(_xlfn.XLOOKUP(D468,'Same Seller Hist'!E:E,'Same Seller Hist'!M:M),"Não Match")</f>
        <v>Não Match</v>
      </c>
    </row>
    <row r="469" spans="3:13" hidden="1" x14ac:dyDescent="0.35">
      <c r="C469" s="18">
        <v>45992</v>
      </c>
      <c r="D469" s="5">
        <v>496965331</v>
      </c>
      <c r="E469" s="5" t="s">
        <v>1695</v>
      </c>
      <c r="F469" s="5" t="s">
        <v>903</v>
      </c>
      <c r="G469" s="5">
        <v>0</v>
      </c>
      <c r="H469" s="5">
        <v>1</v>
      </c>
      <c r="I469" s="19">
        <v>844.22580645160974</v>
      </c>
      <c r="J469" s="19">
        <v>4532.8716904467738</v>
      </c>
      <c r="K469" s="5">
        <v>462</v>
      </c>
      <c r="L469" s="21" t="str">
        <f>IF(ISNA(_xlfn.XLOOKUP(D469,'Same Seller Hist'!E:E,'Same Seller Hist'!E:E)),"Não","Sim")</f>
        <v>Não</v>
      </c>
      <c r="M469" s="21" t="str">
        <f>_xlfn.IFNA(_xlfn.XLOOKUP(D469,'Same Seller Hist'!E:E,'Same Seller Hist'!M:M),"Não Match")</f>
        <v>Não Match</v>
      </c>
    </row>
    <row r="470" spans="3:13" hidden="1" x14ac:dyDescent="0.35">
      <c r="C470" s="18">
        <v>45992</v>
      </c>
      <c r="D470" s="5">
        <v>415213039</v>
      </c>
      <c r="E470" s="5" t="s">
        <v>1696</v>
      </c>
      <c r="F470" s="5" t="s">
        <v>1734</v>
      </c>
      <c r="G470" s="5">
        <v>1</v>
      </c>
      <c r="H470" s="5">
        <v>0</v>
      </c>
      <c r="I470" s="19">
        <v>844.06451612902913</v>
      </c>
      <c r="J470" s="19">
        <v>4388.2061149317415</v>
      </c>
      <c r="K470" s="5">
        <v>463</v>
      </c>
      <c r="L470" s="21" t="str">
        <f>IF(ISNA(_xlfn.XLOOKUP(D470,'Same Seller Hist'!E:E,'Same Seller Hist'!E:E)),"Não","Sim")</f>
        <v>Não</v>
      </c>
      <c r="M470" s="21" t="str">
        <f>_xlfn.IFNA(_xlfn.XLOOKUP(D470,'Same Seller Hist'!E:E,'Same Seller Hist'!M:M),"Não Match")</f>
        <v>Não Match</v>
      </c>
    </row>
    <row r="471" spans="3:13" hidden="1" x14ac:dyDescent="0.35">
      <c r="C471" s="18">
        <v>45992</v>
      </c>
      <c r="D471" s="5">
        <v>225052991</v>
      </c>
      <c r="E471" s="5" t="s">
        <v>1697</v>
      </c>
      <c r="F471" s="5" t="s">
        <v>903</v>
      </c>
      <c r="G471" s="5">
        <v>0</v>
      </c>
      <c r="H471" s="5">
        <v>0</v>
      </c>
      <c r="I471" s="19">
        <v>843.58064516128718</v>
      </c>
      <c r="J471" s="19">
        <v>8354.5923434926772</v>
      </c>
      <c r="K471" s="5">
        <v>464</v>
      </c>
      <c r="L471" s="21" t="str">
        <f>IF(ISNA(_xlfn.XLOOKUP(D471,'Same Seller Hist'!E:E,'Same Seller Hist'!E:E)),"Não","Sim")</f>
        <v>Não</v>
      </c>
      <c r="M471" s="21" t="str">
        <f>_xlfn.IFNA(_xlfn.XLOOKUP(D471,'Same Seller Hist'!E:E,'Same Seller Hist'!M:M),"Não Match")</f>
        <v>Não Match</v>
      </c>
    </row>
    <row r="472" spans="3:13" hidden="1" x14ac:dyDescent="0.35">
      <c r="C472" s="18">
        <v>45992</v>
      </c>
      <c r="D472" s="5">
        <v>1414741692</v>
      </c>
      <c r="E472" s="5" t="s">
        <v>1698</v>
      </c>
      <c r="F472" s="5" t="s">
        <v>1734</v>
      </c>
      <c r="G472" s="5">
        <v>1</v>
      </c>
      <c r="H472" s="5">
        <v>1</v>
      </c>
      <c r="I472" s="19">
        <v>842.99999999999682</v>
      </c>
      <c r="J472" s="19">
        <v>2823.582889812913</v>
      </c>
      <c r="K472" s="5">
        <v>465</v>
      </c>
      <c r="L472" s="21" t="str">
        <f>IF(ISNA(_xlfn.XLOOKUP(D472,'Same Seller Hist'!E:E,'Same Seller Hist'!E:E)),"Não","Sim")</f>
        <v>Não</v>
      </c>
      <c r="M472" s="21" t="str">
        <f>_xlfn.IFNA(_xlfn.XLOOKUP(D472,'Same Seller Hist'!E:E,'Same Seller Hist'!M:M),"Não Match")</f>
        <v>Não Match</v>
      </c>
    </row>
    <row r="473" spans="3:13" hidden="1" x14ac:dyDescent="0.35">
      <c r="C473" s="18">
        <v>45992</v>
      </c>
      <c r="D473" s="5">
        <v>409229810</v>
      </c>
      <c r="E473" s="5" t="s">
        <v>1699</v>
      </c>
      <c r="F473" s="5" t="s">
        <v>1734</v>
      </c>
      <c r="G473" s="5">
        <v>1</v>
      </c>
      <c r="H473" s="5">
        <v>0</v>
      </c>
      <c r="I473" s="19">
        <v>841.06451612903231</v>
      </c>
      <c r="J473" s="19">
        <v>3124.5042174216678</v>
      </c>
      <c r="K473" s="5">
        <v>466</v>
      </c>
      <c r="L473" s="21" t="str">
        <f>IF(ISNA(_xlfn.XLOOKUP(D473,'Same Seller Hist'!E:E,'Same Seller Hist'!E:E)),"Não","Sim")</f>
        <v>Não</v>
      </c>
      <c r="M473" s="21" t="str">
        <f>_xlfn.IFNA(_xlfn.XLOOKUP(D473,'Same Seller Hist'!E:E,'Same Seller Hist'!M:M),"Não Match")</f>
        <v>Não Match</v>
      </c>
    </row>
    <row r="474" spans="3:13" hidden="1" x14ac:dyDescent="0.35">
      <c r="C474" s="18">
        <v>45992</v>
      </c>
      <c r="D474" s="5">
        <v>1391612755</v>
      </c>
      <c r="E474" s="5" t="s">
        <v>1700</v>
      </c>
      <c r="F474" s="5" t="s">
        <v>1734</v>
      </c>
      <c r="G474" s="5">
        <v>1</v>
      </c>
      <c r="H474" s="5">
        <v>1</v>
      </c>
      <c r="I474" s="19">
        <v>840.93548387096462</v>
      </c>
      <c r="J474" s="19">
        <v>20937.726713077645</v>
      </c>
      <c r="K474" s="5">
        <v>467</v>
      </c>
      <c r="L474" s="21" t="str">
        <f>IF(ISNA(_xlfn.XLOOKUP(D474,'Same Seller Hist'!E:E,'Same Seller Hist'!E:E)),"Não","Sim")</f>
        <v>Não</v>
      </c>
      <c r="M474" s="21" t="str">
        <f>_xlfn.IFNA(_xlfn.XLOOKUP(D474,'Same Seller Hist'!E:E,'Same Seller Hist'!M:M),"Não Match")</f>
        <v>Não Match</v>
      </c>
    </row>
    <row r="475" spans="3:13" hidden="1" x14ac:dyDescent="0.35">
      <c r="C475" s="18">
        <v>45992</v>
      </c>
      <c r="D475" s="5">
        <v>1214499708</v>
      </c>
      <c r="E475" s="5" t="s">
        <v>1701</v>
      </c>
      <c r="F475" s="5" t="s">
        <v>1734</v>
      </c>
      <c r="G475" s="5">
        <v>1</v>
      </c>
      <c r="H475" s="5">
        <v>0</v>
      </c>
      <c r="I475" s="19">
        <v>839.06451612902913</v>
      </c>
      <c r="J475" s="19">
        <v>3106.5090621969161</v>
      </c>
      <c r="K475" s="5">
        <v>468</v>
      </c>
      <c r="L475" s="21" t="str">
        <f>IF(ISNA(_xlfn.XLOOKUP(D475,'Same Seller Hist'!E:E,'Same Seller Hist'!E:E)),"Não","Sim")</f>
        <v>Não</v>
      </c>
      <c r="M475" s="21" t="str">
        <f>_xlfn.IFNA(_xlfn.XLOOKUP(D475,'Same Seller Hist'!E:E,'Same Seller Hist'!M:M),"Não Match")</f>
        <v>Não Match</v>
      </c>
    </row>
    <row r="476" spans="3:13" x14ac:dyDescent="0.35">
      <c r="C476" s="18">
        <v>45992</v>
      </c>
      <c r="D476" s="5">
        <v>1051446617</v>
      </c>
      <c r="E476" s="5" t="s">
        <v>1702</v>
      </c>
      <c r="F476" s="5" t="s">
        <v>904</v>
      </c>
      <c r="G476" s="5">
        <v>0</v>
      </c>
      <c r="H476" s="5">
        <v>1</v>
      </c>
      <c r="I476" s="19">
        <v>838.74193548386779</v>
      </c>
      <c r="J476" s="19">
        <v>23305.009355469032</v>
      </c>
      <c r="K476" s="5">
        <v>469</v>
      </c>
      <c r="L476" s="21" t="str">
        <f>IF(ISNA(_xlfn.XLOOKUP(D476,'Same Seller Hist'!E:E,'Same Seller Hist'!E:E)),"Não","Sim")</f>
        <v>Sim</v>
      </c>
      <c r="M476" s="21" t="str">
        <f>_xlfn.IFNA(_xlfn.XLOOKUP(D476,'Same Seller Hist'!E:E,'Same Seller Hist'!M:M),"Não Match")</f>
        <v>Ativo</v>
      </c>
    </row>
    <row r="477" spans="3:13" x14ac:dyDescent="0.35">
      <c r="C477" s="18">
        <v>45992</v>
      </c>
      <c r="D477" s="5">
        <v>1384073074</v>
      </c>
      <c r="E477" s="5" t="s">
        <v>1703</v>
      </c>
      <c r="F477" s="5" t="s">
        <v>905</v>
      </c>
      <c r="G477" s="5">
        <v>0</v>
      </c>
      <c r="H477" s="5">
        <v>0</v>
      </c>
      <c r="I477" s="19">
        <v>838.19354838709364</v>
      </c>
      <c r="J477" s="19">
        <v>4431.4608237685807</v>
      </c>
      <c r="K477" s="5">
        <v>470</v>
      </c>
      <c r="L477" s="21" t="str">
        <f>IF(ISNA(_xlfn.XLOOKUP(D477,'Same Seller Hist'!E:E,'Same Seller Hist'!E:E)),"Não","Sim")</f>
        <v>Sim</v>
      </c>
      <c r="M477" s="21" t="str">
        <f>_xlfn.IFNA(_xlfn.XLOOKUP(D477,'Same Seller Hist'!E:E,'Same Seller Hist'!M:M),"Não Match")</f>
        <v>Ativo</v>
      </c>
    </row>
    <row r="478" spans="3:13" x14ac:dyDescent="0.35">
      <c r="C478" s="18">
        <v>45992</v>
      </c>
      <c r="D478" s="5">
        <v>1179613076</v>
      </c>
      <c r="E478" s="5" t="s">
        <v>1704</v>
      </c>
      <c r="F478" s="5" t="s">
        <v>906</v>
      </c>
      <c r="G478" s="5">
        <v>0</v>
      </c>
      <c r="H478" s="5">
        <v>1</v>
      </c>
      <c r="I478" s="19">
        <v>837.09677419354841</v>
      </c>
      <c r="J478" s="19">
        <v>5052.5614943945484</v>
      </c>
      <c r="K478" s="5">
        <v>471</v>
      </c>
      <c r="L478" s="21" t="str">
        <f>IF(ISNA(_xlfn.XLOOKUP(D478,'Same Seller Hist'!E:E,'Same Seller Hist'!E:E)),"Não","Sim")</f>
        <v>Sim</v>
      </c>
      <c r="M478" s="21" t="str">
        <f>_xlfn.IFNA(_xlfn.XLOOKUP(D478,'Same Seller Hist'!E:E,'Same Seller Hist'!M:M),"Não Match")</f>
        <v>Ativo</v>
      </c>
    </row>
    <row r="479" spans="3:13" hidden="1" x14ac:dyDescent="0.35">
      <c r="C479" s="18">
        <v>45992</v>
      </c>
      <c r="D479" s="5">
        <v>375602651</v>
      </c>
      <c r="E479" s="5" t="s">
        <v>1705</v>
      </c>
      <c r="F479" s="5" t="s">
        <v>1734</v>
      </c>
      <c r="G479" s="5">
        <v>1</v>
      </c>
      <c r="H479" s="5">
        <v>1</v>
      </c>
      <c r="I479" s="19">
        <v>836.61290322580646</v>
      </c>
      <c r="J479" s="19">
        <v>4036.8744933299681</v>
      </c>
      <c r="K479" s="5">
        <v>472</v>
      </c>
      <c r="L479" s="21" t="str">
        <f>IF(ISNA(_xlfn.XLOOKUP(D479,'Same Seller Hist'!E:E,'Same Seller Hist'!E:E)),"Não","Sim")</f>
        <v>Não</v>
      </c>
      <c r="M479" s="21" t="str">
        <f>_xlfn.IFNA(_xlfn.XLOOKUP(D479,'Same Seller Hist'!E:E,'Same Seller Hist'!M:M),"Não Match")</f>
        <v>Não Match</v>
      </c>
    </row>
    <row r="480" spans="3:13" hidden="1" x14ac:dyDescent="0.35">
      <c r="C480" s="18">
        <v>45992</v>
      </c>
      <c r="D480" s="5">
        <v>445101578</v>
      </c>
      <c r="E480" s="5" t="s">
        <v>1706</v>
      </c>
      <c r="F480" s="5" t="s">
        <v>903</v>
      </c>
      <c r="G480" s="5">
        <v>0</v>
      </c>
      <c r="H480" s="5">
        <v>1</v>
      </c>
      <c r="I480" s="19">
        <v>836.09677419354523</v>
      </c>
      <c r="J480" s="19">
        <v>3073.5417835787807</v>
      </c>
      <c r="K480" s="5">
        <v>473</v>
      </c>
      <c r="L480" s="21" t="str">
        <f>IF(ISNA(_xlfn.XLOOKUP(D480,'Same Seller Hist'!E:E,'Same Seller Hist'!E:E)),"Não","Sim")</f>
        <v>Não</v>
      </c>
      <c r="M480" s="21" t="str">
        <f>_xlfn.IFNA(_xlfn.XLOOKUP(D480,'Same Seller Hist'!E:E,'Same Seller Hist'!M:M),"Não Match")</f>
        <v>Não Match</v>
      </c>
    </row>
    <row r="481" spans="3:13" hidden="1" x14ac:dyDescent="0.35">
      <c r="C481" s="18">
        <v>45992</v>
      </c>
      <c r="D481" s="5">
        <v>1250722502</v>
      </c>
      <c r="E481" s="5" t="s">
        <v>1707</v>
      </c>
      <c r="F481" s="5" t="s">
        <v>1734</v>
      </c>
      <c r="G481" s="5">
        <v>1</v>
      </c>
      <c r="H481" s="5">
        <v>0</v>
      </c>
      <c r="I481" s="19">
        <v>835.74193548387098</v>
      </c>
      <c r="J481" s="19">
        <v>4906.6119708367414</v>
      </c>
      <c r="K481" s="5">
        <v>474</v>
      </c>
      <c r="L481" s="21" t="str">
        <f>IF(ISNA(_xlfn.XLOOKUP(D481,'Same Seller Hist'!E:E,'Same Seller Hist'!E:E)),"Não","Sim")</f>
        <v>Não</v>
      </c>
      <c r="M481" s="21" t="str">
        <f>_xlfn.IFNA(_xlfn.XLOOKUP(D481,'Same Seller Hist'!E:E,'Same Seller Hist'!M:M),"Não Match")</f>
        <v>Não Match</v>
      </c>
    </row>
    <row r="482" spans="3:13" hidden="1" x14ac:dyDescent="0.35">
      <c r="C482" s="18">
        <v>45992</v>
      </c>
      <c r="D482" s="5">
        <v>835611110</v>
      </c>
      <c r="E482" s="5" t="s">
        <v>1708</v>
      </c>
      <c r="F482" s="5" t="s">
        <v>1734</v>
      </c>
      <c r="G482" s="5">
        <v>1</v>
      </c>
      <c r="H482" s="5">
        <v>1</v>
      </c>
      <c r="I482" s="19">
        <v>834.51612903225487</v>
      </c>
      <c r="J482" s="19">
        <v>18891.585742092582</v>
      </c>
      <c r="K482" s="5">
        <v>475</v>
      </c>
      <c r="L482" s="21" t="str">
        <f>IF(ISNA(_xlfn.XLOOKUP(D482,'Same Seller Hist'!E:E,'Same Seller Hist'!E:E)),"Não","Sim")</f>
        <v>Não</v>
      </c>
      <c r="M482" s="21" t="str">
        <f>_xlfn.IFNA(_xlfn.XLOOKUP(D482,'Same Seller Hist'!E:E,'Same Seller Hist'!M:M),"Não Match")</f>
        <v>Não Match</v>
      </c>
    </row>
    <row r="483" spans="3:13" x14ac:dyDescent="0.35">
      <c r="C483" s="18">
        <v>45992</v>
      </c>
      <c r="D483" s="5">
        <v>1222999175</v>
      </c>
      <c r="E483" s="5" t="s">
        <v>1709</v>
      </c>
      <c r="F483" s="5" t="s">
        <v>906</v>
      </c>
      <c r="G483" s="5">
        <v>0</v>
      </c>
      <c r="H483" s="5">
        <v>0</v>
      </c>
      <c r="I483" s="19">
        <v>831.83870967741939</v>
      </c>
      <c r="J483" s="19">
        <v>3159.6700536737517</v>
      </c>
      <c r="K483" s="5">
        <v>476</v>
      </c>
      <c r="L483" s="21" t="str">
        <f>IF(ISNA(_xlfn.XLOOKUP(D483,'Same Seller Hist'!E:E,'Same Seller Hist'!E:E)),"Não","Sim")</f>
        <v>Sim</v>
      </c>
      <c r="M483" s="21" t="str">
        <f>_xlfn.IFNA(_xlfn.XLOOKUP(D483,'Same Seller Hist'!E:E,'Same Seller Hist'!M:M),"Não Match")</f>
        <v>Ativo</v>
      </c>
    </row>
    <row r="484" spans="3:13" x14ac:dyDescent="0.35">
      <c r="C484" s="18">
        <v>45992</v>
      </c>
      <c r="D484" s="5">
        <v>1175741090</v>
      </c>
      <c r="E484" s="5" t="s">
        <v>1710</v>
      </c>
      <c r="F484" s="5" t="s">
        <v>903</v>
      </c>
      <c r="G484" s="5">
        <v>0</v>
      </c>
      <c r="H484" s="5">
        <v>1</v>
      </c>
      <c r="I484" s="19">
        <v>830.67741935483559</v>
      </c>
      <c r="J484" s="19">
        <v>11695.328712684322</v>
      </c>
      <c r="K484" s="5">
        <v>477</v>
      </c>
      <c r="L484" s="21" t="str">
        <f>IF(ISNA(_xlfn.XLOOKUP(D484,'Same Seller Hist'!E:E,'Same Seller Hist'!E:E)),"Não","Sim")</f>
        <v>Sim</v>
      </c>
      <c r="M484" s="21" t="str">
        <f>_xlfn.IFNA(_xlfn.XLOOKUP(D484,'Same Seller Hist'!E:E,'Same Seller Hist'!M:M),"Não Match")</f>
        <v>Ativo</v>
      </c>
    </row>
    <row r="485" spans="3:13" hidden="1" x14ac:dyDescent="0.35">
      <c r="C485" s="18">
        <v>45992</v>
      </c>
      <c r="D485" s="5">
        <v>1312114484</v>
      </c>
      <c r="E485" s="5" t="s">
        <v>1711</v>
      </c>
      <c r="F485" s="5" t="s">
        <v>1734</v>
      </c>
      <c r="G485" s="5">
        <v>1</v>
      </c>
      <c r="H485" s="5">
        <v>1</v>
      </c>
      <c r="I485" s="19">
        <v>830.29032258064194</v>
      </c>
      <c r="J485" s="19">
        <v>5799.9424603295156</v>
      </c>
      <c r="K485" s="5">
        <v>478</v>
      </c>
      <c r="L485" s="21" t="str">
        <f>IF(ISNA(_xlfn.XLOOKUP(D485,'Same Seller Hist'!E:E,'Same Seller Hist'!E:E)),"Não","Sim")</f>
        <v>Não</v>
      </c>
      <c r="M485" s="21" t="str">
        <f>_xlfn.IFNA(_xlfn.XLOOKUP(D485,'Same Seller Hist'!E:E,'Same Seller Hist'!M:M),"Não Match")</f>
        <v>Não Match</v>
      </c>
    </row>
    <row r="486" spans="3:13" hidden="1" x14ac:dyDescent="0.35">
      <c r="C486" s="18">
        <v>45992</v>
      </c>
      <c r="D486" s="5">
        <v>379507619</v>
      </c>
      <c r="E486" s="5" t="s">
        <v>1712</v>
      </c>
      <c r="F486" s="5" t="s">
        <v>903</v>
      </c>
      <c r="G486" s="5">
        <v>0</v>
      </c>
      <c r="H486" s="5">
        <v>1</v>
      </c>
      <c r="I486" s="19">
        <v>829.8709677419323</v>
      </c>
      <c r="J486" s="19">
        <v>4839.1411948182258</v>
      </c>
      <c r="K486" s="5">
        <v>479</v>
      </c>
      <c r="L486" s="21" t="str">
        <f>IF(ISNA(_xlfn.XLOOKUP(D486,'Same Seller Hist'!E:E,'Same Seller Hist'!E:E)),"Não","Sim")</f>
        <v>Não</v>
      </c>
      <c r="M486" s="21" t="str">
        <f>_xlfn.IFNA(_xlfn.XLOOKUP(D486,'Same Seller Hist'!E:E,'Same Seller Hist'!M:M),"Não Match")</f>
        <v>Não Match</v>
      </c>
    </row>
    <row r="487" spans="3:13" hidden="1" x14ac:dyDescent="0.35">
      <c r="C487" s="18">
        <v>45992</v>
      </c>
      <c r="D487" s="5">
        <v>1526836548</v>
      </c>
      <c r="E487" s="5" t="s">
        <v>1713</v>
      </c>
      <c r="F487" s="5" t="s">
        <v>905</v>
      </c>
      <c r="G487" s="5">
        <v>0</v>
      </c>
      <c r="H487" s="5">
        <v>1</v>
      </c>
      <c r="I487" s="19">
        <v>829.32258064516134</v>
      </c>
      <c r="J487" s="19">
        <v>74009.479645567422</v>
      </c>
      <c r="K487" s="5">
        <v>480</v>
      </c>
      <c r="L487" s="21" t="str">
        <f>IF(ISNA(_xlfn.XLOOKUP(D487,'Same Seller Hist'!E:E,'Same Seller Hist'!E:E)),"Não","Sim")</f>
        <v>Não</v>
      </c>
      <c r="M487" s="21" t="str">
        <f>_xlfn.IFNA(_xlfn.XLOOKUP(D487,'Same Seller Hist'!E:E,'Same Seller Hist'!M:M),"Não Match")</f>
        <v>Não Match</v>
      </c>
    </row>
    <row r="488" spans="3:13" hidden="1" x14ac:dyDescent="0.35">
      <c r="C488" s="18">
        <v>45992</v>
      </c>
      <c r="D488" s="5">
        <v>1620512848</v>
      </c>
      <c r="E488" s="5" t="s">
        <v>1714</v>
      </c>
      <c r="F488" s="5" t="s">
        <v>1734</v>
      </c>
      <c r="G488" s="5">
        <v>1</v>
      </c>
      <c r="H488" s="5">
        <v>0</v>
      </c>
      <c r="I488" s="19">
        <v>829.09677419354523</v>
      </c>
      <c r="J488" s="19">
        <v>6352.6544315038709</v>
      </c>
      <c r="K488" s="5">
        <v>481</v>
      </c>
      <c r="L488" s="21" t="str">
        <f>IF(ISNA(_xlfn.XLOOKUP(D488,'Same Seller Hist'!E:E,'Same Seller Hist'!E:E)),"Não","Sim")</f>
        <v>Não</v>
      </c>
      <c r="M488" s="21" t="str">
        <f>_xlfn.IFNA(_xlfn.XLOOKUP(D488,'Same Seller Hist'!E:E,'Same Seller Hist'!M:M),"Não Match")</f>
        <v>Não Match</v>
      </c>
    </row>
    <row r="489" spans="3:13" hidden="1" x14ac:dyDescent="0.35">
      <c r="C489" s="18">
        <v>45992</v>
      </c>
      <c r="D489" s="5">
        <v>1398934533</v>
      </c>
      <c r="E489" s="5" t="s">
        <v>1715</v>
      </c>
      <c r="F489" s="5" t="s">
        <v>905</v>
      </c>
      <c r="G489" s="5">
        <v>0</v>
      </c>
      <c r="H489" s="5">
        <v>0</v>
      </c>
      <c r="I489" s="19">
        <v>827.61290322580328</v>
      </c>
      <c r="J489" s="19">
        <v>6847.2845945200961</v>
      </c>
      <c r="K489" s="5">
        <v>482</v>
      </c>
      <c r="L489" s="21" t="str">
        <f>IF(ISNA(_xlfn.XLOOKUP(D489,'Same Seller Hist'!E:E,'Same Seller Hist'!E:E)),"Não","Sim")</f>
        <v>Não</v>
      </c>
      <c r="M489" s="21" t="str">
        <f>_xlfn.IFNA(_xlfn.XLOOKUP(D489,'Same Seller Hist'!E:E,'Same Seller Hist'!M:M),"Não Match")</f>
        <v>Não Match</v>
      </c>
    </row>
    <row r="490" spans="3:13" hidden="1" x14ac:dyDescent="0.35">
      <c r="C490" s="18">
        <v>45992</v>
      </c>
      <c r="D490" s="5">
        <v>1432047236</v>
      </c>
      <c r="E490" s="5" t="s">
        <v>1716</v>
      </c>
      <c r="F490" s="5" t="s">
        <v>905</v>
      </c>
      <c r="G490" s="5">
        <v>0</v>
      </c>
      <c r="H490" s="5">
        <v>0</v>
      </c>
      <c r="I490" s="19">
        <v>826.48387096774195</v>
      </c>
      <c r="J490" s="19">
        <v>6583.085747063742</v>
      </c>
      <c r="K490" s="5">
        <v>483</v>
      </c>
      <c r="L490" s="21" t="str">
        <f>IF(ISNA(_xlfn.XLOOKUP(D490,'Same Seller Hist'!E:E,'Same Seller Hist'!E:E)),"Não","Sim")</f>
        <v>Não</v>
      </c>
      <c r="M490" s="21" t="str">
        <f>_xlfn.IFNA(_xlfn.XLOOKUP(D490,'Same Seller Hist'!E:E,'Same Seller Hist'!M:M),"Não Match")</f>
        <v>Não Match</v>
      </c>
    </row>
    <row r="491" spans="3:13" hidden="1" x14ac:dyDescent="0.35">
      <c r="C491" s="18">
        <v>45992</v>
      </c>
      <c r="D491" s="5">
        <v>1183719086</v>
      </c>
      <c r="E491" s="5" t="s">
        <v>1717</v>
      </c>
      <c r="F491" s="5" t="s">
        <v>904</v>
      </c>
      <c r="G491" s="5">
        <v>0</v>
      </c>
      <c r="H491" s="5">
        <v>0</v>
      </c>
      <c r="I491" s="19">
        <v>826.38709677419035</v>
      </c>
      <c r="J491" s="19">
        <v>8500.8770431491939</v>
      </c>
      <c r="K491" s="5">
        <v>484</v>
      </c>
      <c r="L491" s="21" t="str">
        <f>IF(ISNA(_xlfn.XLOOKUP(D491,'Same Seller Hist'!E:E,'Same Seller Hist'!E:E)),"Não","Sim")</f>
        <v>Não</v>
      </c>
      <c r="M491" s="21" t="str">
        <f>_xlfn.IFNA(_xlfn.XLOOKUP(D491,'Same Seller Hist'!E:E,'Same Seller Hist'!M:M),"Não Match")</f>
        <v>Não Match</v>
      </c>
    </row>
    <row r="492" spans="3:13" hidden="1" x14ac:dyDescent="0.35">
      <c r="C492" s="18">
        <v>45992</v>
      </c>
      <c r="D492" s="5">
        <v>1074623551</v>
      </c>
      <c r="E492" s="5" t="s">
        <v>1718</v>
      </c>
      <c r="F492" s="5" t="s">
        <v>903</v>
      </c>
      <c r="G492" s="5">
        <v>0</v>
      </c>
      <c r="H492" s="5">
        <v>0</v>
      </c>
      <c r="I492" s="19">
        <v>825.87096774193549</v>
      </c>
      <c r="J492" s="19">
        <v>4854.1855591072899</v>
      </c>
      <c r="K492" s="5">
        <v>485</v>
      </c>
      <c r="L492" s="21" t="str">
        <f>IF(ISNA(_xlfn.XLOOKUP(D492,'Same Seller Hist'!E:E,'Same Seller Hist'!E:E)),"Não","Sim")</f>
        <v>Não</v>
      </c>
      <c r="M492" s="21" t="str">
        <f>_xlfn.IFNA(_xlfn.XLOOKUP(D492,'Same Seller Hist'!E:E,'Same Seller Hist'!M:M),"Não Match")</f>
        <v>Não Match</v>
      </c>
    </row>
    <row r="493" spans="3:13" x14ac:dyDescent="0.35">
      <c r="C493" s="18">
        <v>45992</v>
      </c>
      <c r="D493" s="5">
        <v>408128510</v>
      </c>
      <c r="E493" s="5" t="s">
        <v>1719</v>
      </c>
      <c r="F493" s="5" t="s">
        <v>905</v>
      </c>
      <c r="G493" s="5">
        <v>0</v>
      </c>
      <c r="H493" s="5">
        <v>1</v>
      </c>
      <c r="I493" s="19">
        <v>824.99999999999682</v>
      </c>
      <c r="J493" s="19">
        <v>5630.9086839394522</v>
      </c>
      <c r="K493" s="5">
        <v>486</v>
      </c>
      <c r="L493" s="21" t="str">
        <f>IF(ISNA(_xlfn.XLOOKUP(D493,'Same Seller Hist'!E:E,'Same Seller Hist'!E:E)),"Não","Sim")</f>
        <v>Sim</v>
      </c>
      <c r="M493" s="21" t="str">
        <f>_xlfn.IFNA(_xlfn.XLOOKUP(D493,'Same Seller Hist'!E:E,'Same Seller Hist'!M:M),"Não Match")</f>
        <v>Ativo</v>
      </c>
    </row>
    <row r="494" spans="3:13" hidden="1" x14ac:dyDescent="0.35">
      <c r="C494" s="18">
        <v>45992</v>
      </c>
      <c r="D494" s="5">
        <v>1366016602</v>
      </c>
      <c r="E494" s="5" t="s">
        <v>1720</v>
      </c>
      <c r="F494" s="5" t="s">
        <v>1734</v>
      </c>
      <c r="G494" s="5">
        <v>1</v>
      </c>
      <c r="H494" s="5">
        <v>1</v>
      </c>
      <c r="I494" s="19">
        <v>824.77419354838707</v>
      </c>
      <c r="J494" s="19">
        <v>7111.418672197774</v>
      </c>
      <c r="K494" s="5">
        <v>487</v>
      </c>
      <c r="L494" s="21" t="str">
        <f>IF(ISNA(_xlfn.XLOOKUP(D494,'Same Seller Hist'!E:E,'Same Seller Hist'!E:E)),"Não","Sim")</f>
        <v>Não</v>
      </c>
      <c r="M494" s="21" t="str">
        <f>_xlfn.IFNA(_xlfn.XLOOKUP(D494,'Same Seller Hist'!E:E,'Same Seller Hist'!M:M),"Não Match")</f>
        <v>Não Match</v>
      </c>
    </row>
    <row r="495" spans="3:13" x14ac:dyDescent="0.35">
      <c r="C495" s="18">
        <v>45992</v>
      </c>
      <c r="D495" s="5">
        <v>1265443235</v>
      </c>
      <c r="E495" s="5" t="s">
        <v>1721</v>
      </c>
      <c r="F495" s="5" t="s">
        <v>1734</v>
      </c>
      <c r="G495" s="5">
        <v>1</v>
      </c>
      <c r="H495" s="5">
        <v>1</v>
      </c>
      <c r="I495" s="19">
        <v>824.03225806451292</v>
      </c>
      <c r="J495" s="19">
        <v>5291.1490431131615</v>
      </c>
      <c r="K495" s="5">
        <v>488</v>
      </c>
      <c r="L495" s="21" t="str">
        <f>IF(ISNA(_xlfn.XLOOKUP(D495,'Same Seller Hist'!E:E,'Same Seller Hist'!E:E)),"Não","Sim")</f>
        <v>Sim</v>
      </c>
      <c r="M495" s="21" t="str">
        <f>_xlfn.IFNA(_xlfn.XLOOKUP(D495,'Same Seller Hist'!E:E,'Same Seller Hist'!M:M),"Não Match")</f>
        <v>Ativo</v>
      </c>
    </row>
    <row r="496" spans="3:13" hidden="1" x14ac:dyDescent="0.35">
      <c r="C496" s="18">
        <v>45992</v>
      </c>
      <c r="D496" s="5">
        <v>1572590305</v>
      </c>
      <c r="E496" s="5" t="s">
        <v>1722</v>
      </c>
      <c r="F496" s="5" t="s">
        <v>1734</v>
      </c>
      <c r="G496" s="5">
        <v>1</v>
      </c>
      <c r="H496" s="5">
        <v>0</v>
      </c>
      <c r="I496" s="19">
        <v>823.74193548386779</v>
      </c>
      <c r="J496" s="19">
        <v>5108.3907600291614</v>
      </c>
      <c r="K496" s="5">
        <v>489</v>
      </c>
      <c r="L496" s="21" t="str">
        <f>IF(ISNA(_xlfn.XLOOKUP(D496,'Same Seller Hist'!E:E,'Same Seller Hist'!E:E)),"Não","Sim")</f>
        <v>Não</v>
      </c>
      <c r="M496" s="21" t="str">
        <f>_xlfn.IFNA(_xlfn.XLOOKUP(D496,'Same Seller Hist'!E:E,'Same Seller Hist'!M:M),"Não Match")</f>
        <v>Não Match</v>
      </c>
    </row>
    <row r="497" spans="3:13" hidden="1" x14ac:dyDescent="0.35">
      <c r="C497" s="18">
        <v>45992</v>
      </c>
      <c r="D497" s="5">
        <v>1285840220</v>
      </c>
      <c r="E497" s="5" t="s">
        <v>1723</v>
      </c>
      <c r="F497" s="5" t="s">
        <v>1734</v>
      </c>
      <c r="G497" s="5">
        <v>1</v>
      </c>
      <c r="H497" s="5">
        <v>1</v>
      </c>
      <c r="I497" s="19">
        <v>822.67741935483559</v>
      </c>
      <c r="J497" s="19">
        <v>8189.9411016702579</v>
      </c>
      <c r="K497" s="5">
        <v>490</v>
      </c>
      <c r="L497" s="21" t="str">
        <f>IF(ISNA(_xlfn.XLOOKUP(D497,'Same Seller Hist'!E:E,'Same Seller Hist'!E:E)),"Não","Sim")</f>
        <v>Não</v>
      </c>
      <c r="M497" s="21" t="str">
        <f>_xlfn.IFNA(_xlfn.XLOOKUP(D497,'Same Seller Hist'!E:E,'Same Seller Hist'!M:M),"Não Match")</f>
        <v>Não Match</v>
      </c>
    </row>
    <row r="498" spans="3:13" hidden="1" x14ac:dyDescent="0.35">
      <c r="C498" s="18">
        <v>45992</v>
      </c>
      <c r="D498" s="5">
        <v>1190430357</v>
      </c>
      <c r="E498" s="5" t="s">
        <v>1724</v>
      </c>
      <c r="F498" s="5" t="s">
        <v>905</v>
      </c>
      <c r="G498" s="5">
        <v>0</v>
      </c>
      <c r="H498" s="5">
        <v>0</v>
      </c>
      <c r="I498" s="19">
        <v>822.38709677419354</v>
      </c>
      <c r="J498" s="19">
        <v>6936.7903528627421</v>
      </c>
      <c r="K498" s="5">
        <v>491</v>
      </c>
      <c r="L498" s="21" t="str">
        <f>IF(ISNA(_xlfn.XLOOKUP(D498,'Same Seller Hist'!E:E,'Same Seller Hist'!E:E)),"Não","Sim")</f>
        <v>Não</v>
      </c>
      <c r="M498" s="21" t="str">
        <f>_xlfn.IFNA(_xlfn.XLOOKUP(D498,'Same Seller Hist'!E:E,'Same Seller Hist'!M:M),"Não Match")</f>
        <v>Não Match</v>
      </c>
    </row>
    <row r="499" spans="3:13" hidden="1" x14ac:dyDescent="0.35">
      <c r="C499" s="18">
        <v>45992</v>
      </c>
      <c r="D499" s="5">
        <v>1258878023</v>
      </c>
      <c r="E499" s="5" t="s">
        <v>1725</v>
      </c>
      <c r="F499" s="5" t="s">
        <v>903</v>
      </c>
      <c r="G499" s="5">
        <v>0</v>
      </c>
      <c r="H499" s="5">
        <v>0</v>
      </c>
      <c r="I499" s="19">
        <v>821.29032258064194</v>
      </c>
      <c r="J499" s="19">
        <v>3629.739574250968</v>
      </c>
      <c r="K499" s="5">
        <v>492</v>
      </c>
      <c r="L499" s="21" t="str">
        <f>IF(ISNA(_xlfn.XLOOKUP(D499,'Same Seller Hist'!E:E,'Same Seller Hist'!E:E)),"Não","Sim")</f>
        <v>Não</v>
      </c>
      <c r="M499" s="21" t="str">
        <f>_xlfn.IFNA(_xlfn.XLOOKUP(D499,'Same Seller Hist'!E:E,'Same Seller Hist'!M:M),"Não Match")</f>
        <v>Não Match</v>
      </c>
    </row>
    <row r="500" spans="3:13" hidden="1" x14ac:dyDescent="0.35">
      <c r="C500" s="18">
        <v>45992</v>
      </c>
      <c r="D500" s="5">
        <v>1101695100</v>
      </c>
      <c r="E500" s="5" t="s">
        <v>1726</v>
      </c>
      <c r="F500" s="5" t="s">
        <v>903</v>
      </c>
      <c r="G500" s="5">
        <v>0</v>
      </c>
      <c r="H500" s="5">
        <v>0</v>
      </c>
      <c r="I500" s="19">
        <v>820.80645161290317</v>
      </c>
      <c r="J500" s="19">
        <v>6134.6207759193549</v>
      </c>
      <c r="K500" s="5">
        <v>493</v>
      </c>
      <c r="L500" s="21" t="str">
        <f>IF(ISNA(_xlfn.XLOOKUP(D500,'Same Seller Hist'!E:E,'Same Seller Hist'!E:E)),"Não","Sim")</f>
        <v>Não</v>
      </c>
      <c r="M500" s="21" t="str">
        <f>_xlfn.IFNA(_xlfn.XLOOKUP(D500,'Same Seller Hist'!E:E,'Same Seller Hist'!M:M),"Não Match")</f>
        <v>Não Match</v>
      </c>
    </row>
    <row r="501" spans="3:13" hidden="1" x14ac:dyDescent="0.35">
      <c r="C501" s="18">
        <v>45992</v>
      </c>
      <c r="D501" s="5">
        <v>1259565330</v>
      </c>
      <c r="E501" s="5" t="s">
        <v>1727</v>
      </c>
      <c r="F501" s="5" t="s">
        <v>1734</v>
      </c>
      <c r="G501" s="5">
        <v>1</v>
      </c>
      <c r="H501" s="5">
        <v>0</v>
      </c>
      <c r="I501" s="19">
        <v>820.12903225806451</v>
      </c>
      <c r="J501" s="19">
        <v>3015.2762099991032</v>
      </c>
      <c r="K501" s="5">
        <v>494</v>
      </c>
      <c r="L501" s="21" t="str">
        <f>IF(ISNA(_xlfn.XLOOKUP(D501,'Same Seller Hist'!E:E,'Same Seller Hist'!E:E)),"Não","Sim")</f>
        <v>Não</v>
      </c>
      <c r="M501" s="21" t="str">
        <f>_xlfn.IFNA(_xlfn.XLOOKUP(D501,'Same Seller Hist'!E:E,'Same Seller Hist'!M:M),"Não Match")</f>
        <v>Não Match</v>
      </c>
    </row>
    <row r="502" spans="3:13" x14ac:dyDescent="0.35">
      <c r="C502" s="18">
        <v>45992</v>
      </c>
      <c r="D502" s="5">
        <v>324536294</v>
      </c>
      <c r="E502" s="5" t="s">
        <v>1728</v>
      </c>
      <c r="F502" s="5" t="s">
        <v>903</v>
      </c>
      <c r="G502" s="5">
        <v>0</v>
      </c>
      <c r="H502" s="5">
        <v>1</v>
      </c>
      <c r="I502" s="19">
        <v>819.80645161290317</v>
      </c>
      <c r="J502" s="19">
        <v>15741.057627335065</v>
      </c>
      <c r="K502" s="5">
        <v>495</v>
      </c>
      <c r="L502" s="21" t="str">
        <f>IF(ISNA(_xlfn.XLOOKUP(D502,'Same Seller Hist'!E:E,'Same Seller Hist'!E:E)),"Não","Sim")</f>
        <v>Sim</v>
      </c>
      <c r="M502" s="21" t="str">
        <f>_xlfn.IFNA(_xlfn.XLOOKUP(D502,'Same Seller Hist'!E:E,'Same Seller Hist'!M:M),"Não Match")</f>
        <v>Ativo</v>
      </c>
    </row>
    <row r="503" spans="3:13" hidden="1" x14ac:dyDescent="0.35">
      <c r="C503" s="18">
        <v>45992</v>
      </c>
      <c r="D503" s="5">
        <v>427139496</v>
      </c>
      <c r="E503" s="5" t="s">
        <v>1729</v>
      </c>
      <c r="F503" s="5" t="s">
        <v>1734</v>
      </c>
      <c r="G503" s="5">
        <v>1</v>
      </c>
      <c r="H503" s="5">
        <v>0</v>
      </c>
      <c r="I503" s="19">
        <v>819.70967741935169</v>
      </c>
      <c r="J503" s="19">
        <v>4247.8259494284839</v>
      </c>
      <c r="K503" s="5">
        <v>496</v>
      </c>
      <c r="L503" s="21" t="str">
        <f>IF(ISNA(_xlfn.XLOOKUP(D503,'Same Seller Hist'!E:E,'Same Seller Hist'!E:E)),"Não","Sim")</f>
        <v>Não</v>
      </c>
      <c r="M503" s="21" t="str">
        <f>_xlfn.IFNA(_xlfn.XLOOKUP(D503,'Same Seller Hist'!E:E,'Same Seller Hist'!M:M),"Não Match")</f>
        <v>Não Match</v>
      </c>
    </row>
    <row r="504" spans="3:13" hidden="1" x14ac:dyDescent="0.35">
      <c r="C504" s="18">
        <v>45992</v>
      </c>
      <c r="D504" s="5">
        <v>1090996394</v>
      </c>
      <c r="E504" s="5" t="s">
        <v>1730</v>
      </c>
      <c r="F504" s="5" t="s">
        <v>903</v>
      </c>
      <c r="G504" s="5">
        <v>0</v>
      </c>
      <c r="H504" s="5">
        <v>1</v>
      </c>
      <c r="I504" s="19">
        <v>818.93548387096769</v>
      </c>
      <c r="J504" s="19">
        <v>8647.5810292610968</v>
      </c>
      <c r="K504" s="5">
        <v>497</v>
      </c>
      <c r="L504" s="21" t="str">
        <f>IF(ISNA(_xlfn.XLOOKUP(D504,'Same Seller Hist'!E:E,'Same Seller Hist'!E:E)),"Não","Sim")</f>
        <v>Não</v>
      </c>
      <c r="M504" s="21" t="str">
        <f>_xlfn.IFNA(_xlfn.XLOOKUP(D504,'Same Seller Hist'!E:E,'Same Seller Hist'!M:M),"Não Match")</f>
        <v>Não Match</v>
      </c>
    </row>
    <row r="505" spans="3:13" hidden="1" x14ac:dyDescent="0.35">
      <c r="C505" s="18">
        <v>45992</v>
      </c>
      <c r="D505" s="5">
        <v>1283696396</v>
      </c>
      <c r="E505" s="5" t="s">
        <v>1731</v>
      </c>
      <c r="F505" s="5" t="s">
        <v>905</v>
      </c>
      <c r="G505" s="5">
        <v>0</v>
      </c>
      <c r="H505" s="5">
        <v>0</v>
      </c>
      <c r="I505" s="19">
        <v>818.80645161290317</v>
      </c>
      <c r="J505" s="19">
        <v>6016.3457248479672</v>
      </c>
      <c r="K505" s="5">
        <v>498</v>
      </c>
      <c r="L505" s="21" t="str">
        <f>IF(ISNA(_xlfn.XLOOKUP(D505,'Same Seller Hist'!E:E,'Same Seller Hist'!E:E)),"Não","Sim")</f>
        <v>Não</v>
      </c>
      <c r="M505" s="21" t="str">
        <f>_xlfn.IFNA(_xlfn.XLOOKUP(D505,'Same Seller Hist'!E:E,'Same Seller Hist'!M:M),"Não Match")</f>
        <v>Não Match</v>
      </c>
    </row>
    <row r="506" spans="3:13" hidden="1" x14ac:dyDescent="0.35">
      <c r="C506" s="18">
        <v>45992</v>
      </c>
      <c r="D506" s="5">
        <v>1197125923</v>
      </c>
      <c r="E506" s="5" t="s">
        <v>1732</v>
      </c>
      <c r="F506" s="5" t="s">
        <v>1734</v>
      </c>
      <c r="G506" s="5">
        <v>1</v>
      </c>
      <c r="H506" s="5">
        <v>0</v>
      </c>
      <c r="I506" s="19">
        <v>818.48387096773877</v>
      </c>
      <c r="J506" s="19">
        <v>4366.7466498191616</v>
      </c>
      <c r="K506" s="5">
        <v>499</v>
      </c>
      <c r="L506" s="21" t="str">
        <f>IF(ISNA(_xlfn.XLOOKUP(D506,'Same Seller Hist'!E:E,'Same Seller Hist'!E:E)),"Não","Sim")</f>
        <v>Não</v>
      </c>
      <c r="M506" s="21" t="str">
        <f>_xlfn.IFNA(_xlfn.XLOOKUP(D506,'Same Seller Hist'!E:E,'Same Seller Hist'!M:M),"Não Match")</f>
        <v>Não Match</v>
      </c>
    </row>
    <row r="507" spans="3:13" hidden="1" x14ac:dyDescent="0.35">
      <c r="C507" s="18">
        <v>45992</v>
      </c>
      <c r="D507" s="5">
        <v>405539356</v>
      </c>
      <c r="E507" s="5" t="s">
        <v>1733</v>
      </c>
      <c r="F507" s="5" t="s">
        <v>1734</v>
      </c>
      <c r="G507" s="5">
        <v>1</v>
      </c>
      <c r="H507" s="5">
        <v>1</v>
      </c>
      <c r="I507" s="19">
        <v>814.0322580645161</v>
      </c>
      <c r="J507" s="19">
        <v>7555.3750637574512</v>
      </c>
      <c r="K507" s="5">
        <v>500</v>
      </c>
      <c r="L507" s="21" t="str">
        <f>IF(ISNA(_xlfn.XLOOKUP(D507,'Same Seller Hist'!E:E,'Same Seller Hist'!E:E)),"Não","Sim")</f>
        <v>Não</v>
      </c>
      <c r="M507" s="21" t="str">
        <f>_xlfn.IFNA(_xlfn.XLOOKUP(D507,'Same Seller Hist'!E:E,'Same Seller Hist'!M:M),"Não Match")</f>
        <v>Não Match</v>
      </c>
    </row>
  </sheetData>
  <autoFilter ref="C7:M507" xr:uid="{2E590518-A9E4-4C26-8381-70559E4D381D}">
    <filterColumn colId="9">
      <filters>
        <filter val="Sim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42C92-A749-49A6-B7B7-98CD14BDE304}">
  <sheetPr filterMode="1">
    <tabColor theme="5" tint="0.79998168889431442"/>
  </sheetPr>
  <dimension ref="B1:R507"/>
  <sheetViews>
    <sheetView topLeftCell="A446" zoomScale="70" zoomScaleNormal="70" workbookViewId="0">
      <selection activeCell="N8" sqref="N8:N507"/>
    </sheetView>
  </sheetViews>
  <sheetFormatPr defaultRowHeight="14.5" x14ac:dyDescent="0.35"/>
  <cols>
    <col min="1" max="2" width="2.6328125" customWidth="1"/>
    <col min="3" max="18" width="13.6328125" customWidth="1"/>
  </cols>
  <sheetData>
    <row r="1" spans="2:18" s="1" customFormat="1" x14ac:dyDescent="0.35"/>
    <row r="2" spans="2:18" s="1" customFormat="1" x14ac:dyDescent="0.35"/>
    <row r="3" spans="2:18" s="1" customFormat="1" ht="21" x14ac:dyDescent="0.5">
      <c r="B3" s="4" t="s">
        <v>23</v>
      </c>
    </row>
    <row r="4" spans="2:18" s="1" customFormat="1" x14ac:dyDescent="0.35"/>
    <row r="5" spans="2:18" s="2" customFormat="1" x14ac:dyDescent="0.35"/>
    <row r="7" spans="2:18" x14ac:dyDescent="0.35">
      <c r="C7" s="3" t="s">
        <v>0</v>
      </c>
      <c r="D7" s="3" t="s">
        <v>16</v>
      </c>
      <c r="E7" s="3" t="s">
        <v>24</v>
      </c>
      <c r="F7" s="3" t="s">
        <v>25</v>
      </c>
      <c r="G7" s="3" t="s">
        <v>26</v>
      </c>
      <c r="H7" s="20" t="s">
        <v>2521</v>
      </c>
      <c r="I7" s="20" t="s">
        <v>2522</v>
      </c>
      <c r="J7" s="20" t="s">
        <v>27</v>
      </c>
      <c r="K7" s="20" t="s">
        <v>28</v>
      </c>
      <c r="L7" s="20" t="s">
        <v>29</v>
      </c>
      <c r="M7" s="20" t="s">
        <v>30</v>
      </c>
      <c r="N7" s="20" t="s">
        <v>19</v>
      </c>
      <c r="O7" s="20" t="s">
        <v>21</v>
      </c>
      <c r="P7" s="20" t="s">
        <v>31</v>
      </c>
      <c r="Q7" s="20" t="s">
        <v>22</v>
      </c>
      <c r="R7" s="20" t="s">
        <v>9</v>
      </c>
    </row>
    <row r="8" spans="2:18" x14ac:dyDescent="0.35">
      <c r="C8" s="18">
        <v>45992</v>
      </c>
      <c r="D8" s="5" t="s">
        <v>310</v>
      </c>
      <c r="E8" s="5" t="s">
        <v>939</v>
      </c>
      <c r="F8" s="5" t="s">
        <v>1915</v>
      </c>
      <c r="G8" s="5" t="s">
        <v>2106</v>
      </c>
      <c r="H8" s="21" t="str">
        <f>RIGHT(F8,1)</f>
        <v>k</v>
      </c>
      <c r="I8" s="22">
        <f>VALUE(SUBSTITUTE(_xlfn.REGEXREPLACE(F8,"[^0-9.]",""),".",",")) * IF(H8="m",1000000,IF(H8="k",1000,"Erro"))</f>
        <v>182400</v>
      </c>
      <c r="J8" s="21" t="str">
        <f>RIGHT(G8,1)</f>
        <v>m</v>
      </c>
      <c r="K8" s="23">
        <f>VALUE(SUBSTITUTE(_xlfn.REGEXREPLACE(G8,"[^0-9.]",""),".",",")) * IF(J8="m",1000000,IF(J8="k",1000,"Erro"))</f>
        <v>9400000</v>
      </c>
      <c r="L8" s="21">
        <v>5.3</v>
      </c>
      <c r="M8" s="22">
        <f>DAY(EOMONTH(C8,0))</f>
        <v>31</v>
      </c>
      <c r="N8" s="23">
        <f>K8/M8</f>
        <v>303225.80645161291</v>
      </c>
      <c r="O8" s="23">
        <f>I8/M8</f>
        <v>5883.8709677419356</v>
      </c>
      <c r="P8" s="23">
        <f>N8/O8</f>
        <v>51.535087719298247</v>
      </c>
      <c r="Q8" s="21" t="str">
        <f>IF(ISNA(_xlfn.XLOOKUP(D8,'Same Seller Hist'!H:H,'Same Seller Hist'!H:H)),"Não","Sim")</f>
        <v>Sim</v>
      </c>
      <c r="R8" s="21" t="str">
        <f>_xlfn.IFNA(_xlfn.XLOOKUP(D8,'Same Seller Hist'!D:D,'Same Seller Hist'!M:M),"Não Existe")</f>
        <v>Ativo</v>
      </c>
    </row>
    <row r="9" spans="2:18" x14ac:dyDescent="0.35">
      <c r="C9" s="18">
        <v>45992</v>
      </c>
      <c r="D9" s="5" t="s">
        <v>597</v>
      </c>
      <c r="E9" s="5" t="s">
        <v>1037</v>
      </c>
      <c r="F9" s="5" t="s">
        <v>1916</v>
      </c>
      <c r="G9" s="5" t="s">
        <v>2107</v>
      </c>
      <c r="H9" s="21" t="str">
        <f t="shared" ref="H9:H72" si="0">RIGHT(F9,1)</f>
        <v>k</v>
      </c>
      <c r="I9" s="22">
        <f t="shared" ref="I9:I72" si="1">VALUE(SUBSTITUTE(_xlfn.REGEXREPLACE(F9,"[^0-9.]",""),".",",")) * IF(H9="m",1000000,IF(H9="k",1000,"Erro"))</f>
        <v>110600</v>
      </c>
      <c r="J9" s="21" t="str">
        <f t="shared" ref="J9:J72" si="2">RIGHT(G9,1)</f>
        <v>m</v>
      </c>
      <c r="K9" s="23">
        <f t="shared" ref="K9:K72" si="3">VALUE(SUBSTITUTE(_xlfn.REGEXREPLACE(G9,"[^0-9.]",""),".",",")) * IF(J9="m",1000000,IF(J9="k",1000,"Erro"))</f>
        <v>3300000</v>
      </c>
      <c r="L9" s="21">
        <v>5.3</v>
      </c>
      <c r="M9" s="22">
        <f t="shared" ref="M9:M72" si="4">DAY(EOMONTH(C9,0))</f>
        <v>31</v>
      </c>
      <c r="N9" s="23">
        <f t="shared" ref="N9:N72" si="5">K9/M9</f>
        <v>106451.6129032258</v>
      </c>
      <c r="O9" s="23">
        <f t="shared" ref="O9:O72" si="6">I9/M9</f>
        <v>3567.7419354838707</v>
      </c>
      <c r="P9" s="23">
        <f t="shared" ref="P9:P72" si="7">N9/O9</f>
        <v>29.837251356238699</v>
      </c>
      <c r="Q9" s="21" t="str">
        <f>IF(ISNA(_xlfn.XLOOKUP(D9,'Same Seller Hist'!H:H,'Same Seller Hist'!H:H)),"Não","Sim")</f>
        <v>Sim</v>
      </c>
      <c r="R9" s="21" t="str">
        <f>_xlfn.IFNA(_xlfn.XLOOKUP(D9,'Same Seller Hist'!D:D,'Same Seller Hist'!M:M),"Não Existe")</f>
        <v>Ativo</v>
      </c>
    </row>
    <row r="10" spans="2:18" hidden="1" x14ac:dyDescent="0.35">
      <c r="C10" s="18">
        <v>45992</v>
      </c>
      <c r="D10" s="5" t="s">
        <v>782</v>
      </c>
      <c r="E10" s="5" t="s">
        <v>936</v>
      </c>
      <c r="F10" s="5" t="s">
        <v>1917</v>
      </c>
      <c r="G10" s="5" t="s">
        <v>2108</v>
      </c>
      <c r="H10" s="21" t="str">
        <f t="shared" si="0"/>
        <v>k</v>
      </c>
      <c r="I10" s="22">
        <f t="shared" si="1"/>
        <v>109100</v>
      </c>
      <c r="J10" s="21" t="str">
        <f t="shared" si="2"/>
        <v>m</v>
      </c>
      <c r="K10" s="23">
        <f t="shared" si="3"/>
        <v>2200000</v>
      </c>
      <c r="L10" s="21">
        <v>5.3</v>
      </c>
      <c r="M10" s="22">
        <f t="shared" si="4"/>
        <v>31</v>
      </c>
      <c r="N10" s="23">
        <f t="shared" si="5"/>
        <v>70967.741935483864</v>
      </c>
      <c r="O10" s="23">
        <f t="shared" si="6"/>
        <v>3519.3548387096776</v>
      </c>
      <c r="P10" s="23">
        <f t="shared" si="7"/>
        <v>20.164986251145734</v>
      </c>
      <c r="Q10" s="21" t="str">
        <f>IF(ISNA(_xlfn.XLOOKUP(D10,'Same Seller Hist'!H:H,'Same Seller Hist'!H:H)),"Não","Sim")</f>
        <v>Não</v>
      </c>
      <c r="R10" s="21" t="str">
        <f>_xlfn.IFNA(_xlfn.XLOOKUP(D10,'Same Seller Hist'!D:D,'Same Seller Hist'!M:M),"Não Existe")</f>
        <v>Ativo</v>
      </c>
    </row>
    <row r="11" spans="2:18" x14ac:dyDescent="0.35">
      <c r="C11" s="18">
        <v>45992</v>
      </c>
      <c r="D11" s="5" t="s">
        <v>793</v>
      </c>
      <c r="E11" s="5" t="s">
        <v>941</v>
      </c>
      <c r="F11" s="5" t="s">
        <v>1918</v>
      </c>
      <c r="G11" s="5" t="s">
        <v>2109</v>
      </c>
      <c r="H11" s="21" t="str">
        <f t="shared" si="0"/>
        <v>k</v>
      </c>
      <c r="I11" s="22">
        <f t="shared" si="1"/>
        <v>102100</v>
      </c>
      <c r="J11" s="21" t="str">
        <f t="shared" si="2"/>
        <v>m</v>
      </c>
      <c r="K11" s="23">
        <f t="shared" si="3"/>
        <v>2900000</v>
      </c>
      <c r="L11" s="21">
        <v>5.3</v>
      </c>
      <c r="M11" s="22">
        <f t="shared" si="4"/>
        <v>31</v>
      </c>
      <c r="N11" s="23">
        <f t="shared" si="5"/>
        <v>93548.387096774197</v>
      </c>
      <c r="O11" s="23">
        <f t="shared" si="6"/>
        <v>3293.5483870967741</v>
      </c>
      <c r="P11" s="23">
        <f t="shared" si="7"/>
        <v>28.403525954946133</v>
      </c>
      <c r="Q11" s="21" t="str">
        <f>IF(ISNA(_xlfn.XLOOKUP(D11,'Same Seller Hist'!H:H,'Same Seller Hist'!H:H)),"Não","Sim")</f>
        <v>Sim</v>
      </c>
      <c r="R11" s="21" t="str">
        <f>_xlfn.IFNA(_xlfn.XLOOKUP(D11,'Same Seller Hist'!D:D,'Same Seller Hist'!M:M),"Não Existe")</f>
        <v>Ativo</v>
      </c>
    </row>
    <row r="12" spans="2:18" x14ac:dyDescent="0.35">
      <c r="C12" s="18">
        <v>45992</v>
      </c>
      <c r="D12" s="5" t="s">
        <v>115</v>
      </c>
      <c r="E12" s="5" t="s">
        <v>908</v>
      </c>
      <c r="F12" s="5" t="s">
        <v>1919</v>
      </c>
      <c r="G12" s="5" t="s">
        <v>2110</v>
      </c>
      <c r="H12" s="21" t="str">
        <f t="shared" si="0"/>
        <v>k</v>
      </c>
      <c r="I12" s="22">
        <f t="shared" si="1"/>
        <v>79100</v>
      </c>
      <c r="J12" s="21" t="str">
        <f t="shared" si="2"/>
        <v>m</v>
      </c>
      <c r="K12" s="23">
        <f t="shared" si="3"/>
        <v>1300000</v>
      </c>
      <c r="L12" s="21">
        <v>5.3</v>
      </c>
      <c r="M12" s="22">
        <f t="shared" si="4"/>
        <v>31</v>
      </c>
      <c r="N12" s="23">
        <f t="shared" si="5"/>
        <v>41935.483870967742</v>
      </c>
      <c r="O12" s="23">
        <f t="shared" si="6"/>
        <v>2551.6129032258063</v>
      </c>
      <c r="P12" s="23">
        <f t="shared" si="7"/>
        <v>16.434892541087233</v>
      </c>
      <c r="Q12" s="21" t="str">
        <f>IF(ISNA(_xlfn.XLOOKUP(D12,'Same Seller Hist'!H:H,'Same Seller Hist'!H:H)),"Não","Sim")</f>
        <v>Sim</v>
      </c>
      <c r="R12" s="21" t="str">
        <f>_xlfn.IFNA(_xlfn.XLOOKUP(D12,'Same Seller Hist'!D:D,'Same Seller Hist'!M:M),"Não Existe")</f>
        <v>Ativo</v>
      </c>
    </row>
    <row r="13" spans="2:18" x14ac:dyDescent="0.35">
      <c r="C13" s="18">
        <v>45992</v>
      </c>
      <c r="D13" s="5" t="s">
        <v>429</v>
      </c>
      <c r="E13" s="5" t="s">
        <v>908</v>
      </c>
      <c r="F13" s="5" t="s">
        <v>1920</v>
      </c>
      <c r="G13" s="5" t="s">
        <v>2111</v>
      </c>
      <c r="H13" s="21" t="str">
        <f t="shared" si="0"/>
        <v>k</v>
      </c>
      <c r="I13" s="22">
        <f t="shared" si="1"/>
        <v>69800</v>
      </c>
      <c r="J13" s="21" t="str">
        <f t="shared" si="2"/>
        <v>m</v>
      </c>
      <c r="K13" s="23">
        <f t="shared" si="3"/>
        <v>4300000</v>
      </c>
      <c r="L13" s="21">
        <v>5.3</v>
      </c>
      <c r="M13" s="22">
        <f t="shared" si="4"/>
        <v>31</v>
      </c>
      <c r="N13" s="23">
        <f t="shared" si="5"/>
        <v>138709.67741935485</v>
      </c>
      <c r="O13" s="23">
        <f t="shared" si="6"/>
        <v>2251.6129032258063</v>
      </c>
      <c r="P13" s="23">
        <f t="shared" si="7"/>
        <v>61.604584527220638</v>
      </c>
      <c r="Q13" s="21" t="str">
        <f>IF(ISNA(_xlfn.XLOOKUP(D13,'Same Seller Hist'!H:H,'Same Seller Hist'!H:H)),"Não","Sim")</f>
        <v>Sim</v>
      </c>
      <c r="R13" s="21" t="str">
        <f>_xlfn.IFNA(_xlfn.XLOOKUP(D13,'Same Seller Hist'!D:D,'Same Seller Hist'!M:M),"Não Existe")</f>
        <v>Ativo</v>
      </c>
    </row>
    <row r="14" spans="2:18" hidden="1" x14ac:dyDescent="0.35">
      <c r="C14" s="18">
        <v>45992</v>
      </c>
      <c r="D14" s="5" t="s">
        <v>1735</v>
      </c>
      <c r="E14" s="5" t="s">
        <v>908</v>
      </c>
      <c r="F14" s="5" t="s">
        <v>1921</v>
      </c>
      <c r="G14" s="5" t="s">
        <v>2112</v>
      </c>
      <c r="H14" s="21" t="str">
        <f t="shared" si="0"/>
        <v>k</v>
      </c>
      <c r="I14" s="22">
        <f t="shared" si="1"/>
        <v>65300</v>
      </c>
      <c r="J14" s="21" t="str">
        <f t="shared" si="2"/>
        <v>m</v>
      </c>
      <c r="K14" s="23">
        <f t="shared" si="3"/>
        <v>2500000</v>
      </c>
      <c r="L14" s="21">
        <v>5.3</v>
      </c>
      <c r="M14" s="22">
        <f t="shared" si="4"/>
        <v>31</v>
      </c>
      <c r="N14" s="23">
        <f t="shared" si="5"/>
        <v>80645.161290322576</v>
      </c>
      <c r="O14" s="23">
        <f t="shared" si="6"/>
        <v>2106.4516129032259</v>
      </c>
      <c r="P14" s="23">
        <f t="shared" si="7"/>
        <v>38.28483920367534</v>
      </c>
      <c r="Q14" s="21" t="str">
        <f>IF(ISNA(_xlfn.XLOOKUP(D14,'Same Seller Hist'!H:H,'Same Seller Hist'!H:H)),"Não","Sim")</f>
        <v>Não</v>
      </c>
      <c r="R14" s="21" t="str">
        <f>_xlfn.IFNA(_xlfn.XLOOKUP(D14,'Same Seller Hist'!D:D,'Same Seller Hist'!M:M),"Não Existe")</f>
        <v>Não Existe</v>
      </c>
    </row>
    <row r="15" spans="2:18" x14ac:dyDescent="0.35">
      <c r="C15" s="18">
        <v>45992</v>
      </c>
      <c r="D15" s="5" t="s">
        <v>331</v>
      </c>
      <c r="E15" s="5" t="s">
        <v>908</v>
      </c>
      <c r="F15" s="5" t="s">
        <v>1922</v>
      </c>
      <c r="G15" s="5" t="s">
        <v>2113</v>
      </c>
      <c r="H15" s="21" t="str">
        <f t="shared" si="0"/>
        <v>k</v>
      </c>
      <c r="I15" s="22">
        <f t="shared" si="1"/>
        <v>63200</v>
      </c>
      <c r="J15" s="21" t="str">
        <f t="shared" si="2"/>
        <v>m</v>
      </c>
      <c r="K15" s="23">
        <f t="shared" si="3"/>
        <v>3500000</v>
      </c>
      <c r="L15" s="21">
        <v>5.3</v>
      </c>
      <c r="M15" s="22">
        <f t="shared" si="4"/>
        <v>31</v>
      </c>
      <c r="N15" s="23">
        <f t="shared" si="5"/>
        <v>112903.22580645161</v>
      </c>
      <c r="O15" s="23">
        <f t="shared" si="6"/>
        <v>2038.7096774193549</v>
      </c>
      <c r="P15" s="23">
        <f t="shared" si="7"/>
        <v>55.379746835443036</v>
      </c>
      <c r="Q15" s="21" t="str">
        <f>IF(ISNA(_xlfn.XLOOKUP(D15,'Same Seller Hist'!H:H,'Same Seller Hist'!H:H)),"Não","Sim")</f>
        <v>Sim</v>
      </c>
      <c r="R15" s="21" t="str">
        <f>_xlfn.IFNA(_xlfn.XLOOKUP(D15,'Same Seller Hist'!D:D,'Same Seller Hist'!M:M),"Não Existe")</f>
        <v>Ativo</v>
      </c>
    </row>
    <row r="16" spans="2:18" hidden="1" x14ac:dyDescent="0.35">
      <c r="C16" s="18">
        <v>45992</v>
      </c>
      <c r="D16" s="5" t="s">
        <v>563</v>
      </c>
      <c r="E16" s="5" t="s">
        <v>913</v>
      </c>
      <c r="F16" s="5" t="s">
        <v>1923</v>
      </c>
      <c r="G16" s="5" t="s">
        <v>2114</v>
      </c>
      <c r="H16" s="21" t="str">
        <f t="shared" si="0"/>
        <v>k</v>
      </c>
      <c r="I16" s="22">
        <f t="shared" si="1"/>
        <v>62300</v>
      </c>
      <c r="J16" s="21" t="str">
        <f t="shared" si="2"/>
        <v>m</v>
      </c>
      <c r="K16" s="23">
        <f t="shared" si="3"/>
        <v>1600000</v>
      </c>
      <c r="L16" s="21">
        <v>5.3</v>
      </c>
      <c r="M16" s="22">
        <f t="shared" si="4"/>
        <v>31</v>
      </c>
      <c r="N16" s="23">
        <f t="shared" si="5"/>
        <v>51612.903225806454</v>
      </c>
      <c r="O16" s="23">
        <f t="shared" si="6"/>
        <v>2009.6774193548388</v>
      </c>
      <c r="P16" s="23">
        <f t="shared" si="7"/>
        <v>25.682182985553773</v>
      </c>
      <c r="Q16" s="21" t="str">
        <f>IF(ISNA(_xlfn.XLOOKUP(D16,'Same Seller Hist'!H:H,'Same Seller Hist'!H:H)),"Não","Sim")</f>
        <v>Não</v>
      </c>
      <c r="R16" s="21" t="str">
        <f>_xlfn.IFNA(_xlfn.XLOOKUP(D16,'Same Seller Hist'!D:D,'Same Seller Hist'!M:M),"Não Existe")</f>
        <v>Ativo</v>
      </c>
    </row>
    <row r="17" spans="3:18" x14ac:dyDescent="0.35">
      <c r="C17" s="18">
        <v>45992</v>
      </c>
      <c r="D17" s="5" t="s">
        <v>577</v>
      </c>
      <c r="E17" s="5" t="s">
        <v>939</v>
      </c>
      <c r="F17" s="5" t="s">
        <v>1924</v>
      </c>
      <c r="G17" s="5" t="s">
        <v>2115</v>
      </c>
      <c r="H17" s="21" t="str">
        <f t="shared" si="0"/>
        <v>k</v>
      </c>
      <c r="I17" s="22">
        <f t="shared" si="1"/>
        <v>60700</v>
      </c>
      <c r="J17" s="21" t="str">
        <f t="shared" si="2"/>
        <v>m</v>
      </c>
      <c r="K17" s="23">
        <f t="shared" si="3"/>
        <v>5400000</v>
      </c>
      <c r="L17" s="21">
        <v>5.3</v>
      </c>
      <c r="M17" s="22">
        <f t="shared" si="4"/>
        <v>31</v>
      </c>
      <c r="N17" s="23">
        <f t="shared" si="5"/>
        <v>174193.54838709679</v>
      </c>
      <c r="O17" s="23">
        <f t="shared" si="6"/>
        <v>1958.0645161290322</v>
      </c>
      <c r="P17" s="23">
        <f t="shared" si="7"/>
        <v>88.96210873146623</v>
      </c>
      <c r="Q17" s="21" t="str">
        <f>IF(ISNA(_xlfn.XLOOKUP(D17,'Same Seller Hist'!H:H,'Same Seller Hist'!H:H)),"Não","Sim")</f>
        <v>Sim</v>
      </c>
      <c r="R17" s="21" t="str">
        <f>_xlfn.IFNA(_xlfn.XLOOKUP(D17,'Same Seller Hist'!D:D,'Same Seller Hist'!M:M),"Não Existe")</f>
        <v>Ativo</v>
      </c>
    </row>
    <row r="18" spans="3:18" x14ac:dyDescent="0.35">
      <c r="C18" s="18">
        <v>45992</v>
      </c>
      <c r="D18" s="5" t="s">
        <v>82</v>
      </c>
      <c r="E18" s="5" t="s">
        <v>926</v>
      </c>
      <c r="F18" s="5" t="s">
        <v>1925</v>
      </c>
      <c r="G18" s="5" t="s">
        <v>2111</v>
      </c>
      <c r="H18" s="21" t="str">
        <f t="shared" si="0"/>
        <v>k</v>
      </c>
      <c r="I18" s="22">
        <f t="shared" si="1"/>
        <v>60100</v>
      </c>
      <c r="J18" s="21" t="str">
        <f t="shared" si="2"/>
        <v>m</v>
      </c>
      <c r="K18" s="23">
        <f t="shared" si="3"/>
        <v>4300000</v>
      </c>
      <c r="L18" s="21">
        <v>5.3</v>
      </c>
      <c r="M18" s="22">
        <f t="shared" si="4"/>
        <v>31</v>
      </c>
      <c r="N18" s="23">
        <f t="shared" si="5"/>
        <v>138709.67741935485</v>
      </c>
      <c r="O18" s="23">
        <f t="shared" si="6"/>
        <v>1938.7096774193549</v>
      </c>
      <c r="P18" s="23">
        <f t="shared" si="7"/>
        <v>71.547420965058237</v>
      </c>
      <c r="Q18" s="21" t="str">
        <f>IF(ISNA(_xlfn.XLOOKUP(D18,'Same Seller Hist'!H:H,'Same Seller Hist'!H:H)),"Não","Sim")</f>
        <v>Sim</v>
      </c>
      <c r="R18" s="21" t="str">
        <f>_xlfn.IFNA(_xlfn.XLOOKUP(D18,'Same Seller Hist'!D:D,'Same Seller Hist'!M:M),"Não Existe")</f>
        <v>Ativo</v>
      </c>
    </row>
    <row r="19" spans="3:18" hidden="1" x14ac:dyDescent="0.35">
      <c r="C19" s="18">
        <v>45992</v>
      </c>
      <c r="D19" s="5" t="s">
        <v>1736</v>
      </c>
      <c r="E19" s="5" t="s">
        <v>941</v>
      </c>
      <c r="F19" s="5" t="s">
        <v>1926</v>
      </c>
      <c r="G19" s="5" t="s">
        <v>2108</v>
      </c>
      <c r="H19" s="21" t="str">
        <f t="shared" si="0"/>
        <v>k</v>
      </c>
      <c r="I19" s="22">
        <f t="shared" si="1"/>
        <v>54000</v>
      </c>
      <c r="J19" s="21" t="str">
        <f t="shared" si="2"/>
        <v>m</v>
      </c>
      <c r="K19" s="23">
        <f t="shared" si="3"/>
        <v>2200000</v>
      </c>
      <c r="L19" s="21">
        <v>5.3</v>
      </c>
      <c r="M19" s="22">
        <f t="shared" si="4"/>
        <v>31</v>
      </c>
      <c r="N19" s="23">
        <f t="shared" si="5"/>
        <v>70967.741935483864</v>
      </c>
      <c r="O19" s="23">
        <f t="shared" si="6"/>
        <v>1741.9354838709678</v>
      </c>
      <c r="P19" s="23">
        <f t="shared" si="7"/>
        <v>40.740740740740733</v>
      </c>
      <c r="Q19" s="21" t="str">
        <f>IF(ISNA(_xlfn.XLOOKUP(D19,'Same Seller Hist'!H:H,'Same Seller Hist'!H:H)),"Não","Sim")</f>
        <v>Não</v>
      </c>
      <c r="R19" s="21" t="str">
        <f>_xlfn.IFNA(_xlfn.XLOOKUP(D19,'Same Seller Hist'!D:D,'Same Seller Hist'!M:M),"Não Existe")</f>
        <v>Não Existe</v>
      </c>
    </row>
    <row r="20" spans="3:18" x14ac:dyDescent="0.35">
      <c r="C20" s="18">
        <v>45992</v>
      </c>
      <c r="D20" s="5" t="s">
        <v>545</v>
      </c>
      <c r="E20" s="5" t="s">
        <v>911</v>
      </c>
      <c r="F20" s="5" t="s">
        <v>1926</v>
      </c>
      <c r="G20" s="5" t="s">
        <v>2116</v>
      </c>
      <c r="H20" s="21" t="str">
        <f t="shared" si="0"/>
        <v>k</v>
      </c>
      <c r="I20" s="22">
        <f t="shared" si="1"/>
        <v>54000</v>
      </c>
      <c r="J20" s="21" t="str">
        <f t="shared" si="2"/>
        <v>m</v>
      </c>
      <c r="K20" s="23">
        <f t="shared" si="3"/>
        <v>1000000</v>
      </c>
      <c r="L20" s="21">
        <v>5.3</v>
      </c>
      <c r="M20" s="22">
        <f t="shared" si="4"/>
        <v>31</v>
      </c>
      <c r="N20" s="23">
        <f t="shared" si="5"/>
        <v>32258.064516129034</v>
      </c>
      <c r="O20" s="23">
        <f t="shared" si="6"/>
        <v>1741.9354838709678</v>
      </c>
      <c r="P20" s="23">
        <f t="shared" si="7"/>
        <v>18.518518518518519</v>
      </c>
      <c r="Q20" s="21" t="str">
        <f>IF(ISNA(_xlfn.XLOOKUP(D20,'Same Seller Hist'!H:H,'Same Seller Hist'!H:H)),"Não","Sim")</f>
        <v>Sim</v>
      </c>
      <c r="R20" s="21" t="str">
        <f>_xlfn.IFNA(_xlfn.XLOOKUP(D20,'Same Seller Hist'!D:D,'Same Seller Hist'!M:M),"Não Existe")</f>
        <v>Ativo</v>
      </c>
    </row>
    <row r="21" spans="3:18" x14ac:dyDescent="0.35">
      <c r="C21" s="18">
        <v>45992</v>
      </c>
      <c r="D21" s="5" t="s">
        <v>512</v>
      </c>
      <c r="E21" s="5" t="s">
        <v>911</v>
      </c>
      <c r="F21" s="5" t="s">
        <v>1927</v>
      </c>
      <c r="G21" s="5" t="s">
        <v>2117</v>
      </c>
      <c r="H21" s="21" t="str">
        <f t="shared" si="0"/>
        <v>k</v>
      </c>
      <c r="I21" s="22">
        <f t="shared" si="1"/>
        <v>52300</v>
      </c>
      <c r="J21" s="21" t="str">
        <f t="shared" si="2"/>
        <v>k</v>
      </c>
      <c r="K21" s="23">
        <f t="shared" si="3"/>
        <v>844400</v>
      </c>
      <c r="L21" s="21">
        <v>5.3</v>
      </c>
      <c r="M21" s="22">
        <f t="shared" si="4"/>
        <v>31</v>
      </c>
      <c r="N21" s="23">
        <f t="shared" si="5"/>
        <v>27238.709677419356</v>
      </c>
      <c r="O21" s="23">
        <f t="shared" si="6"/>
        <v>1687.0967741935483</v>
      </c>
      <c r="P21" s="23">
        <f t="shared" si="7"/>
        <v>16.145315487571704</v>
      </c>
      <c r="Q21" s="21" t="str">
        <f>IF(ISNA(_xlfn.XLOOKUP(D21,'Same Seller Hist'!H:H,'Same Seller Hist'!H:H)),"Não","Sim")</f>
        <v>Sim</v>
      </c>
      <c r="R21" s="21" t="str">
        <f>_xlfn.IFNA(_xlfn.XLOOKUP(D21,'Same Seller Hist'!D:D,'Same Seller Hist'!M:M),"Não Existe")</f>
        <v>Ativo</v>
      </c>
    </row>
    <row r="22" spans="3:18" x14ac:dyDescent="0.35">
      <c r="C22" s="18">
        <v>45992</v>
      </c>
      <c r="D22" s="5" t="s">
        <v>712</v>
      </c>
      <c r="E22" s="5" t="s">
        <v>928</v>
      </c>
      <c r="F22" s="5" t="s">
        <v>1928</v>
      </c>
      <c r="G22" s="5" t="s">
        <v>2110</v>
      </c>
      <c r="H22" s="21" t="str">
        <f t="shared" si="0"/>
        <v>k</v>
      </c>
      <c r="I22" s="22">
        <f t="shared" si="1"/>
        <v>50400</v>
      </c>
      <c r="J22" s="21" t="str">
        <f t="shared" si="2"/>
        <v>m</v>
      </c>
      <c r="K22" s="23">
        <f t="shared" si="3"/>
        <v>1300000</v>
      </c>
      <c r="L22" s="21">
        <v>5.3</v>
      </c>
      <c r="M22" s="22">
        <f t="shared" si="4"/>
        <v>31</v>
      </c>
      <c r="N22" s="23">
        <f t="shared" si="5"/>
        <v>41935.483870967742</v>
      </c>
      <c r="O22" s="23">
        <f t="shared" si="6"/>
        <v>1625.8064516129032</v>
      </c>
      <c r="P22" s="23">
        <f t="shared" si="7"/>
        <v>25.793650793650794</v>
      </c>
      <c r="Q22" s="21" t="str">
        <f>IF(ISNA(_xlfn.XLOOKUP(D22,'Same Seller Hist'!H:H,'Same Seller Hist'!H:H)),"Não","Sim")</f>
        <v>Sim</v>
      </c>
      <c r="R22" s="21" t="str">
        <f>_xlfn.IFNA(_xlfn.XLOOKUP(D22,'Same Seller Hist'!D:D,'Same Seller Hist'!M:M),"Não Existe")</f>
        <v>Ativo</v>
      </c>
    </row>
    <row r="23" spans="3:18" x14ac:dyDescent="0.35">
      <c r="C23" s="18">
        <v>45992</v>
      </c>
      <c r="D23" s="5" t="s">
        <v>741</v>
      </c>
      <c r="E23" s="5" t="s">
        <v>926</v>
      </c>
      <c r="F23" s="5" t="s">
        <v>1929</v>
      </c>
      <c r="G23" s="5" t="s">
        <v>2110</v>
      </c>
      <c r="H23" s="21" t="str">
        <f t="shared" si="0"/>
        <v>k</v>
      </c>
      <c r="I23" s="22">
        <f t="shared" si="1"/>
        <v>48900</v>
      </c>
      <c r="J23" s="21" t="str">
        <f t="shared" si="2"/>
        <v>m</v>
      </c>
      <c r="K23" s="23">
        <f t="shared" si="3"/>
        <v>1300000</v>
      </c>
      <c r="L23" s="21">
        <v>5.3</v>
      </c>
      <c r="M23" s="22">
        <f t="shared" si="4"/>
        <v>31</v>
      </c>
      <c r="N23" s="23">
        <f t="shared" si="5"/>
        <v>41935.483870967742</v>
      </c>
      <c r="O23" s="23">
        <f t="shared" si="6"/>
        <v>1577.4193548387098</v>
      </c>
      <c r="P23" s="23">
        <f t="shared" si="7"/>
        <v>26.584867075664622</v>
      </c>
      <c r="Q23" s="21" t="str">
        <f>IF(ISNA(_xlfn.XLOOKUP(D23,'Same Seller Hist'!H:H,'Same Seller Hist'!H:H)),"Não","Sim")</f>
        <v>Sim</v>
      </c>
      <c r="R23" s="21" t="str">
        <f>_xlfn.IFNA(_xlfn.XLOOKUP(D23,'Same Seller Hist'!D:D,'Same Seller Hist'!M:M),"Não Existe")</f>
        <v>Ativo</v>
      </c>
    </row>
    <row r="24" spans="3:18" hidden="1" x14ac:dyDescent="0.35">
      <c r="C24" s="18">
        <v>45992</v>
      </c>
      <c r="D24" s="5" t="s">
        <v>1737</v>
      </c>
      <c r="E24" s="5" t="s">
        <v>913</v>
      </c>
      <c r="F24" s="5" t="s">
        <v>1930</v>
      </c>
      <c r="G24" s="5" t="s">
        <v>2118</v>
      </c>
      <c r="H24" s="21" t="str">
        <f t="shared" si="0"/>
        <v>k</v>
      </c>
      <c r="I24" s="22">
        <f t="shared" si="1"/>
        <v>47600</v>
      </c>
      <c r="J24" s="21" t="str">
        <f t="shared" si="2"/>
        <v>m</v>
      </c>
      <c r="K24" s="23">
        <f t="shared" si="3"/>
        <v>1100000</v>
      </c>
      <c r="L24" s="21">
        <v>5.3</v>
      </c>
      <c r="M24" s="22">
        <f t="shared" si="4"/>
        <v>31</v>
      </c>
      <c r="N24" s="23">
        <f t="shared" si="5"/>
        <v>35483.870967741932</v>
      </c>
      <c r="O24" s="23">
        <f t="shared" si="6"/>
        <v>1535.483870967742</v>
      </c>
      <c r="P24" s="23">
        <f t="shared" si="7"/>
        <v>23.109243697478988</v>
      </c>
      <c r="Q24" s="21" t="str">
        <f>IF(ISNA(_xlfn.XLOOKUP(D24,'Same Seller Hist'!H:H,'Same Seller Hist'!H:H)),"Não","Sim")</f>
        <v>Não</v>
      </c>
      <c r="R24" s="21" t="str">
        <f>_xlfn.IFNA(_xlfn.XLOOKUP(D24,'Same Seller Hist'!D:D,'Same Seller Hist'!M:M),"Não Existe")</f>
        <v>Não Existe</v>
      </c>
    </row>
    <row r="25" spans="3:18" hidden="1" x14ac:dyDescent="0.35">
      <c r="C25" s="18">
        <v>45992</v>
      </c>
      <c r="D25" s="5" t="s">
        <v>1738</v>
      </c>
      <c r="E25" s="5" t="s">
        <v>942</v>
      </c>
      <c r="F25" s="5" t="s">
        <v>1931</v>
      </c>
      <c r="G25" s="5" t="s">
        <v>2119</v>
      </c>
      <c r="H25" s="21" t="str">
        <f t="shared" si="0"/>
        <v>k</v>
      </c>
      <c r="I25" s="22">
        <f t="shared" si="1"/>
        <v>45300</v>
      </c>
      <c r="J25" s="21" t="str">
        <f t="shared" si="2"/>
        <v>m</v>
      </c>
      <c r="K25" s="23">
        <f t="shared" si="3"/>
        <v>1500000</v>
      </c>
      <c r="L25" s="21">
        <v>5.3</v>
      </c>
      <c r="M25" s="22">
        <f t="shared" si="4"/>
        <v>31</v>
      </c>
      <c r="N25" s="23">
        <f t="shared" si="5"/>
        <v>48387.096774193546</v>
      </c>
      <c r="O25" s="23">
        <f t="shared" si="6"/>
        <v>1461.2903225806451</v>
      </c>
      <c r="P25" s="23">
        <f t="shared" si="7"/>
        <v>33.11258278145695</v>
      </c>
      <c r="Q25" s="21" t="str">
        <f>IF(ISNA(_xlfn.XLOOKUP(D25,'Same Seller Hist'!H:H,'Same Seller Hist'!H:H)),"Não","Sim")</f>
        <v>Não</v>
      </c>
      <c r="R25" s="21" t="str">
        <f>_xlfn.IFNA(_xlfn.XLOOKUP(D25,'Same Seller Hist'!D:D,'Same Seller Hist'!M:M),"Não Existe")</f>
        <v>Não Existe</v>
      </c>
    </row>
    <row r="26" spans="3:18" hidden="1" x14ac:dyDescent="0.35">
      <c r="C26" s="18">
        <v>45992</v>
      </c>
      <c r="D26" s="5" t="s">
        <v>746</v>
      </c>
      <c r="E26" s="5" t="s">
        <v>1914</v>
      </c>
      <c r="F26" s="5" t="s">
        <v>1932</v>
      </c>
      <c r="G26" s="5" t="s">
        <v>2120</v>
      </c>
      <c r="H26" s="21" t="str">
        <f t="shared" si="0"/>
        <v>k</v>
      </c>
      <c r="I26" s="22">
        <f t="shared" si="1"/>
        <v>41200</v>
      </c>
      <c r="J26" s="21" t="str">
        <f t="shared" si="2"/>
        <v>m</v>
      </c>
      <c r="K26" s="23">
        <f t="shared" si="3"/>
        <v>2100000</v>
      </c>
      <c r="L26" s="21">
        <v>5.3</v>
      </c>
      <c r="M26" s="22">
        <f t="shared" si="4"/>
        <v>31</v>
      </c>
      <c r="N26" s="23">
        <f t="shared" si="5"/>
        <v>67741.93548387097</v>
      </c>
      <c r="O26" s="23">
        <f t="shared" si="6"/>
        <v>1329.0322580645161</v>
      </c>
      <c r="P26" s="23">
        <f t="shared" si="7"/>
        <v>50.970873786407772</v>
      </c>
      <c r="Q26" s="21" t="str">
        <f>IF(ISNA(_xlfn.XLOOKUP(D26,'Same Seller Hist'!H:H,'Same Seller Hist'!H:H)),"Não","Sim")</f>
        <v>Não</v>
      </c>
      <c r="R26" s="21" t="str">
        <f>_xlfn.IFNA(_xlfn.XLOOKUP(D26,'Same Seller Hist'!D:D,'Same Seller Hist'!M:M),"Não Existe")</f>
        <v>Ativo</v>
      </c>
    </row>
    <row r="27" spans="3:18" hidden="1" x14ac:dyDescent="0.35">
      <c r="C27" s="18">
        <v>45992</v>
      </c>
      <c r="D27" s="5" t="s">
        <v>1739</v>
      </c>
      <c r="E27" s="5" t="s">
        <v>926</v>
      </c>
      <c r="F27" s="5" t="s">
        <v>1933</v>
      </c>
      <c r="G27" s="5" t="s">
        <v>2121</v>
      </c>
      <c r="H27" s="21" t="str">
        <f t="shared" si="0"/>
        <v>k</v>
      </c>
      <c r="I27" s="22">
        <f t="shared" si="1"/>
        <v>40800</v>
      </c>
      <c r="J27" s="21" t="str">
        <f t="shared" si="2"/>
        <v>m</v>
      </c>
      <c r="K27" s="23">
        <f t="shared" si="3"/>
        <v>1400000</v>
      </c>
      <c r="L27" s="21">
        <v>5.3</v>
      </c>
      <c r="M27" s="22">
        <f t="shared" si="4"/>
        <v>31</v>
      </c>
      <c r="N27" s="23">
        <f t="shared" si="5"/>
        <v>45161.290322580644</v>
      </c>
      <c r="O27" s="23">
        <f t="shared" si="6"/>
        <v>1316.1290322580646</v>
      </c>
      <c r="P27" s="23">
        <f t="shared" si="7"/>
        <v>34.313725490196077</v>
      </c>
      <c r="Q27" s="21" t="str">
        <f>IF(ISNA(_xlfn.XLOOKUP(D27,'Same Seller Hist'!H:H,'Same Seller Hist'!H:H)),"Não","Sim")</f>
        <v>Não</v>
      </c>
      <c r="R27" s="21" t="str">
        <f>_xlfn.IFNA(_xlfn.XLOOKUP(D27,'Same Seller Hist'!D:D,'Same Seller Hist'!M:M),"Não Existe")</f>
        <v>Não Existe</v>
      </c>
    </row>
    <row r="28" spans="3:18" x14ac:dyDescent="0.35">
      <c r="C28" s="18">
        <v>45992</v>
      </c>
      <c r="D28" s="5" t="s">
        <v>136</v>
      </c>
      <c r="E28" s="5" t="s">
        <v>908</v>
      </c>
      <c r="F28" s="5" t="s">
        <v>1934</v>
      </c>
      <c r="G28" s="5" t="s">
        <v>2122</v>
      </c>
      <c r="H28" s="21" t="str">
        <f t="shared" si="0"/>
        <v>k</v>
      </c>
      <c r="I28" s="22">
        <f t="shared" si="1"/>
        <v>38900</v>
      </c>
      <c r="J28" s="21" t="str">
        <f t="shared" si="2"/>
        <v>k</v>
      </c>
      <c r="K28" s="23">
        <f t="shared" si="3"/>
        <v>540600</v>
      </c>
      <c r="L28" s="21">
        <v>5.3</v>
      </c>
      <c r="M28" s="22">
        <f t="shared" si="4"/>
        <v>31</v>
      </c>
      <c r="N28" s="23">
        <f t="shared" si="5"/>
        <v>17438.709677419356</v>
      </c>
      <c r="O28" s="23">
        <f t="shared" si="6"/>
        <v>1254.8387096774193</v>
      </c>
      <c r="P28" s="23">
        <f t="shared" si="7"/>
        <v>13.897172236503858</v>
      </c>
      <c r="Q28" s="21" t="str">
        <f>IF(ISNA(_xlfn.XLOOKUP(D28,'Same Seller Hist'!H:H,'Same Seller Hist'!H:H)),"Não","Sim")</f>
        <v>Sim</v>
      </c>
      <c r="R28" s="21" t="str">
        <f>_xlfn.IFNA(_xlfn.XLOOKUP(D28,'Same Seller Hist'!D:D,'Same Seller Hist'!M:M),"Não Existe")</f>
        <v>Ativo</v>
      </c>
    </row>
    <row r="29" spans="3:18" x14ac:dyDescent="0.35">
      <c r="C29" s="18">
        <v>45992</v>
      </c>
      <c r="D29" s="5" t="s">
        <v>211</v>
      </c>
      <c r="E29" s="5" t="s">
        <v>941</v>
      </c>
      <c r="F29" s="5" t="s">
        <v>1935</v>
      </c>
      <c r="G29" s="5" t="s">
        <v>2110</v>
      </c>
      <c r="H29" s="21" t="str">
        <f t="shared" si="0"/>
        <v>k</v>
      </c>
      <c r="I29" s="22">
        <f t="shared" si="1"/>
        <v>38700</v>
      </c>
      <c r="J29" s="21" t="str">
        <f t="shared" si="2"/>
        <v>m</v>
      </c>
      <c r="K29" s="23">
        <f t="shared" si="3"/>
        <v>1300000</v>
      </c>
      <c r="L29" s="21">
        <v>5.3</v>
      </c>
      <c r="M29" s="22">
        <f t="shared" si="4"/>
        <v>31</v>
      </c>
      <c r="N29" s="23">
        <f t="shared" si="5"/>
        <v>41935.483870967742</v>
      </c>
      <c r="O29" s="23">
        <f t="shared" si="6"/>
        <v>1248.3870967741937</v>
      </c>
      <c r="P29" s="23">
        <f t="shared" si="7"/>
        <v>33.591731266149871</v>
      </c>
      <c r="Q29" s="21" t="str">
        <f>IF(ISNA(_xlfn.XLOOKUP(D29,'Same Seller Hist'!H:H,'Same Seller Hist'!H:H)),"Não","Sim")</f>
        <v>Sim</v>
      </c>
      <c r="R29" s="21" t="str">
        <f>_xlfn.IFNA(_xlfn.XLOOKUP(D29,'Same Seller Hist'!D:D,'Same Seller Hist'!M:M),"Não Existe")</f>
        <v>Ativo</v>
      </c>
    </row>
    <row r="30" spans="3:18" hidden="1" x14ac:dyDescent="0.35">
      <c r="C30" s="18">
        <v>45992</v>
      </c>
      <c r="D30" s="5" t="s">
        <v>1740</v>
      </c>
      <c r="E30" s="5" t="s">
        <v>913</v>
      </c>
      <c r="F30" s="5" t="s">
        <v>1936</v>
      </c>
      <c r="G30" s="5" t="s">
        <v>2123</v>
      </c>
      <c r="H30" s="21" t="str">
        <f t="shared" si="0"/>
        <v>k</v>
      </c>
      <c r="I30" s="22">
        <f t="shared" si="1"/>
        <v>36400</v>
      </c>
      <c r="J30" s="21" t="str">
        <f t="shared" si="2"/>
        <v>m</v>
      </c>
      <c r="K30" s="23">
        <f t="shared" si="3"/>
        <v>1900000</v>
      </c>
      <c r="L30" s="21">
        <v>5.3</v>
      </c>
      <c r="M30" s="22">
        <f t="shared" si="4"/>
        <v>31</v>
      </c>
      <c r="N30" s="23">
        <f t="shared" si="5"/>
        <v>61290.322580645159</v>
      </c>
      <c r="O30" s="23">
        <f t="shared" si="6"/>
        <v>1174.1935483870968</v>
      </c>
      <c r="P30" s="23">
        <f t="shared" si="7"/>
        <v>52.197802197802197</v>
      </c>
      <c r="Q30" s="21" t="str">
        <f>IF(ISNA(_xlfn.XLOOKUP(D30,'Same Seller Hist'!H:H,'Same Seller Hist'!H:H)),"Não","Sim")</f>
        <v>Não</v>
      </c>
      <c r="R30" s="21" t="str">
        <f>_xlfn.IFNA(_xlfn.XLOOKUP(D30,'Same Seller Hist'!D:D,'Same Seller Hist'!M:M),"Não Existe")</f>
        <v>Não Existe</v>
      </c>
    </row>
    <row r="31" spans="3:18" hidden="1" x14ac:dyDescent="0.35">
      <c r="C31" s="18">
        <v>45992</v>
      </c>
      <c r="D31" s="5" t="s">
        <v>448</v>
      </c>
      <c r="E31" s="5" t="s">
        <v>1275</v>
      </c>
      <c r="F31" s="5" t="s">
        <v>1937</v>
      </c>
      <c r="G31" s="5" t="s">
        <v>2108</v>
      </c>
      <c r="H31" s="21" t="str">
        <f t="shared" si="0"/>
        <v>k</v>
      </c>
      <c r="I31" s="22">
        <f t="shared" si="1"/>
        <v>36300</v>
      </c>
      <c r="J31" s="21" t="str">
        <f t="shared" si="2"/>
        <v>m</v>
      </c>
      <c r="K31" s="23">
        <f t="shared" si="3"/>
        <v>2200000</v>
      </c>
      <c r="L31" s="21">
        <v>5.3</v>
      </c>
      <c r="M31" s="22">
        <f t="shared" si="4"/>
        <v>31</v>
      </c>
      <c r="N31" s="23">
        <f t="shared" si="5"/>
        <v>70967.741935483864</v>
      </c>
      <c r="O31" s="23">
        <f t="shared" si="6"/>
        <v>1170.9677419354839</v>
      </c>
      <c r="P31" s="23">
        <f t="shared" si="7"/>
        <v>60.606060606060602</v>
      </c>
      <c r="Q31" s="21" t="str">
        <f>IF(ISNA(_xlfn.XLOOKUP(D31,'Same Seller Hist'!H:H,'Same Seller Hist'!H:H)),"Não","Sim")</f>
        <v>Não</v>
      </c>
      <c r="R31" s="21" t="str">
        <f>_xlfn.IFNA(_xlfn.XLOOKUP(D31,'Same Seller Hist'!D:D,'Same Seller Hist'!M:M),"Não Existe")</f>
        <v>Ativo</v>
      </c>
    </row>
    <row r="32" spans="3:18" x14ac:dyDescent="0.35">
      <c r="C32" s="18">
        <v>45992</v>
      </c>
      <c r="D32" s="5" t="s">
        <v>291</v>
      </c>
      <c r="E32" s="5" t="s">
        <v>911</v>
      </c>
      <c r="F32" s="5" t="s">
        <v>1938</v>
      </c>
      <c r="G32" s="5" t="s">
        <v>2116</v>
      </c>
      <c r="H32" s="21" t="str">
        <f t="shared" si="0"/>
        <v>k</v>
      </c>
      <c r="I32" s="22">
        <f t="shared" si="1"/>
        <v>35800</v>
      </c>
      <c r="J32" s="21" t="str">
        <f t="shared" si="2"/>
        <v>m</v>
      </c>
      <c r="K32" s="23">
        <f t="shared" si="3"/>
        <v>1000000</v>
      </c>
      <c r="L32" s="21">
        <v>5.3</v>
      </c>
      <c r="M32" s="22">
        <f t="shared" si="4"/>
        <v>31</v>
      </c>
      <c r="N32" s="23">
        <f t="shared" si="5"/>
        <v>32258.064516129034</v>
      </c>
      <c r="O32" s="23">
        <f t="shared" si="6"/>
        <v>1154.8387096774193</v>
      </c>
      <c r="P32" s="23">
        <f t="shared" si="7"/>
        <v>27.932960893854752</v>
      </c>
      <c r="Q32" s="21" t="str">
        <f>IF(ISNA(_xlfn.XLOOKUP(D32,'Same Seller Hist'!H:H,'Same Seller Hist'!H:H)),"Não","Sim")</f>
        <v>Sim</v>
      </c>
      <c r="R32" s="21" t="str">
        <f>_xlfn.IFNA(_xlfn.XLOOKUP(D32,'Same Seller Hist'!D:D,'Same Seller Hist'!M:M),"Não Existe")</f>
        <v>Ativo</v>
      </c>
    </row>
    <row r="33" spans="3:18" x14ac:dyDescent="0.35">
      <c r="C33" s="18">
        <v>45992</v>
      </c>
      <c r="D33" s="5" t="s">
        <v>367</v>
      </c>
      <c r="E33" s="5" t="s">
        <v>913</v>
      </c>
      <c r="F33" s="5" t="s">
        <v>1939</v>
      </c>
      <c r="G33" s="5" t="s">
        <v>2114</v>
      </c>
      <c r="H33" s="21" t="str">
        <f t="shared" si="0"/>
        <v>k</v>
      </c>
      <c r="I33" s="22">
        <f t="shared" si="1"/>
        <v>35500</v>
      </c>
      <c r="J33" s="21" t="str">
        <f t="shared" si="2"/>
        <v>m</v>
      </c>
      <c r="K33" s="23">
        <f t="shared" si="3"/>
        <v>1600000</v>
      </c>
      <c r="L33" s="21">
        <v>5.3</v>
      </c>
      <c r="M33" s="22">
        <f t="shared" si="4"/>
        <v>31</v>
      </c>
      <c r="N33" s="23">
        <f t="shared" si="5"/>
        <v>51612.903225806454</v>
      </c>
      <c r="O33" s="23">
        <f t="shared" si="6"/>
        <v>1145.1612903225807</v>
      </c>
      <c r="P33" s="23">
        <f t="shared" si="7"/>
        <v>45.070422535211264</v>
      </c>
      <c r="Q33" s="21" t="str">
        <f>IF(ISNA(_xlfn.XLOOKUP(D33,'Same Seller Hist'!H:H,'Same Seller Hist'!H:H)),"Não","Sim")</f>
        <v>Sim</v>
      </c>
      <c r="R33" s="21" t="str">
        <f>_xlfn.IFNA(_xlfn.XLOOKUP(D33,'Same Seller Hist'!D:D,'Same Seller Hist'!M:M),"Não Existe")</f>
        <v>Ativo</v>
      </c>
    </row>
    <row r="34" spans="3:18" x14ac:dyDescent="0.35">
      <c r="C34" s="18">
        <v>45992</v>
      </c>
      <c r="D34" s="5" t="s">
        <v>553</v>
      </c>
      <c r="E34" s="5" t="s">
        <v>908</v>
      </c>
      <c r="F34" s="5" t="s">
        <v>1940</v>
      </c>
      <c r="G34" s="5" t="s">
        <v>2124</v>
      </c>
      <c r="H34" s="21" t="str">
        <f t="shared" si="0"/>
        <v>k</v>
      </c>
      <c r="I34" s="22">
        <f t="shared" si="1"/>
        <v>34600</v>
      </c>
      <c r="J34" s="21" t="str">
        <f t="shared" si="2"/>
        <v>k</v>
      </c>
      <c r="K34" s="23">
        <f t="shared" si="3"/>
        <v>931100</v>
      </c>
      <c r="L34" s="21">
        <v>5.3</v>
      </c>
      <c r="M34" s="22">
        <f t="shared" si="4"/>
        <v>31</v>
      </c>
      <c r="N34" s="23">
        <f t="shared" si="5"/>
        <v>30035.483870967742</v>
      </c>
      <c r="O34" s="23">
        <f t="shared" si="6"/>
        <v>1116.1290322580646</v>
      </c>
      <c r="P34" s="23">
        <f t="shared" si="7"/>
        <v>26.910404624277454</v>
      </c>
      <c r="Q34" s="21" t="str">
        <f>IF(ISNA(_xlfn.XLOOKUP(D34,'Same Seller Hist'!H:H,'Same Seller Hist'!H:H)),"Não","Sim")</f>
        <v>Sim</v>
      </c>
      <c r="R34" s="21" t="str">
        <f>_xlfn.IFNA(_xlfn.XLOOKUP(D34,'Same Seller Hist'!D:D,'Same Seller Hist'!M:M),"Não Existe")</f>
        <v>Ativo</v>
      </c>
    </row>
    <row r="35" spans="3:18" x14ac:dyDescent="0.35">
      <c r="C35" s="18">
        <v>45992</v>
      </c>
      <c r="D35" s="5" t="s">
        <v>139</v>
      </c>
      <c r="E35" s="5" t="s">
        <v>936</v>
      </c>
      <c r="F35" s="5" t="s">
        <v>1940</v>
      </c>
      <c r="G35" s="5" t="s">
        <v>2125</v>
      </c>
      <c r="H35" s="21" t="str">
        <f t="shared" si="0"/>
        <v>k</v>
      </c>
      <c r="I35" s="22">
        <f t="shared" si="1"/>
        <v>34600</v>
      </c>
      <c r="J35" s="21" t="str">
        <f t="shared" si="2"/>
        <v>k</v>
      </c>
      <c r="K35" s="23">
        <f t="shared" si="3"/>
        <v>865900</v>
      </c>
      <c r="L35" s="21">
        <v>5.3</v>
      </c>
      <c r="M35" s="22">
        <f t="shared" si="4"/>
        <v>31</v>
      </c>
      <c r="N35" s="23">
        <f t="shared" si="5"/>
        <v>27932.258064516129</v>
      </c>
      <c r="O35" s="23">
        <f t="shared" si="6"/>
        <v>1116.1290322580646</v>
      </c>
      <c r="P35" s="23">
        <f t="shared" si="7"/>
        <v>25.02601156069364</v>
      </c>
      <c r="Q35" s="21" t="str">
        <f>IF(ISNA(_xlfn.XLOOKUP(D35,'Same Seller Hist'!H:H,'Same Seller Hist'!H:H)),"Não","Sim")</f>
        <v>Sim</v>
      </c>
      <c r="R35" s="21" t="str">
        <f>_xlfn.IFNA(_xlfn.XLOOKUP(D35,'Same Seller Hist'!D:D,'Same Seller Hist'!M:M),"Não Existe")</f>
        <v>Ativo</v>
      </c>
    </row>
    <row r="36" spans="3:18" x14ac:dyDescent="0.35">
      <c r="C36" s="18">
        <v>45992</v>
      </c>
      <c r="D36" s="5" t="s">
        <v>583</v>
      </c>
      <c r="E36" s="5" t="s">
        <v>941</v>
      </c>
      <c r="F36" s="5" t="s">
        <v>1941</v>
      </c>
      <c r="G36" s="5" t="s">
        <v>2126</v>
      </c>
      <c r="H36" s="21" t="str">
        <f t="shared" si="0"/>
        <v>k</v>
      </c>
      <c r="I36" s="22">
        <f t="shared" si="1"/>
        <v>34200</v>
      </c>
      <c r="J36" s="21" t="str">
        <f t="shared" si="2"/>
        <v>m</v>
      </c>
      <c r="K36" s="23">
        <f t="shared" si="3"/>
        <v>5000000</v>
      </c>
      <c r="L36" s="21">
        <v>5.3</v>
      </c>
      <c r="M36" s="22">
        <f t="shared" si="4"/>
        <v>31</v>
      </c>
      <c r="N36" s="23">
        <f t="shared" si="5"/>
        <v>161290.32258064515</v>
      </c>
      <c r="O36" s="23">
        <f t="shared" si="6"/>
        <v>1103.2258064516129</v>
      </c>
      <c r="P36" s="23">
        <f t="shared" si="7"/>
        <v>146.1988304093567</v>
      </c>
      <c r="Q36" s="21" t="str">
        <f>IF(ISNA(_xlfn.XLOOKUP(D36,'Same Seller Hist'!H:H,'Same Seller Hist'!H:H)),"Não","Sim")</f>
        <v>Sim</v>
      </c>
      <c r="R36" s="21" t="str">
        <f>_xlfn.IFNA(_xlfn.XLOOKUP(D36,'Same Seller Hist'!D:D,'Same Seller Hist'!M:M),"Não Existe")</f>
        <v>Ativo</v>
      </c>
    </row>
    <row r="37" spans="3:18" x14ac:dyDescent="0.35">
      <c r="C37" s="18">
        <v>45992</v>
      </c>
      <c r="D37" s="5" t="s">
        <v>181</v>
      </c>
      <c r="E37" s="5" t="s">
        <v>911</v>
      </c>
      <c r="F37" s="5" t="s">
        <v>1942</v>
      </c>
      <c r="G37" s="5" t="s">
        <v>2121</v>
      </c>
      <c r="H37" s="21" t="str">
        <f t="shared" si="0"/>
        <v>k</v>
      </c>
      <c r="I37" s="22">
        <f t="shared" si="1"/>
        <v>33600</v>
      </c>
      <c r="J37" s="21" t="str">
        <f t="shared" si="2"/>
        <v>m</v>
      </c>
      <c r="K37" s="23">
        <f t="shared" si="3"/>
        <v>1400000</v>
      </c>
      <c r="L37" s="21">
        <v>5.3</v>
      </c>
      <c r="M37" s="22">
        <f t="shared" si="4"/>
        <v>31</v>
      </c>
      <c r="N37" s="23">
        <f t="shared" si="5"/>
        <v>45161.290322580644</v>
      </c>
      <c r="O37" s="23">
        <f t="shared" si="6"/>
        <v>1083.8709677419354</v>
      </c>
      <c r="P37" s="23">
        <f t="shared" si="7"/>
        <v>41.666666666666671</v>
      </c>
      <c r="Q37" s="21" t="str">
        <f>IF(ISNA(_xlfn.XLOOKUP(D37,'Same Seller Hist'!H:H,'Same Seller Hist'!H:H)),"Não","Sim")</f>
        <v>Sim</v>
      </c>
      <c r="R37" s="21" t="str">
        <f>_xlfn.IFNA(_xlfn.XLOOKUP(D37,'Same Seller Hist'!D:D,'Same Seller Hist'!M:M),"Não Existe")</f>
        <v>Ativo</v>
      </c>
    </row>
    <row r="38" spans="3:18" x14ac:dyDescent="0.35">
      <c r="C38" s="18">
        <v>45992</v>
      </c>
      <c r="D38" s="5" t="s">
        <v>342</v>
      </c>
      <c r="E38" s="5" t="s">
        <v>908</v>
      </c>
      <c r="F38" s="5" t="s">
        <v>1943</v>
      </c>
      <c r="G38" s="5" t="s">
        <v>2123</v>
      </c>
      <c r="H38" s="21" t="str">
        <f t="shared" si="0"/>
        <v>k</v>
      </c>
      <c r="I38" s="22">
        <f t="shared" si="1"/>
        <v>32100</v>
      </c>
      <c r="J38" s="21" t="str">
        <f t="shared" si="2"/>
        <v>m</v>
      </c>
      <c r="K38" s="23">
        <f t="shared" si="3"/>
        <v>1900000</v>
      </c>
      <c r="L38" s="21">
        <v>5.3</v>
      </c>
      <c r="M38" s="22">
        <f t="shared" si="4"/>
        <v>31</v>
      </c>
      <c r="N38" s="23">
        <f t="shared" si="5"/>
        <v>61290.322580645159</v>
      </c>
      <c r="O38" s="23">
        <f t="shared" si="6"/>
        <v>1035.483870967742</v>
      </c>
      <c r="P38" s="23">
        <f t="shared" si="7"/>
        <v>59.190031152647975</v>
      </c>
      <c r="Q38" s="21" t="str">
        <f>IF(ISNA(_xlfn.XLOOKUP(D38,'Same Seller Hist'!H:H,'Same Seller Hist'!H:H)),"Não","Sim")</f>
        <v>Sim</v>
      </c>
      <c r="R38" s="21" t="str">
        <f>_xlfn.IFNA(_xlfn.XLOOKUP(D38,'Same Seller Hist'!D:D,'Same Seller Hist'!M:M),"Não Existe")</f>
        <v>Ativo</v>
      </c>
    </row>
    <row r="39" spans="3:18" x14ac:dyDescent="0.35">
      <c r="C39" s="18">
        <v>45992</v>
      </c>
      <c r="D39" s="5" t="s">
        <v>118</v>
      </c>
      <c r="E39" s="5" t="s">
        <v>926</v>
      </c>
      <c r="F39" s="5" t="s">
        <v>1943</v>
      </c>
      <c r="G39" s="5" t="s">
        <v>2127</v>
      </c>
      <c r="H39" s="21" t="str">
        <f t="shared" si="0"/>
        <v>k</v>
      </c>
      <c r="I39" s="22">
        <f t="shared" si="1"/>
        <v>32100</v>
      </c>
      <c r="J39" s="21" t="str">
        <f t="shared" si="2"/>
        <v>m</v>
      </c>
      <c r="K39" s="23">
        <f t="shared" si="3"/>
        <v>2600000</v>
      </c>
      <c r="L39" s="21">
        <v>5.3</v>
      </c>
      <c r="M39" s="22">
        <f t="shared" si="4"/>
        <v>31</v>
      </c>
      <c r="N39" s="23">
        <f t="shared" si="5"/>
        <v>83870.967741935485</v>
      </c>
      <c r="O39" s="23">
        <f t="shared" si="6"/>
        <v>1035.483870967742</v>
      </c>
      <c r="P39" s="23">
        <f t="shared" si="7"/>
        <v>80.996884735202485</v>
      </c>
      <c r="Q39" s="21" t="str">
        <f>IF(ISNA(_xlfn.XLOOKUP(D39,'Same Seller Hist'!H:H,'Same Seller Hist'!H:H)),"Não","Sim")</f>
        <v>Sim</v>
      </c>
      <c r="R39" s="21" t="str">
        <f>_xlfn.IFNA(_xlfn.XLOOKUP(D39,'Same Seller Hist'!D:D,'Same Seller Hist'!M:M),"Não Existe")</f>
        <v>Ativo</v>
      </c>
    </row>
    <row r="40" spans="3:18" x14ac:dyDescent="0.35">
      <c r="C40" s="18">
        <v>45992</v>
      </c>
      <c r="D40" s="5" t="s">
        <v>763</v>
      </c>
      <c r="E40" s="5" t="s">
        <v>933</v>
      </c>
      <c r="F40" s="5" t="s">
        <v>1943</v>
      </c>
      <c r="G40" s="5" t="s">
        <v>2128</v>
      </c>
      <c r="H40" s="21" t="str">
        <f t="shared" si="0"/>
        <v>k</v>
      </c>
      <c r="I40" s="22">
        <f t="shared" si="1"/>
        <v>32100</v>
      </c>
      <c r="J40" s="21" t="str">
        <f t="shared" si="2"/>
        <v>m</v>
      </c>
      <c r="K40" s="23">
        <f t="shared" si="3"/>
        <v>1800000</v>
      </c>
      <c r="L40" s="21">
        <v>5.3</v>
      </c>
      <c r="M40" s="22">
        <f t="shared" si="4"/>
        <v>31</v>
      </c>
      <c r="N40" s="23">
        <f t="shared" si="5"/>
        <v>58064.516129032258</v>
      </c>
      <c r="O40" s="23">
        <f t="shared" si="6"/>
        <v>1035.483870967742</v>
      </c>
      <c r="P40" s="23">
        <f t="shared" si="7"/>
        <v>56.074766355140184</v>
      </c>
      <c r="Q40" s="21" t="str">
        <f>IF(ISNA(_xlfn.XLOOKUP(D40,'Same Seller Hist'!H:H,'Same Seller Hist'!H:H)),"Não","Sim")</f>
        <v>Sim</v>
      </c>
      <c r="R40" s="21" t="str">
        <f>_xlfn.IFNA(_xlfn.XLOOKUP(D40,'Same Seller Hist'!D:D,'Same Seller Hist'!M:M),"Não Existe")</f>
        <v>Ativo</v>
      </c>
    </row>
    <row r="41" spans="3:18" hidden="1" x14ac:dyDescent="0.35">
      <c r="C41" s="18">
        <v>45992</v>
      </c>
      <c r="D41" s="5" t="s">
        <v>1741</v>
      </c>
      <c r="E41" s="5" t="s">
        <v>926</v>
      </c>
      <c r="F41" s="5" t="s">
        <v>1944</v>
      </c>
      <c r="G41" s="5" t="s">
        <v>2129</v>
      </c>
      <c r="H41" s="21" t="str">
        <f t="shared" si="0"/>
        <v>k</v>
      </c>
      <c r="I41" s="22">
        <f t="shared" si="1"/>
        <v>31300</v>
      </c>
      <c r="J41" s="21" t="str">
        <f t="shared" si="2"/>
        <v>m</v>
      </c>
      <c r="K41" s="23">
        <f t="shared" si="3"/>
        <v>2800000</v>
      </c>
      <c r="L41" s="21">
        <v>5.3</v>
      </c>
      <c r="M41" s="22">
        <f t="shared" si="4"/>
        <v>31</v>
      </c>
      <c r="N41" s="23">
        <f t="shared" si="5"/>
        <v>90322.580645161288</v>
      </c>
      <c r="O41" s="23">
        <f t="shared" si="6"/>
        <v>1009.6774193548387</v>
      </c>
      <c r="P41" s="23">
        <f t="shared" si="7"/>
        <v>89.456869009584665</v>
      </c>
      <c r="Q41" s="21" t="str">
        <f>IF(ISNA(_xlfn.XLOOKUP(D41,'Same Seller Hist'!H:H,'Same Seller Hist'!H:H)),"Não","Sim")</f>
        <v>Não</v>
      </c>
      <c r="R41" s="21" t="str">
        <f>_xlfn.IFNA(_xlfn.XLOOKUP(D41,'Same Seller Hist'!D:D,'Same Seller Hist'!M:M),"Não Existe")</f>
        <v>Não Existe</v>
      </c>
    </row>
    <row r="42" spans="3:18" hidden="1" x14ac:dyDescent="0.35">
      <c r="C42" s="18">
        <v>45992</v>
      </c>
      <c r="D42" s="5" t="s">
        <v>1742</v>
      </c>
      <c r="E42" s="5" t="s">
        <v>908</v>
      </c>
      <c r="F42" s="5" t="s">
        <v>1944</v>
      </c>
      <c r="G42" s="5" t="s">
        <v>2130</v>
      </c>
      <c r="H42" s="21" t="str">
        <f t="shared" si="0"/>
        <v>k</v>
      </c>
      <c r="I42" s="22">
        <f t="shared" si="1"/>
        <v>31300</v>
      </c>
      <c r="J42" s="21" t="str">
        <f t="shared" si="2"/>
        <v>m</v>
      </c>
      <c r="K42" s="23">
        <f t="shared" si="3"/>
        <v>3200000</v>
      </c>
      <c r="L42" s="21">
        <v>5.3</v>
      </c>
      <c r="M42" s="22">
        <f t="shared" si="4"/>
        <v>31</v>
      </c>
      <c r="N42" s="23">
        <f t="shared" si="5"/>
        <v>103225.80645161291</v>
      </c>
      <c r="O42" s="23">
        <f t="shared" si="6"/>
        <v>1009.6774193548387</v>
      </c>
      <c r="P42" s="23">
        <f t="shared" si="7"/>
        <v>102.23642172523962</v>
      </c>
      <c r="Q42" s="21" t="str">
        <f>IF(ISNA(_xlfn.XLOOKUP(D42,'Same Seller Hist'!H:H,'Same Seller Hist'!H:H)),"Não","Sim")</f>
        <v>Não</v>
      </c>
      <c r="R42" s="21" t="str">
        <f>_xlfn.IFNA(_xlfn.XLOOKUP(D42,'Same Seller Hist'!D:D,'Same Seller Hist'!M:M),"Não Existe")</f>
        <v>Não Existe</v>
      </c>
    </row>
    <row r="43" spans="3:18" x14ac:dyDescent="0.35">
      <c r="C43" s="18">
        <v>45992</v>
      </c>
      <c r="D43" s="5" t="s">
        <v>774</v>
      </c>
      <c r="E43" s="5" t="s">
        <v>969</v>
      </c>
      <c r="F43" s="5" t="s">
        <v>1945</v>
      </c>
      <c r="G43" s="5" t="s">
        <v>2116</v>
      </c>
      <c r="H43" s="21" t="str">
        <f t="shared" si="0"/>
        <v>k</v>
      </c>
      <c r="I43" s="22">
        <f t="shared" si="1"/>
        <v>31100</v>
      </c>
      <c r="J43" s="21" t="str">
        <f t="shared" si="2"/>
        <v>m</v>
      </c>
      <c r="K43" s="23">
        <f t="shared" si="3"/>
        <v>1000000</v>
      </c>
      <c r="L43" s="21">
        <v>5.3</v>
      </c>
      <c r="M43" s="22">
        <f t="shared" si="4"/>
        <v>31</v>
      </c>
      <c r="N43" s="23">
        <f t="shared" si="5"/>
        <v>32258.064516129034</v>
      </c>
      <c r="O43" s="23">
        <f t="shared" si="6"/>
        <v>1003.2258064516129</v>
      </c>
      <c r="P43" s="23">
        <f t="shared" si="7"/>
        <v>32.154340836012864</v>
      </c>
      <c r="Q43" s="21" t="str">
        <f>IF(ISNA(_xlfn.XLOOKUP(D43,'Same Seller Hist'!H:H,'Same Seller Hist'!H:H)),"Não","Sim")</f>
        <v>Sim</v>
      </c>
      <c r="R43" s="21" t="str">
        <f>_xlfn.IFNA(_xlfn.XLOOKUP(D43,'Same Seller Hist'!D:D,'Same Seller Hist'!M:M),"Não Existe")</f>
        <v>Ativo</v>
      </c>
    </row>
    <row r="44" spans="3:18" x14ac:dyDescent="0.35">
      <c r="C44" s="18">
        <v>45992</v>
      </c>
      <c r="D44" s="5" t="s">
        <v>756</v>
      </c>
      <c r="E44" s="5" t="s">
        <v>918</v>
      </c>
      <c r="F44" s="5" t="s">
        <v>1946</v>
      </c>
      <c r="G44" s="5" t="s">
        <v>2131</v>
      </c>
      <c r="H44" s="21" t="str">
        <f t="shared" si="0"/>
        <v>k</v>
      </c>
      <c r="I44" s="22">
        <f t="shared" si="1"/>
        <v>31000</v>
      </c>
      <c r="J44" s="21" t="str">
        <f t="shared" si="2"/>
        <v>k</v>
      </c>
      <c r="K44" s="23">
        <f t="shared" si="3"/>
        <v>753200</v>
      </c>
      <c r="L44" s="21">
        <v>5.3</v>
      </c>
      <c r="M44" s="22">
        <f t="shared" si="4"/>
        <v>31</v>
      </c>
      <c r="N44" s="23">
        <f t="shared" si="5"/>
        <v>24296.774193548386</v>
      </c>
      <c r="O44" s="23">
        <f t="shared" si="6"/>
        <v>1000</v>
      </c>
      <c r="P44" s="23">
        <f t="shared" si="7"/>
        <v>24.296774193548387</v>
      </c>
      <c r="Q44" s="21" t="str">
        <f>IF(ISNA(_xlfn.XLOOKUP(D44,'Same Seller Hist'!H:H,'Same Seller Hist'!H:H)),"Não","Sim")</f>
        <v>Sim</v>
      </c>
      <c r="R44" s="21" t="str">
        <f>_xlfn.IFNA(_xlfn.XLOOKUP(D44,'Same Seller Hist'!D:D,'Same Seller Hist'!M:M),"Não Existe")</f>
        <v>Ativo</v>
      </c>
    </row>
    <row r="45" spans="3:18" x14ac:dyDescent="0.35">
      <c r="C45" s="18">
        <v>45992</v>
      </c>
      <c r="D45" s="5" t="s">
        <v>96</v>
      </c>
      <c r="E45" s="5" t="s">
        <v>908</v>
      </c>
      <c r="F45" s="5" t="s">
        <v>1947</v>
      </c>
      <c r="G45" s="5" t="s">
        <v>2119</v>
      </c>
      <c r="H45" s="21" t="str">
        <f t="shared" si="0"/>
        <v>k</v>
      </c>
      <c r="I45" s="22">
        <f t="shared" si="1"/>
        <v>30700</v>
      </c>
      <c r="J45" s="21" t="str">
        <f t="shared" si="2"/>
        <v>m</v>
      </c>
      <c r="K45" s="23">
        <f t="shared" si="3"/>
        <v>1500000</v>
      </c>
      <c r="L45" s="21">
        <v>5.3</v>
      </c>
      <c r="M45" s="22">
        <f t="shared" si="4"/>
        <v>31</v>
      </c>
      <c r="N45" s="23">
        <f t="shared" si="5"/>
        <v>48387.096774193546</v>
      </c>
      <c r="O45" s="23">
        <f t="shared" si="6"/>
        <v>990.32258064516134</v>
      </c>
      <c r="P45" s="23">
        <f t="shared" si="7"/>
        <v>48.859934853420192</v>
      </c>
      <c r="Q45" s="21" t="str">
        <f>IF(ISNA(_xlfn.XLOOKUP(D45,'Same Seller Hist'!H:H,'Same Seller Hist'!H:H)),"Não","Sim")</f>
        <v>Sim</v>
      </c>
      <c r="R45" s="21" t="str">
        <f>_xlfn.IFNA(_xlfn.XLOOKUP(D45,'Same Seller Hist'!D:D,'Same Seller Hist'!M:M),"Não Existe")</f>
        <v>Ativo</v>
      </c>
    </row>
    <row r="46" spans="3:18" x14ac:dyDescent="0.35">
      <c r="C46" s="18">
        <v>45992</v>
      </c>
      <c r="D46" s="5" t="s">
        <v>186</v>
      </c>
      <c r="E46" s="5" t="s">
        <v>942</v>
      </c>
      <c r="F46" s="5" t="s">
        <v>1948</v>
      </c>
      <c r="G46" s="5" t="s">
        <v>2132</v>
      </c>
      <c r="H46" s="21" t="str">
        <f t="shared" si="0"/>
        <v>k</v>
      </c>
      <c r="I46" s="22">
        <f t="shared" si="1"/>
        <v>30000</v>
      </c>
      <c r="J46" s="21" t="str">
        <f t="shared" si="2"/>
        <v>m</v>
      </c>
      <c r="K46" s="23">
        <f t="shared" si="3"/>
        <v>1200000</v>
      </c>
      <c r="L46" s="21">
        <v>5.3</v>
      </c>
      <c r="M46" s="22">
        <f t="shared" si="4"/>
        <v>31</v>
      </c>
      <c r="N46" s="23">
        <f t="shared" si="5"/>
        <v>38709.677419354841</v>
      </c>
      <c r="O46" s="23">
        <f t="shared" si="6"/>
        <v>967.74193548387098</v>
      </c>
      <c r="P46" s="23">
        <f t="shared" si="7"/>
        <v>40</v>
      </c>
      <c r="Q46" s="21" t="str">
        <f>IF(ISNA(_xlfn.XLOOKUP(D46,'Same Seller Hist'!H:H,'Same Seller Hist'!H:H)),"Não","Sim")</f>
        <v>Sim</v>
      </c>
      <c r="R46" s="21" t="str">
        <f>_xlfn.IFNA(_xlfn.XLOOKUP(D46,'Same Seller Hist'!D:D,'Same Seller Hist'!M:M),"Não Existe")</f>
        <v>Ativo</v>
      </c>
    </row>
    <row r="47" spans="3:18" hidden="1" x14ac:dyDescent="0.35">
      <c r="C47" s="18">
        <v>45992</v>
      </c>
      <c r="D47" s="5" t="s">
        <v>368</v>
      </c>
      <c r="E47" s="5" t="s">
        <v>924</v>
      </c>
      <c r="F47" s="5" t="s">
        <v>1948</v>
      </c>
      <c r="G47" s="5" t="s">
        <v>2133</v>
      </c>
      <c r="H47" s="21" t="str">
        <f t="shared" si="0"/>
        <v>k</v>
      </c>
      <c r="I47" s="22">
        <f t="shared" si="1"/>
        <v>30000</v>
      </c>
      <c r="J47" s="21" t="str">
        <f t="shared" si="2"/>
        <v>k</v>
      </c>
      <c r="K47" s="23">
        <f t="shared" si="3"/>
        <v>677100</v>
      </c>
      <c r="L47" s="21">
        <v>5.3</v>
      </c>
      <c r="M47" s="22">
        <f t="shared" si="4"/>
        <v>31</v>
      </c>
      <c r="N47" s="23">
        <f t="shared" si="5"/>
        <v>21841.935483870966</v>
      </c>
      <c r="O47" s="23">
        <f t="shared" si="6"/>
        <v>967.74193548387098</v>
      </c>
      <c r="P47" s="23">
        <f t="shared" si="7"/>
        <v>22.569999999999997</v>
      </c>
      <c r="Q47" s="21" t="str">
        <f>IF(ISNA(_xlfn.XLOOKUP(D47,'Same Seller Hist'!H:H,'Same Seller Hist'!H:H)),"Não","Sim")</f>
        <v>Não</v>
      </c>
      <c r="R47" s="21" t="str">
        <f>_xlfn.IFNA(_xlfn.XLOOKUP(D47,'Same Seller Hist'!D:D,'Same Seller Hist'!M:M),"Não Existe")</f>
        <v>Ativo</v>
      </c>
    </row>
    <row r="48" spans="3:18" x14ac:dyDescent="0.35">
      <c r="C48" s="18">
        <v>45992</v>
      </c>
      <c r="D48" s="5" t="s">
        <v>340</v>
      </c>
      <c r="E48" s="5" t="s">
        <v>908</v>
      </c>
      <c r="F48" s="5" t="s">
        <v>1949</v>
      </c>
      <c r="G48" s="5" t="s">
        <v>2112</v>
      </c>
      <c r="H48" s="21" t="str">
        <f t="shared" si="0"/>
        <v>k</v>
      </c>
      <c r="I48" s="22">
        <f t="shared" si="1"/>
        <v>29700</v>
      </c>
      <c r="J48" s="21" t="str">
        <f t="shared" si="2"/>
        <v>m</v>
      </c>
      <c r="K48" s="23">
        <f t="shared" si="3"/>
        <v>2500000</v>
      </c>
      <c r="L48" s="21">
        <v>5.3</v>
      </c>
      <c r="M48" s="22">
        <f t="shared" si="4"/>
        <v>31</v>
      </c>
      <c r="N48" s="23">
        <f t="shared" si="5"/>
        <v>80645.161290322576</v>
      </c>
      <c r="O48" s="23">
        <f t="shared" si="6"/>
        <v>958.06451612903231</v>
      </c>
      <c r="P48" s="23">
        <f t="shared" si="7"/>
        <v>84.175084175084166</v>
      </c>
      <c r="Q48" s="21" t="str">
        <f>IF(ISNA(_xlfn.XLOOKUP(D48,'Same Seller Hist'!H:H,'Same Seller Hist'!H:H)),"Não","Sim")</f>
        <v>Sim</v>
      </c>
      <c r="R48" s="21" t="str">
        <f>_xlfn.IFNA(_xlfn.XLOOKUP(D48,'Same Seller Hist'!D:D,'Same Seller Hist'!M:M),"Não Existe")</f>
        <v>Ativo</v>
      </c>
    </row>
    <row r="49" spans="3:18" x14ac:dyDescent="0.35">
      <c r="C49" s="18">
        <v>45992</v>
      </c>
      <c r="D49" s="5" t="s">
        <v>840</v>
      </c>
      <c r="E49" s="5" t="s">
        <v>908</v>
      </c>
      <c r="F49" s="5" t="s">
        <v>1950</v>
      </c>
      <c r="G49" s="5" t="s">
        <v>2134</v>
      </c>
      <c r="H49" s="21" t="str">
        <f t="shared" si="0"/>
        <v>k</v>
      </c>
      <c r="I49" s="22">
        <f t="shared" si="1"/>
        <v>29600</v>
      </c>
      <c r="J49" s="21" t="str">
        <f t="shared" si="2"/>
        <v>k</v>
      </c>
      <c r="K49" s="23">
        <f t="shared" si="3"/>
        <v>407900</v>
      </c>
      <c r="L49" s="21">
        <v>5.3</v>
      </c>
      <c r="M49" s="22">
        <f t="shared" si="4"/>
        <v>31</v>
      </c>
      <c r="N49" s="23">
        <f t="shared" si="5"/>
        <v>13158.064516129032</v>
      </c>
      <c r="O49" s="23">
        <f t="shared" si="6"/>
        <v>954.83870967741939</v>
      </c>
      <c r="P49" s="23">
        <f t="shared" si="7"/>
        <v>13.780405405405405</v>
      </c>
      <c r="Q49" s="21" t="str">
        <f>IF(ISNA(_xlfn.XLOOKUP(D49,'Same Seller Hist'!H:H,'Same Seller Hist'!H:H)),"Não","Sim")</f>
        <v>Sim</v>
      </c>
      <c r="R49" s="21" t="str">
        <f>_xlfn.IFNA(_xlfn.XLOOKUP(D49,'Same Seller Hist'!D:D,'Same Seller Hist'!M:M),"Não Existe")</f>
        <v>Ativo</v>
      </c>
    </row>
    <row r="50" spans="3:18" hidden="1" x14ac:dyDescent="0.35">
      <c r="C50" s="18">
        <v>45992</v>
      </c>
      <c r="D50" s="5" t="s">
        <v>1743</v>
      </c>
      <c r="E50" s="5" t="s">
        <v>913</v>
      </c>
      <c r="F50" s="5" t="s">
        <v>1951</v>
      </c>
      <c r="G50" s="5" t="s">
        <v>2116</v>
      </c>
      <c r="H50" s="21" t="str">
        <f t="shared" si="0"/>
        <v>k</v>
      </c>
      <c r="I50" s="22">
        <f t="shared" si="1"/>
        <v>28500</v>
      </c>
      <c r="J50" s="21" t="str">
        <f t="shared" si="2"/>
        <v>m</v>
      </c>
      <c r="K50" s="23">
        <f t="shared" si="3"/>
        <v>1000000</v>
      </c>
      <c r="L50" s="21">
        <v>5.3</v>
      </c>
      <c r="M50" s="22">
        <f t="shared" si="4"/>
        <v>31</v>
      </c>
      <c r="N50" s="23">
        <f t="shared" si="5"/>
        <v>32258.064516129034</v>
      </c>
      <c r="O50" s="23">
        <f t="shared" si="6"/>
        <v>919.35483870967744</v>
      </c>
      <c r="P50" s="23">
        <f t="shared" si="7"/>
        <v>35.087719298245617</v>
      </c>
      <c r="Q50" s="21" t="str">
        <f>IF(ISNA(_xlfn.XLOOKUP(D50,'Same Seller Hist'!H:H,'Same Seller Hist'!H:H)),"Não","Sim")</f>
        <v>Não</v>
      </c>
      <c r="R50" s="21" t="str">
        <f>_xlfn.IFNA(_xlfn.XLOOKUP(D50,'Same Seller Hist'!D:D,'Same Seller Hist'!M:M),"Não Existe")</f>
        <v>Não Existe</v>
      </c>
    </row>
    <row r="51" spans="3:18" x14ac:dyDescent="0.35">
      <c r="C51" s="18">
        <v>45992</v>
      </c>
      <c r="D51" s="5" t="s">
        <v>166</v>
      </c>
      <c r="E51" s="5" t="s">
        <v>939</v>
      </c>
      <c r="F51" s="5" t="s">
        <v>1952</v>
      </c>
      <c r="G51" s="5" t="s">
        <v>2135</v>
      </c>
      <c r="H51" s="21" t="str">
        <f t="shared" si="0"/>
        <v>k</v>
      </c>
      <c r="I51" s="22">
        <f t="shared" si="1"/>
        <v>28400</v>
      </c>
      <c r="J51" s="21" t="str">
        <f t="shared" si="2"/>
        <v>m</v>
      </c>
      <c r="K51" s="23">
        <f t="shared" si="3"/>
        <v>1700000</v>
      </c>
      <c r="L51" s="21">
        <v>5.3</v>
      </c>
      <c r="M51" s="22">
        <f t="shared" si="4"/>
        <v>31</v>
      </c>
      <c r="N51" s="23">
        <f t="shared" si="5"/>
        <v>54838.709677419356</v>
      </c>
      <c r="O51" s="23">
        <f t="shared" si="6"/>
        <v>916.12903225806451</v>
      </c>
      <c r="P51" s="23">
        <f t="shared" si="7"/>
        <v>59.859154929577464</v>
      </c>
      <c r="Q51" s="21" t="str">
        <f>IF(ISNA(_xlfn.XLOOKUP(D51,'Same Seller Hist'!H:H,'Same Seller Hist'!H:H)),"Não","Sim")</f>
        <v>Sim</v>
      </c>
      <c r="R51" s="21" t="str">
        <f>_xlfn.IFNA(_xlfn.XLOOKUP(D51,'Same Seller Hist'!D:D,'Same Seller Hist'!M:M),"Não Existe")</f>
        <v>Ativo</v>
      </c>
    </row>
    <row r="52" spans="3:18" x14ac:dyDescent="0.35">
      <c r="C52" s="18">
        <v>45992</v>
      </c>
      <c r="D52" s="5" t="s">
        <v>515</v>
      </c>
      <c r="E52" s="5" t="s">
        <v>926</v>
      </c>
      <c r="F52" s="5" t="s">
        <v>1953</v>
      </c>
      <c r="G52" s="5" t="s">
        <v>2110</v>
      </c>
      <c r="H52" s="21" t="str">
        <f t="shared" si="0"/>
        <v>k</v>
      </c>
      <c r="I52" s="22">
        <f t="shared" si="1"/>
        <v>28300</v>
      </c>
      <c r="J52" s="21" t="str">
        <f t="shared" si="2"/>
        <v>m</v>
      </c>
      <c r="K52" s="23">
        <f t="shared" si="3"/>
        <v>1300000</v>
      </c>
      <c r="L52" s="21">
        <v>5.3</v>
      </c>
      <c r="M52" s="22">
        <f t="shared" si="4"/>
        <v>31</v>
      </c>
      <c r="N52" s="23">
        <f t="shared" si="5"/>
        <v>41935.483870967742</v>
      </c>
      <c r="O52" s="23">
        <f t="shared" si="6"/>
        <v>912.90322580645159</v>
      </c>
      <c r="P52" s="23">
        <f t="shared" si="7"/>
        <v>45.936395759717314</v>
      </c>
      <c r="Q52" s="21" t="str">
        <f>IF(ISNA(_xlfn.XLOOKUP(D52,'Same Seller Hist'!H:H,'Same Seller Hist'!H:H)),"Não","Sim")</f>
        <v>Sim</v>
      </c>
      <c r="R52" s="21" t="str">
        <f>_xlfn.IFNA(_xlfn.XLOOKUP(D52,'Same Seller Hist'!D:D,'Same Seller Hist'!M:M),"Não Existe")</f>
        <v>Ativo</v>
      </c>
    </row>
    <row r="53" spans="3:18" x14ac:dyDescent="0.35">
      <c r="C53" s="18">
        <v>45992</v>
      </c>
      <c r="D53" s="5" t="s">
        <v>158</v>
      </c>
      <c r="E53" s="5" t="s">
        <v>908</v>
      </c>
      <c r="F53" s="5" t="s">
        <v>1953</v>
      </c>
      <c r="G53" s="5" t="s">
        <v>2136</v>
      </c>
      <c r="H53" s="21" t="str">
        <f t="shared" si="0"/>
        <v>k</v>
      </c>
      <c r="I53" s="22">
        <f t="shared" si="1"/>
        <v>28300</v>
      </c>
      <c r="J53" s="21" t="str">
        <f t="shared" si="2"/>
        <v>k</v>
      </c>
      <c r="K53" s="23">
        <f t="shared" si="3"/>
        <v>737400</v>
      </c>
      <c r="L53" s="21">
        <v>5.3</v>
      </c>
      <c r="M53" s="22">
        <f t="shared" si="4"/>
        <v>31</v>
      </c>
      <c r="N53" s="23">
        <f t="shared" si="5"/>
        <v>23787.096774193549</v>
      </c>
      <c r="O53" s="23">
        <f t="shared" si="6"/>
        <v>912.90322580645159</v>
      </c>
      <c r="P53" s="23">
        <f t="shared" si="7"/>
        <v>26.056537102473499</v>
      </c>
      <c r="Q53" s="21" t="str">
        <f>IF(ISNA(_xlfn.XLOOKUP(D53,'Same Seller Hist'!H:H,'Same Seller Hist'!H:H)),"Não","Sim")</f>
        <v>Sim</v>
      </c>
      <c r="R53" s="21" t="str">
        <f>_xlfn.IFNA(_xlfn.XLOOKUP(D53,'Same Seller Hist'!D:D,'Same Seller Hist'!M:M),"Não Existe")</f>
        <v>Ativo</v>
      </c>
    </row>
    <row r="54" spans="3:18" hidden="1" x14ac:dyDescent="0.35">
      <c r="C54" s="18">
        <v>45992</v>
      </c>
      <c r="D54" s="5" t="s">
        <v>1744</v>
      </c>
      <c r="E54" s="5" t="s">
        <v>908</v>
      </c>
      <c r="F54" s="5" t="s">
        <v>1954</v>
      </c>
      <c r="G54" s="5" t="s">
        <v>2137</v>
      </c>
      <c r="H54" s="21" t="str">
        <f t="shared" si="0"/>
        <v>k</v>
      </c>
      <c r="I54" s="22">
        <f t="shared" si="1"/>
        <v>28200</v>
      </c>
      <c r="J54" s="21" t="str">
        <f t="shared" si="2"/>
        <v>k</v>
      </c>
      <c r="K54" s="23">
        <f t="shared" si="3"/>
        <v>607700</v>
      </c>
      <c r="L54" s="21">
        <v>5.3</v>
      </c>
      <c r="M54" s="22">
        <f t="shared" si="4"/>
        <v>31</v>
      </c>
      <c r="N54" s="23">
        <f t="shared" si="5"/>
        <v>19603.225806451614</v>
      </c>
      <c r="O54" s="23">
        <f t="shared" si="6"/>
        <v>909.67741935483866</v>
      </c>
      <c r="P54" s="23">
        <f t="shared" si="7"/>
        <v>21.549645390070925</v>
      </c>
      <c r="Q54" s="21" t="str">
        <f>IF(ISNA(_xlfn.XLOOKUP(D54,'Same Seller Hist'!H:H,'Same Seller Hist'!H:H)),"Não","Sim")</f>
        <v>Não</v>
      </c>
      <c r="R54" s="21" t="str">
        <f>_xlfn.IFNA(_xlfn.XLOOKUP(D54,'Same Seller Hist'!D:D,'Same Seller Hist'!M:M),"Não Existe")</f>
        <v>Não Existe</v>
      </c>
    </row>
    <row r="55" spans="3:18" hidden="1" x14ac:dyDescent="0.35">
      <c r="C55" s="18">
        <v>45992</v>
      </c>
      <c r="D55" s="5" t="s">
        <v>111</v>
      </c>
      <c r="E55" s="5" t="s">
        <v>911</v>
      </c>
      <c r="F55" s="5" t="s">
        <v>1954</v>
      </c>
      <c r="G55" s="5" t="s">
        <v>2138</v>
      </c>
      <c r="H55" s="21" t="str">
        <f t="shared" si="0"/>
        <v>k</v>
      </c>
      <c r="I55" s="22">
        <f t="shared" si="1"/>
        <v>28200</v>
      </c>
      <c r="J55" s="21" t="str">
        <f t="shared" si="2"/>
        <v>k</v>
      </c>
      <c r="K55" s="23">
        <f t="shared" si="3"/>
        <v>972800</v>
      </c>
      <c r="L55" s="21">
        <v>5.3</v>
      </c>
      <c r="M55" s="22">
        <f t="shared" si="4"/>
        <v>31</v>
      </c>
      <c r="N55" s="23">
        <f t="shared" si="5"/>
        <v>31380.645161290322</v>
      </c>
      <c r="O55" s="23">
        <f t="shared" si="6"/>
        <v>909.67741935483866</v>
      </c>
      <c r="P55" s="23">
        <f t="shared" si="7"/>
        <v>34.49645390070922</v>
      </c>
      <c r="Q55" s="21" t="str">
        <f>IF(ISNA(_xlfn.XLOOKUP(D55,'Same Seller Hist'!H:H,'Same Seller Hist'!H:H)),"Não","Sim")</f>
        <v>Não</v>
      </c>
      <c r="R55" s="21" t="str">
        <f>_xlfn.IFNA(_xlfn.XLOOKUP(D55,'Same Seller Hist'!D:D,'Same Seller Hist'!M:M),"Não Existe")</f>
        <v>Ativo</v>
      </c>
    </row>
    <row r="56" spans="3:18" x14ac:dyDescent="0.35">
      <c r="C56" s="18">
        <v>45992</v>
      </c>
      <c r="D56" s="5" t="s">
        <v>890</v>
      </c>
      <c r="E56" s="5" t="s">
        <v>913</v>
      </c>
      <c r="F56" s="5" t="s">
        <v>1955</v>
      </c>
      <c r="G56" s="5" t="s">
        <v>2118</v>
      </c>
      <c r="H56" s="21" t="str">
        <f t="shared" si="0"/>
        <v>k</v>
      </c>
      <c r="I56" s="22">
        <f t="shared" si="1"/>
        <v>28000</v>
      </c>
      <c r="J56" s="21" t="str">
        <f t="shared" si="2"/>
        <v>m</v>
      </c>
      <c r="K56" s="23">
        <f t="shared" si="3"/>
        <v>1100000</v>
      </c>
      <c r="L56" s="21">
        <v>5.3</v>
      </c>
      <c r="M56" s="22">
        <f t="shared" si="4"/>
        <v>31</v>
      </c>
      <c r="N56" s="23">
        <f t="shared" si="5"/>
        <v>35483.870967741932</v>
      </c>
      <c r="O56" s="23">
        <f t="shared" si="6"/>
        <v>903.22580645161293</v>
      </c>
      <c r="P56" s="23">
        <f t="shared" si="7"/>
        <v>39.285714285714278</v>
      </c>
      <c r="Q56" s="21" t="str">
        <f>IF(ISNA(_xlfn.XLOOKUP(D56,'Same Seller Hist'!H:H,'Same Seller Hist'!H:H)),"Não","Sim")</f>
        <v>Sim</v>
      </c>
      <c r="R56" s="21" t="str">
        <f>_xlfn.IFNA(_xlfn.XLOOKUP(D56,'Same Seller Hist'!D:D,'Same Seller Hist'!M:M),"Não Existe")</f>
        <v>Ativo</v>
      </c>
    </row>
    <row r="57" spans="3:18" hidden="1" x14ac:dyDescent="0.35">
      <c r="C57" s="18">
        <v>45992</v>
      </c>
      <c r="D57" s="5" t="s">
        <v>436</v>
      </c>
      <c r="E57" s="5" t="s">
        <v>984</v>
      </c>
      <c r="F57" s="5" t="s">
        <v>1956</v>
      </c>
      <c r="G57" s="5" t="s">
        <v>2139</v>
      </c>
      <c r="H57" s="21" t="str">
        <f t="shared" si="0"/>
        <v>k</v>
      </c>
      <c r="I57" s="22">
        <f t="shared" si="1"/>
        <v>27900</v>
      </c>
      <c r="J57" s="21" t="str">
        <f t="shared" si="2"/>
        <v>k</v>
      </c>
      <c r="K57" s="23">
        <f t="shared" si="3"/>
        <v>933400</v>
      </c>
      <c r="L57" s="21">
        <v>5.3</v>
      </c>
      <c r="M57" s="22">
        <f t="shared" si="4"/>
        <v>31</v>
      </c>
      <c r="N57" s="23">
        <f t="shared" si="5"/>
        <v>30109.677419354837</v>
      </c>
      <c r="O57" s="23">
        <f t="shared" si="6"/>
        <v>900</v>
      </c>
      <c r="P57" s="23">
        <f t="shared" si="7"/>
        <v>33.455197132616483</v>
      </c>
      <c r="Q57" s="21" t="str">
        <f>IF(ISNA(_xlfn.XLOOKUP(D57,'Same Seller Hist'!H:H,'Same Seller Hist'!H:H)),"Não","Sim")</f>
        <v>Não</v>
      </c>
      <c r="R57" s="21" t="str">
        <f>_xlfn.IFNA(_xlfn.XLOOKUP(D57,'Same Seller Hist'!D:D,'Same Seller Hist'!M:M),"Não Existe")</f>
        <v>Ativo</v>
      </c>
    </row>
    <row r="58" spans="3:18" x14ac:dyDescent="0.35">
      <c r="C58" s="18">
        <v>45992</v>
      </c>
      <c r="D58" s="5" t="s">
        <v>863</v>
      </c>
      <c r="E58" s="5" t="s">
        <v>908</v>
      </c>
      <c r="F58" s="5" t="s">
        <v>1957</v>
      </c>
      <c r="G58" s="5" t="s">
        <v>2140</v>
      </c>
      <c r="H58" s="21" t="str">
        <f t="shared" si="0"/>
        <v>k</v>
      </c>
      <c r="I58" s="22">
        <f t="shared" si="1"/>
        <v>27100</v>
      </c>
      <c r="J58" s="21" t="str">
        <f t="shared" si="2"/>
        <v>k</v>
      </c>
      <c r="K58" s="23">
        <f t="shared" si="3"/>
        <v>350700</v>
      </c>
      <c r="L58" s="21">
        <v>5.3</v>
      </c>
      <c r="M58" s="22">
        <f t="shared" si="4"/>
        <v>31</v>
      </c>
      <c r="N58" s="23">
        <f t="shared" si="5"/>
        <v>11312.903225806451</v>
      </c>
      <c r="O58" s="23">
        <f t="shared" si="6"/>
        <v>874.19354838709683</v>
      </c>
      <c r="P58" s="23">
        <f t="shared" si="7"/>
        <v>12.940959409594095</v>
      </c>
      <c r="Q58" s="21" t="str">
        <f>IF(ISNA(_xlfn.XLOOKUP(D58,'Same Seller Hist'!H:H,'Same Seller Hist'!H:H)),"Não","Sim")</f>
        <v>Sim</v>
      </c>
      <c r="R58" s="21" t="str">
        <f>_xlfn.IFNA(_xlfn.XLOOKUP(D58,'Same Seller Hist'!D:D,'Same Seller Hist'!M:M),"Não Existe")</f>
        <v>Ativo</v>
      </c>
    </row>
    <row r="59" spans="3:18" x14ac:dyDescent="0.35">
      <c r="C59" s="18">
        <v>45992</v>
      </c>
      <c r="D59" s="5" t="s">
        <v>149</v>
      </c>
      <c r="E59" s="5" t="s">
        <v>916</v>
      </c>
      <c r="F59" s="5" t="s">
        <v>1957</v>
      </c>
      <c r="G59" s="5" t="s">
        <v>2135</v>
      </c>
      <c r="H59" s="21" t="str">
        <f t="shared" si="0"/>
        <v>k</v>
      </c>
      <c r="I59" s="22">
        <f t="shared" si="1"/>
        <v>27100</v>
      </c>
      <c r="J59" s="21" t="str">
        <f t="shared" si="2"/>
        <v>m</v>
      </c>
      <c r="K59" s="23">
        <f t="shared" si="3"/>
        <v>1700000</v>
      </c>
      <c r="L59" s="21">
        <v>5.3</v>
      </c>
      <c r="M59" s="22">
        <f t="shared" si="4"/>
        <v>31</v>
      </c>
      <c r="N59" s="23">
        <f t="shared" si="5"/>
        <v>54838.709677419356</v>
      </c>
      <c r="O59" s="23">
        <f t="shared" si="6"/>
        <v>874.19354838709683</v>
      </c>
      <c r="P59" s="23">
        <f t="shared" si="7"/>
        <v>62.730627306273064</v>
      </c>
      <c r="Q59" s="21" t="str">
        <f>IF(ISNA(_xlfn.XLOOKUP(D59,'Same Seller Hist'!H:H,'Same Seller Hist'!H:H)),"Não","Sim")</f>
        <v>Sim</v>
      </c>
      <c r="R59" s="21" t="str">
        <f>_xlfn.IFNA(_xlfn.XLOOKUP(D59,'Same Seller Hist'!D:D,'Same Seller Hist'!M:M),"Não Existe")</f>
        <v>Ativo</v>
      </c>
    </row>
    <row r="60" spans="3:18" hidden="1" x14ac:dyDescent="0.35">
      <c r="C60" s="18">
        <v>45992</v>
      </c>
      <c r="D60" s="5" t="s">
        <v>1745</v>
      </c>
      <c r="E60" s="5" t="s">
        <v>928</v>
      </c>
      <c r="F60" s="5" t="s">
        <v>1958</v>
      </c>
      <c r="G60" s="5" t="s">
        <v>2116</v>
      </c>
      <c r="H60" s="21" t="str">
        <f t="shared" si="0"/>
        <v>k</v>
      </c>
      <c r="I60" s="22">
        <f t="shared" si="1"/>
        <v>27000</v>
      </c>
      <c r="J60" s="21" t="str">
        <f t="shared" si="2"/>
        <v>m</v>
      </c>
      <c r="K60" s="23">
        <f t="shared" si="3"/>
        <v>1000000</v>
      </c>
      <c r="L60" s="21">
        <v>5.3</v>
      </c>
      <c r="M60" s="22">
        <f t="shared" si="4"/>
        <v>31</v>
      </c>
      <c r="N60" s="23">
        <f t="shared" si="5"/>
        <v>32258.064516129034</v>
      </c>
      <c r="O60" s="23">
        <f t="shared" si="6"/>
        <v>870.9677419354839</v>
      </c>
      <c r="P60" s="23">
        <f t="shared" si="7"/>
        <v>37.037037037037038</v>
      </c>
      <c r="Q60" s="21" t="str">
        <f>IF(ISNA(_xlfn.XLOOKUP(D60,'Same Seller Hist'!H:H,'Same Seller Hist'!H:H)),"Não","Sim")</f>
        <v>Não</v>
      </c>
      <c r="R60" s="21" t="str">
        <f>_xlfn.IFNA(_xlfn.XLOOKUP(D60,'Same Seller Hist'!D:D,'Same Seller Hist'!M:M),"Não Existe")</f>
        <v>Não Existe</v>
      </c>
    </row>
    <row r="61" spans="3:18" hidden="1" x14ac:dyDescent="0.35">
      <c r="C61" s="18">
        <v>45992</v>
      </c>
      <c r="D61" s="5" t="s">
        <v>1746</v>
      </c>
      <c r="E61" s="5" t="s">
        <v>942</v>
      </c>
      <c r="F61" s="5" t="s">
        <v>1959</v>
      </c>
      <c r="G61" s="5" t="s">
        <v>2141</v>
      </c>
      <c r="H61" s="21" t="str">
        <f t="shared" si="0"/>
        <v>k</v>
      </c>
      <c r="I61" s="22">
        <f t="shared" si="1"/>
        <v>26700</v>
      </c>
      <c r="J61" s="21" t="str">
        <f t="shared" si="2"/>
        <v>m</v>
      </c>
      <c r="K61" s="23">
        <f t="shared" si="3"/>
        <v>2000000</v>
      </c>
      <c r="L61" s="21">
        <v>5.3</v>
      </c>
      <c r="M61" s="22">
        <f t="shared" si="4"/>
        <v>31</v>
      </c>
      <c r="N61" s="23">
        <f t="shared" si="5"/>
        <v>64516.129032258068</v>
      </c>
      <c r="O61" s="23">
        <f t="shared" si="6"/>
        <v>861.29032258064512</v>
      </c>
      <c r="P61" s="23">
        <f t="shared" si="7"/>
        <v>74.906367041198507</v>
      </c>
      <c r="Q61" s="21" t="str">
        <f>IF(ISNA(_xlfn.XLOOKUP(D61,'Same Seller Hist'!H:H,'Same Seller Hist'!H:H)),"Não","Sim")</f>
        <v>Não</v>
      </c>
      <c r="R61" s="21" t="str">
        <f>_xlfn.IFNA(_xlfn.XLOOKUP(D61,'Same Seller Hist'!D:D,'Same Seller Hist'!M:M),"Não Existe")</f>
        <v>Não Existe</v>
      </c>
    </row>
    <row r="62" spans="3:18" x14ac:dyDescent="0.35">
      <c r="C62" s="18">
        <v>45992</v>
      </c>
      <c r="D62" s="5" t="s">
        <v>140</v>
      </c>
      <c r="E62" s="5" t="s">
        <v>911</v>
      </c>
      <c r="F62" s="5" t="s">
        <v>1960</v>
      </c>
      <c r="G62" s="5" t="s">
        <v>2118</v>
      </c>
      <c r="H62" s="21" t="str">
        <f t="shared" si="0"/>
        <v>k</v>
      </c>
      <c r="I62" s="22">
        <f t="shared" si="1"/>
        <v>26600</v>
      </c>
      <c r="J62" s="21" t="str">
        <f t="shared" si="2"/>
        <v>m</v>
      </c>
      <c r="K62" s="23">
        <f t="shared" si="3"/>
        <v>1100000</v>
      </c>
      <c r="L62" s="21">
        <v>5.3</v>
      </c>
      <c r="M62" s="22">
        <f t="shared" si="4"/>
        <v>31</v>
      </c>
      <c r="N62" s="23">
        <f t="shared" si="5"/>
        <v>35483.870967741932</v>
      </c>
      <c r="O62" s="23">
        <f t="shared" si="6"/>
        <v>858.06451612903231</v>
      </c>
      <c r="P62" s="23">
        <f t="shared" si="7"/>
        <v>41.353383458646611</v>
      </c>
      <c r="Q62" s="21" t="str">
        <f>IF(ISNA(_xlfn.XLOOKUP(D62,'Same Seller Hist'!H:H,'Same Seller Hist'!H:H)),"Não","Sim")</f>
        <v>Sim</v>
      </c>
      <c r="R62" s="21" t="str">
        <f>_xlfn.IFNA(_xlfn.XLOOKUP(D62,'Same Seller Hist'!D:D,'Same Seller Hist'!M:M),"Não Existe")</f>
        <v>Ativo</v>
      </c>
    </row>
    <row r="63" spans="3:18" x14ac:dyDescent="0.35">
      <c r="C63" s="18">
        <v>45992</v>
      </c>
      <c r="D63" s="5" t="s">
        <v>571</v>
      </c>
      <c r="E63" s="5" t="s">
        <v>939</v>
      </c>
      <c r="F63" s="5" t="s">
        <v>1961</v>
      </c>
      <c r="G63" s="5" t="s">
        <v>2142</v>
      </c>
      <c r="H63" s="21" t="str">
        <f t="shared" si="0"/>
        <v>k</v>
      </c>
      <c r="I63" s="22">
        <f t="shared" si="1"/>
        <v>26400</v>
      </c>
      <c r="J63" s="21" t="str">
        <f t="shared" si="2"/>
        <v>k</v>
      </c>
      <c r="K63" s="23">
        <f t="shared" si="3"/>
        <v>930200</v>
      </c>
      <c r="L63" s="21">
        <v>5.3</v>
      </c>
      <c r="M63" s="22">
        <f t="shared" si="4"/>
        <v>31</v>
      </c>
      <c r="N63" s="23">
        <f t="shared" si="5"/>
        <v>30006.451612903227</v>
      </c>
      <c r="O63" s="23">
        <f t="shared" si="6"/>
        <v>851.61290322580646</v>
      </c>
      <c r="P63" s="23">
        <f t="shared" si="7"/>
        <v>35.234848484848484</v>
      </c>
      <c r="Q63" s="21" t="str">
        <f>IF(ISNA(_xlfn.XLOOKUP(D63,'Same Seller Hist'!H:H,'Same Seller Hist'!H:H)),"Não","Sim")</f>
        <v>Sim</v>
      </c>
      <c r="R63" s="21" t="str">
        <f>_xlfn.IFNA(_xlfn.XLOOKUP(D63,'Same Seller Hist'!D:D,'Same Seller Hist'!M:M),"Não Existe")</f>
        <v>Ativo</v>
      </c>
    </row>
    <row r="64" spans="3:18" hidden="1" x14ac:dyDescent="0.35">
      <c r="C64" s="18">
        <v>45992</v>
      </c>
      <c r="D64" s="5" t="s">
        <v>1747</v>
      </c>
      <c r="E64" s="5" t="s">
        <v>908</v>
      </c>
      <c r="F64" s="5" t="s">
        <v>1962</v>
      </c>
      <c r="G64" s="5" t="s">
        <v>2143</v>
      </c>
      <c r="H64" s="21" t="str">
        <f t="shared" si="0"/>
        <v>k</v>
      </c>
      <c r="I64" s="22">
        <f t="shared" si="1"/>
        <v>26300</v>
      </c>
      <c r="J64" s="21" t="str">
        <f t="shared" si="2"/>
        <v>k</v>
      </c>
      <c r="K64" s="23">
        <f t="shared" si="3"/>
        <v>398900</v>
      </c>
      <c r="L64" s="21">
        <v>5.3</v>
      </c>
      <c r="M64" s="22">
        <f t="shared" si="4"/>
        <v>31</v>
      </c>
      <c r="N64" s="23">
        <f t="shared" si="5"/>
        <v>12867.741935483871</v>
      </c>
      <c r="O64" s="23">
        <f t="shared" si="6"/>
        <v>848.38709677419354</v>
      </c>
      <c r="P64" s="23">
        <f t="shared" si="7"/>
        <v>15.167300380228138</v>
      </c>
      <c r="Q64" s="21" t="str">
        <f>IF(ISNA(_xlfn.XLOOKUP(D64,'Same Seller Hist'!H:H,'Same Seller Hist'!H:H)),"Não","Sim")</f>
        <v>Não</v>
      </c>
      <c r="R64" s="21" t="str">
        <f>_xlfn.IFNA(_xlfn.XLOOKUP(D64,'Same Seller Hist'!D:D,'Same Seller Hist'!M:M),"Não Existe")</f>
        <v>Não Existe</v>
      </c>
    </row>
    <row r="65" spans="3:18" x14ac:dyDescent="0.35">
      <c r="C65" s="18">
        <v>45992</v>
      </c>
      <c r="D65" s="5" t="s">
        <v>677</v>
      </c>
      <c r="E65" s="5" t="s">
        <v>908</v>
      </c>
      <c r="F65" s="5" t="s">
        <v>1963</v>
      </c>
      <c r="G65" s="5" t="s">
        <v>2114</v>
      </c>
      <c r="H65" s="21" t="str">
        <f t="shared" si="0"/>
        <v>k</v>
      </c>
      <c r="I65" s="22">
        <f t="shared" si="1"/>
        <v>25900</v>
      </c>
      <c r="J65" s="21" t="str">
        <f t="shared" si="2"/>
        <v>m</v>
      </c>
      <c r="K65" s="23">
        <f t="shared" si="3"/>
        <v>1600000</v>
      </c>
      <c r="L65" s="21">
        <v>5.3</v>
      </c>
      <c r="M65" s="22">
        <f t="shared" si="4"/>
        <v>31</v>
      </c>
      <c r="N65" s="23">
        <f t="shared" si="5"/>
        <v>51612.903225806454</v>
      </c>
      <c r="O65" s="23">
        <f t="shared" si="6"/>
        <v>835.48387096774195</v>
      </c>
      <c r="P65" s="23">
        <f t="shared" si="7"/>
        <v>61.776061776061781</v>
      </c>
      <c r="Q65" s="21" t="str">
        <f>IF(ISNA(_xlfn.XLOOKUP(D65,'Same Seller Hist'!H:H,'Same Seller Hist'!H:H)),"Não","Sim")</f>
        <v>Sim</v>
      </c>
      <c r="R65" s="21" t="str">
        <f>_xlfn.IFNA(_xlfn.XLOOKUP(D65,'Same Seller Hist'!D:D,'Same Seller Hist'!M:M),"Não Existe")</f>
        <v>Ativo</v>
      </c>
    </row>
    <row r="66" spans="3:18" hidden="1" x14ac:dyDescent="0.35">
      <c r="C66" s="18">
        <v>45992</v>
      </c>
      <c r="D66" s="5" t="s">
        <v>1748</v>
      </c>
      <c r="E66" s="5" t="s">
        <v>941</v>
      </c>
      <c r="F66" s="5" t="s">
        <v>1964</v>
      </c>
      <c r="G66" s="5" t="s">
        <v>2112</v>
      </c>
      <c r="H66" s="21" t="str">
        <f t="shared" si="0"/>
        <v>k</v>
      </c>
      <c r="I66" s="22">
        <f t="shared" si="1"/>
        <v>25800</v>
      </c>
      <c r="J66" s="21" t="str">
        <f t="shared" si="2"/>
        <v>m</v>
      </c>
      <c r="K66" s="23">
        <f t="shared" si="3"/>
        <v>2500000</v>
      </c>
      <c r="L66" s="21">
        <v>5.3</v>
      </c>
      <c r="M66" s="22">
        <f t="shared" si="4"/>
        <v>31</v>
      </c>
      <c r="N66" s="23">
        <f t="shared" si="5"/>
        <v>80645.161290322576</v>
      </c>
      <c r="O66" s="23">
        <f t="shared" si="6"/>
        <v>832.25806451612902</v>
      </c>
      <c r="P66" s="23">
        <f t="shared" si="7"/>
        <v>96.899224806201545</v>
      </c>
      <c r="Q66" s="21" t="str">
        <f>IF(ISNA(_xlfn.XLOOKUP(D66,'Same Seller Hist'!H:H,'Same Seller Hist'!H:H)),"Não","Sim")</f>
        <v>Não</v>
      </c>
      <c r="R66" s="21" t="str">
        <f>_xlfn.IFNA(_xlfn.XLOOKUP(D66,'Same Seller Hist'!D:D,'Same Seller Hist'!M:M),"Não Existe")</f>
        <v>Não Existe</v>
      </c>
    </row>
    <row r="67" spans="3:18" hidden="1" x14ac:dyDescent="0.35">
      <c r="C67" s="18">
        <v>45992</v>
      </c>
      <c r="D67" s="5" t="s">
        <v>357</v>
      </c>
      <c r="E67" s="5" t="s">
        <v>913</v>
      </c>
      <c r="F67" s="5" t="s">
        <v>1965</v>
      </c>
      <c r="G67" s="5" t="s">
        <v>2144</v>
      </c>
      <c r="H67" s="21" t="str">
        <f t="shared" si="0"/>
        <v>k</v>
      </c>
      <c r="I67" s="22">
        <f t="shared" si="1"/>
        <v>25300</v>
      </c>
      <c r="J67" s="21" t="str">
        <f t="shared" si="2"/>
        <v>k</v>
      </c>
      <c r="K67" s="23">
        <f t="shared" si="3"/>
        <v>922400</v>
      </c>
      <c r="L67" s="21">
        <v>5.3</v>
      </c>
      <c r="M67" s="22">
        <f t="shared" si="4"/>
        <v>31</v>
      </c>
      <c r="N67" s="23">
        <f t="shared" si="5"/>
        <v>29754.83870967742</v>
      </c>
      <c r="O67" s="23">
        <f t="shared" si="6"/>
        <v>816.12903225806451</v>
      </c>
      <c r="P67" s="23">
        <f t="shared" si="7"/>
        <v>36.458498023715414</v>
      </c>
      <c r="Q67" s="21" t="str">
        <f>IF(ISNA(_xlfn.XLOOKUP(D67,'Same Seller Hist'!H:H,'Same Seller Hist'!H:H)),"Não","Sim")</f>
        <v>Não</v>
      </c>
      <c r="R67" s="21" t="str">
        <f>_xlfn.IFNA(_xlfn.XLOOKUP(D67,'Same Seller Hist'!D:D,'Same Seller Hist'!M:M),"Não Existe")</f>
        <v>Ativo</v>
      </c>
    </row>
    <row r="68" spans="3:18" hidden="1" x14ac:dyDescent="0.35">
      <c r="C68" s="18">
        <v>45992</v>
      </c>
      <c r="D68" s="5" t="s">
        <v>760</v>
      </c>
      <c r="E68" s="5" t="s">
        <v>913</v>
      </c>
      <c r="F68" s="5" t="s">
        <v>1966</v>
      </c>
      <c r="G68" s="5" t="s">
        <v>2116</v>
      </c>
      <c r="H68" s="21" t="str">
        <f t="shared" si="0"/>
        <v>k</v>
      </c>
      <c r="I68" s="22">
        <f t="shared" si="1"/>
        <v>25000</v>
      </c>
      <c r="J68" s="21" t="str">
        <f t="shared" si="2"/>
        <v>m</v>
      </c>
      <c r="K68" s="23">
        <f t="shared" si="3"/>
        <v>1000000</v>
      </c>
      <c r="L68" s="21">
        <v>5.3</v>
      </c>
      <c r="M68" s="22">
        <f t="shared" si="4"/>
        <v>31</v>
      </c>
      <c r="N68" s="23">
        <f t="shared" si="5"/>
        <v>32258.064516129034</v>
      </c>
      <c r="O68" s="23">
        <f t="shared" si="6"/>
        <v>806.45161290322585</v>
      </c>
      <c r="P68" s="23">
        <f t="shared" si="7"/>
        <v>40</v>
      </c>
      <c r="Q68" s="21" t="str">
        <f>IF(ISNA(_xlfn.XLOOKUP(D68,'Same Seller Hist'!H:H,'Same Seller Hist'!H:H)),"Não","Sim")</f>
        <v>Não</v>
      </c>
      <c r="R68" s="21" t="str">
        <f>_xlfn.IFNA(_xlfn.XLOOKUP(D68,'Same Seller Hist'!D:D,'Same Seller Hist'!M:M),"Não Existe")</f>
        <v>Ativo</v>
      </c>
    </row>
    <row r="69" spans="3:18" x14ac:dyDescent="0.35">
      <c r="C69" s="18">
        <v>45992</v>
      </c>
      <c r="D69" s="5" t="s">
        <v>607</v>
      </c>
      <c r="E69" s="5" t="s">
        <v>975</v>
      </c>
      <c r="F69" s="5" t="s">
        <v>1967</v>
      </c>
      <c r="G69" s="5" t="s">
        <v>2145</v>
      </c>
      <c r="H69" s="21" t="str">
        <f t="shared" si="0"/>
        <v>k</v>
      </c>
      <c r="I69" s="22">
        <f t="shared" si="1"/>
        <v>24900</v>
      </c>
      <c r="J69" s="21" t="str">
        <f t="shared" si="2"/>
        <v>m</v>
      </c>
      <c r="K69" s="23">
        <f t="shared" si="3"/>
        <v>4000000</v>
      </c>
      <c r="L69" s="21">
        <v>5.3</v>
      </c>
      <c r="M69" s="22">
        <f t="shared" si="4"/>
        <v>31</v>
      </c>
      <c r="N69" s="23">
        <f t="shared" si="5"/>
        <v>129032.25806451614</v>
      </c>
      <c r="O69" s="23">
        <f t="shared" si="6"/>
        <v>803.22580645161293</v>
      </c>
      <c r="P69" s="23">
        <f t="shared" si="7"/>
        <v>160.64257028112451</v>
      </c>
      <c r="Q69" s="21" t="str">
        <f>IF(ISNA(_xlfn.XLOOKUP(D69,'Same Seller Hist'!H:H,'Same Seller Hist'!H:H)),"Não","Sim")</f>
        <v>Sim</v>
      </c>
      <c r="R69" s="21" t="str">
        <f>_xlfn.IFNA(_xlfn.XLOOKUP(D69,'Same Seller Hist'!D:D,'Same Seller Hist'!M:M),"Não Existe")</f>
        <v>Ativo</v>
      </c>
    </row>
    <row r="70" spans="3:18" hidden="1" x14ac:dyDescent="0.35">
      <c r="C70" s="18">
        <v>45992</v>
      </c>
      <c r="D70" s="5" t="s">
        <v>1749</v>
      </c>
      <c r="E70" s="5" t="s">
        <v>908</v>
      </c>
      <c r="F70" s="5" t="s">
        <v>1968</v>
      </c>
      <c r="G70" s="5" t="s">
        <v>2116</v>
      </c>
      <c r="H70" s="21" t="str">
        <f t="shared" si="0"/>
        <v>k</v>
      </c>
      <c r="I70" s="22">
        <f t="shared" si="1"/>
        <v>23900</v>
      </c>
      <c r="J70" s="21" t="str">
        <f t="shared" si="2"/>
        <v>m</v>
      </c>
      <c r="K70" s="23">
        <f t="shared" si="3"/>
        <v>1000000</v>
      </c>
      <c r="L70" s="21">
        <v>5.3</v>
      </c>
      <c r="M70" s="22">
        <f t="shared" si="4"/>
        <v>31</v>
      </c>
      <c r="N70" s="23">
        <f t="shared" si="5"/>
        <v>32258.064516129034</v>
      </c>
      <c r="O70" s="23">
        <f t="shared" si="6"/>
        <v>770.9677419354839</v>
      </c>
      <c r="P70" s="23">
        <f t="shared" si="7"/>
        <v>41.84100418410042</v>
      </c>
      <c r="Q70" s="21" t="str">
        <f>IF(ISNA(_xlfn.XLOOKUP(D70,'Same Seller Hist'!H:H,'Same Seller Hist'!H:H)),"Não","Sim")</f>
        <v>Não</v>
      </c>
      <c r="R70" s="21" t="str">
        <f>_xlfn.IFNA(_xlfn.XLOOKUP(D70,'Same Seller Hist'!D:D,'Same Seller Hist'!M:M),"Não Existe")</f>
        <v>Não Existe</v>
      </c>
    </row>
    <row r="71" spans="3:18" hidden="1" x14ac:dyDescent="0.35">
      <c r="C71" s="18">
        <v>45992</v>
      </c>
      <c r="D71" s="5" t="s">
        <v>253</v>
      </c>
      <c r="E71" s="5" t="s">
        <v>926</v>
      </c>
      <c r="F71" s="5" t="s">
        <v>1969</v>
      </c>
      <c r="G71" s="5" t="s">
        <v>2146</v>
      </c>
      <c r="H71" s="21" t="str">
        <f t="shared" si="0"/>
        <v>k</v>
      </c>
      <c r="I71" s="22">
        <f t="shared" si="1"/>
        <v>23500</v>
      </c>
      <c r="J71" s="21" t="str">
        <f t="shared" si="2"/>
        <v>k</v>
      </c>
      <c r="K71" s="23">
        <f t="shared" si="3"/>
        <v>937800</v>
      </c>
      <c r="L71" s="21">
        <v>5.3</v>
      </c>
      <c r="M71" s="22">
        <f t="shared" si="4"/>
        <v>31</v>
      </c>
      <c r="N71" s="23">
        <f t="shared" si="5"/>
        <v>30251.612903225807</v>
      </c>
      <c r="O71" s="23">
        <f t="shared" si="6"/>
        <v>758.06451612903231</v>
      </c>
      <c r="P71" s="23">
        <f t="shared" si="7"/>
        <v>39.9063829787234</v>
      </c>
      <c r="Q71" s="21" t="str">
        <f>IF(ISNA(_xlfn.XLOOKUP(D71,'Same Seller Hist'!H:H,'Same Seller Hist'!H:H)),"Não","Sim")</f>
        <v>Não</v>
      </c>
      <c r="R71" s="21" t="str">
        <f>_xlfn.IFNA(_xlfn.XLOOKUP(D71,'Same Seller Hist'!D:D,'Same Seller Hist'!M:M),"Não Existe")</f>
        <v>Ativo</v>
      </c>
    </row>
    <row r="72" spans="3:18" x14ac:dyDescent="0.35">
      <c r="C72" s="18">
        <v>45992</v>
      </c>
      <c r="D72" s="5" t="s">
        <v>615</v>
      </c>
      <c r="E72" s="5" t="s">
        <v>911</v>
      </c>
      <c r="F72" s="5" t="s">
        <v>1970</v>
      </c>
      <c r="G72" s="5" t="s">
        <v>2147</v>
      </c>
      <c r="H72" s="21" t="str">
        <f t="shared" si="0"/>
        <v>k</v>
      </c>
      <c r="I72" s="22">
        <f t="shared" si="1"/>
        <v>23300</v>
      </c>
      <c r="J72" s="21" t="str">
        <f t="shared" si="2"/>
        <v>k</v>
      </c>
      <c r="K72" s="23">
        <f t="shared" si="3"/>
        <v>302200</v>
      </c>
      <c r="L72" s="21">
        <v>5.3</v>
      </c>
      <c r="M72" s="22">
        <f t="shared" si="4"/>
        <v>31</v>
      </c>
      <c r="N72" s="23">
        <f t="shared" si="5"/>
        <v>9748.3870967741932</v>
      </c>
      <c r="O72" s="23">
        <f t="shared" si="6"/>
        <v>751.61290322580646</v>
      </c>
      <c r="P72" s="23">
        <f t="shared" si="7"/>
        <v>12.969957081545063</v>
      </c>
      <c r="Q72" s="21" t="str">
        <f>IF(ISNA(_xlfn.XLOOKUP(D72,'Same Seller Hist'!H:H,'Same Seller Hist'!H:H)),"Não","Sim")</f>
        <v>Sim</v>
      </c>
      <c r="R72" s="21" t="str">
        <f>_xlfn.IFNA(_xlfn.XLOOKUP(D72,'Same Seller Hist'!D:D,'Same Seller Hist'!M:M),"Não Existe")</f>
        <v>Ativo</v>
      </c>
    </row>
    <row r="73" spans="3:18" hidden="1" x14ac:dyDescent="0.35">
      <c r="C73" s="18">
        <v>45992</v>
      </c>
      <c r="D73" s="5" t="s">
        <v>1750</v>
      </c>
      <c r="E73" s="5" t="s">
        <v>984</v>
      </c>
      <c r="F73" s="5" t="s">
        <v>1971</v>
      </c>
      <c r="G73" s="5" t="s">
        <v>2148</v>
      </c>
      <c r="H73" s="21" t="str">
        <f t="shared" ref="H73:H136" si="8">RIGHT(F73,1)</f>
        <v>k</v>
      </c>
      <c r="I73" s="22">
        <f t="shared" ref="I73:I136" si="9">VALUE(SUBSTITUTE(_xlfn.REGEXREPLACE(F73,"[^0-9.]",""),".",",")) * IF(H73="m",1000000,IF(H73="k",1000,"Erro"))</f>
        <v>23200</v>
      </c>
      <c r="J73" s="21" t="str">
        <f t="shared" ref="J73:J136" si="10">RIGHT(G73,1)</f>
        <v>k</v>
      </c>
      <c r="K73" s="23">
        <f t="shared" ref="K73:K136" si="11">VALUE(SUBSTITUTE(_xlfn.REGEXREPLACE(G73,"[^0-9.]",""),".",",")) * IF(J73="m",1000000,IF(J73="k",1000,"Erro"))</f>
        <v>629300</v>
      </c>
      <c r="L73" s="21">
        <v>5.3</v>
      </c>
      <c r="M73" s="22">
        <f t="shared" ref="M73:M136" si="12">DAY(EOMONTH(C73,0))</f>
        <v>31</v>
      </c>
      <c r="N73" s="23">
        <f t="shared" ref="N73:N136" si="13">K73/M73</f>
        <v>20300</v>
      </c>
      <c r="O73" s="23">
        <f t="shared" ref="O73:O136" si="14">I73/M73</f>
        <v>748.38709677419354</v>
      </c>
      <c r="P73" s="23">
        <f t="shared" ref="P73:P136" si="15">N73/O73</f>
        <v>27.125</v>
      </c>
      <c r="Q73" s="21" t="str">
        <f>IF(ISNA(_xlfn.XLOOKUP(D73,'Same Seller Hist'!H:H,'Same Seller Hist'!H:H)),"Não","Sim")</f>
        <v>Não</v>
      </c>
      <c r="R73" s="21" t="str">
        <f>_xlfn.IFNA(_xlfn.XLOOKUP(D73,'Same Seller Hist'!D:D,'Same Seller Hist'!M:M),"Não Existe")</f>
        <v>Não Existe</v>
      </c>
    </row>
    <row r="74" spans="3:18" x14ac:dyDescent="0.35">
      <c r="C74" s="18">
        <v>45992</v>
      </c>
      <c r="D74" s="5" t="s">
        <v>689</v>
      </c>
      <c r="E74" s="5" t="s">
        <v>908</v>
      </c>
      <c r="F74" s="5" t="s">
        <v>1972</v>
      </c>
      <c r="G74" s="5" t="s">
        <v>2149</v>
      </c>
      <c r="H74" s="21" t="str">
        <f t="shared" si="8"/>
        <v>k</v>
      </c>
      <c r="I74" s="22">
        <f t="shared" si="9"/>
        <v>23100</v>
      </c>
      <c r="J74" s="21" t="str">
        <f t="shared" si="10"/>
        <v>k</v>
      </c>
      <c r="K74" s="23">
        <f t="shared" si="11"/>
        <v>831400</v>
      </c>
      <c r="L74" s="21">
        <v>5.3</v>
      </c>
      <c r="M74" s="22">
        <f t="shared" si="12"/>
        <v>31</v>
      </c>
      <c r="N74" s="23">
        <f t="shared" si="13"/>
        <v>26819.354838709678</v>
      </c>
      <c r="O74" s="23">
        <f t="shared" si="14"/>
        <v>745.16129032258061</v>
      </c>
      <c r="P74" s="23">
        <f t="shared" si="15"/>
        <v>35.991341991341997</v>
      </c>
      <c r="Q74" s="21" t="str">
        <f>IF(ISNA(_xlfn.XLOOKUP(D74,'Same Seller Hist'!H:H,'Same Seller Hist'!H:H)),"Não","Sim")</f>
        <v>Sim</v>
      </c>
      <c r="R74" s="21" t="str">
        <f>_xlfn.IFNA(_xlfn.XLOOKUP(D74,'Same Seller Hist'!D:D,'Same Seller Hist'!M:M),"Não Existe")</f>
        <v>Ativo</v>
      </c>
    </row>
    <row r="75" spans="3:18" x14ac:dyDescent="0.35">
      <c r="C75" s="18">
        <v>45992</v>
      </c>
      <c r="D75" s="5" t="s">
        <v>398</v>
      </c>
      <c r="E75" s="5" t="s">
        <v>928</v>
      </c>
      <c r="F75" s="5" t="s">
        <v>1972</v>
      </c>
      <c r="G75" s="5" t="s">
        <v>2150</v>
      </c>
      <c r="H75" s="21" t="str">
        <f t="shared" si="8"/>
        <v>k</v>
      </c>
      <c r="I75" s="22">
        <f t="shared" si="9"/>
        <v>23100</v>
      </c>
      <c r="J75" s="21" t="str">
        <f t="shared" si="10"/>
        <v>k</v>
      </c>
      <c r="K75" s="23">
        <f t="shared" si="11"/>
        <v>637100</v>
      </c>
      <c r="L75" s="21">
        <v>5.3</v>
      </c>
      <c r="M75" s="22">
        <f t="shared" si="12"/>
        <v>31</v>
      </c>
      <c r="N75" s="23">
        <f t="shared" si="13"/>
        <v>20551.612903225807</v>
      </c>
      <c r="O75" s="23">
        <f t="shared" si="14"/>
        <v>745.16129032258061</v>
      </c>
      <c r="P75" s="23">
        <f t="shared" si="15"/>
        <v>27.580086580086583</v>
      </c>
      <c r="Q75" s="21" t="str">
        <f>IF(ISNA(_xlfn.XLOOKUP(D75,'Same Seller Hist'!H:H,'Same Seller Hist'!H:H)),"Não","Sim")</f>
        <v>Sim</v>
      </c>
      <c r="R75" s="21" t="str">
        <f>_xlfn.IFNA(_xlfn.XLOOKUP(D75,'Same Seller Hist'!D:D,'Same Seller Hist'!M:M),"Não Existe")</f>
        <v>Ativo</v>
      </c>
    </row>
    <row r="76" spans="3:18" x14ac:dyDescent="0.35">
      <c r="C76" s="18">
        <v>45992</v>
      </c>
      <c r="D76" s="5" t="s">
        <v>458</v>
      </c>
      <c r="E76" s="5" t="s">
        <v>939</v>
      </c>
      <c r="F76" s="5" t="s">
        <v>1973</v>
      </c>
      <c r="G76" s="5" t="s">
        <v>2119</v>
      </c>
      <c r="H76" s="21" t="str">
        <f t="shared" si="8"/>
        <v>k</v>
      </c>
      <c r="I76" s="22">
        <f t="shared" si="9"/>
        <v>22700</v>
      </c>
      <c r="J76" s="21" t="str">
        <f t="shared" si="10"/>
        <v>m</v>
      </c>
      <c r="K76" s="23">
        <f t="shared" si="11"/>
        <v>1500000</v>
      </c>
      <c r="L76" s="21">
        <v>5.3</v>
      </c>
      <c r="M76" s="22">
        <f t="shared" si="12"/>
        <v>31</v>
      </c>
      <c r="N76" s="23">
        <f t="shared" si="13"/>
        <v>48387.096774193546</v>
      </c>
      <c r="O76" s="23">
        <f t="shared" si="14"/>
        <v>732.25806451612902</v>
      </c>
      <c r="P76" s="23">
        <f t="shared" si="15"/>
        <v>66.079295154185019</v>
      </c>
      <c r="Q76" s="21" t="str">
        <f>IF(ISNA(_xlfn.XLOOKUP(D76,'Same Seller Hist'!H:H,'Same Seller Hist'!H:H)),"Não","Sim")</f>
        <v>Sim</v>
      </c>
      <c r="R76" s="21" t="str">
        <f>_xlfn.IFNA(_xlfn.XLOOKUP(D76,'Same Seller Hist'!D:D,'Same Seller Hist'!M:M),"Não Existe")</f>
        <v>Ativo</v>
      </c>
    </row>
    <row r="77" spans="3:18" hidden="1" x14ac:dyDescent="0.35">
      <c r="C77" s="18">
        <v>45992</v>
      </c>
      <c r="D77" s="5" t="s">
        <v>1751</v>
      </c>
      <c r="E77" s="5" t="s">
        <v>913</v>
      </c>
      <c r="F77" s="5" t="s">
        <v>1973</v>
      </c>
      <c r="G77" s="5" t="s">
        <v>2118</v>
      </c>
      <c r="H77" s="21" t="str">
        <f t="shared" si="8"/>
        <v>k</v>
      </c>
      <c r="I77" s="22">
        <f t="shared" si="9"/>
        <v>22700</v>
      </c>
      <c r="J77" s="21" t="str">
        <f t="shared" si="10"/>
        <v>m</v>
      </c>
      <c r="K77" s="23">
        <f t="shared" si="11"/>
        <v>1100000</v>
      </c>
      <c r="L77" s="21">
        <v>5.3</v>
      </c>
      <c r="M77" s="22">
        <f t="shared" si="12"/>
        <v>31</v>
      </c>
      <c r="N77" s="23">
        <f t="shared" si="13"/>
        <v>35483.870967741932</v>
      </c>
      <c r="O77" s="23">
        <f t="shared" si="14"/>
        <v>732.25806451612902</v>
      </c>
      <c r="P77" s="23">
        <f t="shared" si="15"/>
        <v>48.458149779735677</v>
      </c>
      <c r="Q77" s="21" t="str">
        <f>IF(ISNA(_xlfn.XLOOKUP(D77,'Same Seller Hist'!H:H,'Same Seller Hist'!H:H)),"Não","Sim")</f>
        <v>Não</v>
      </c>
      <c r="R77" s="21" t="str">
        <f>_xlfn.IFNA(_xlfn.XLOOKUP(D77,'Same Seller Hist'!D:D,'Same Seller Hist'!M:M),"Não Existe")</f>
        <v>Não Existe</v>
      </c>
    </row>
    <row r="78" spans="3:18" x14ac:dyDescent="0.35">
      <c r="C78" s="18">
        <v>45992</v>
      </c>
      <c r="D78" s="5" t="s">
        <v>508</v>
      </c>
      <c r="E78" s="5" t="s">
        <v>913</v>
      </c>
      <c r="F78" s="5" t="s">
        <v>1974</v>
      </c>
      <c r="G78" s="5" t="s">
        <v>2114</v>
      </c>
      <c r="H78" s="21" t="str">
        <f t="shared" si="8"/>
        <v>k</v>
      </c>
      <c r="I78" s="22">
        <f t="shared" si="9"/>
        <v>22600</v>
      </c>
      <c r="J78" s="21" t="str">
        <f t="shared" si="10"/>
        <v>m</v>
      </c>
      <c r="K78" s="23">
        <f t="shared" si="11"/>
        <v>1600000</v>
      </c>
      <c r="L78" s="21">
        <v>5.3</v>
      </c>
      <c r="M78" s="22">
        <f t="shared" si="12"/>
        <v>31</v>
      </c>
      <c r="N78" s="23">
        <f t="shared" si="13"/>
        <v>51612.903225806454</v>
      </c>
      <c r="O78" s="23">
        <f t="shared" si="14"/>
        <v>729.0322580645161</v>
      </c>
      <c r="P78" s="23">
        <f t="shared" si="15"/>
        <v>70.796460176991161</v>
      </c>
      <c r="Q78" s="21" t="str">
        <f>IF(ISNA(_xlfn.XLOOKUP(D78,'Same Seller Hist'!H:H,'Same Seller Hist'!H:H)),"Não","Sim")</f>
        <v>Sim</v>
      </c>
      <c r="R78" s="21" t="str">
        <f>_xlfn.IFNA(_xlfn.XLOOKUP(D78,'Same Seller Hist'!D:D,'Same Seller Hist'!M:M),"Não Existe")</f>
        <v>Ativo</v>
      </c>
    </row>
    <row r="79" spans="3:18" x14ac:dyDescent="0.35">
      <c r="C79" s="18">
        <v>45992</v>
      </c>
      <c r="D79" s="5" t="s">
        <v>676</v>
      </c>
      <c r="E79" s="5" t="s">
        <v>908</v>
      </c>
      <c r="F79" s="5" t="s">
        <v>1975</v>
      </c>
      <c r="G79" s="5" t="s">
        <v>2151</v>
      </c>
      <c r="H79" s="21" t="str">
        <f t="shared" si="8"/>
        <v>k</v>
      </c>
      <c r="I79" s="22">
        <f t="shared" si="9"/>
        <v>22500</v>
      </c>
      <c r="J79" s="21" t="str">
        <f t="shared" si="10"/>
        <v>m</v>
      </c>
      <c r="K79" s="23">
        <f t="shared" si="11"/>
        <v>2300000</v>
      </c>
      <c r="L79" s="21">
        <v>5.3</v>
      </c>
      <c r="M79" s="22">
        <f t="shared" si="12"/>
        <v>31</v>
      </c>
      <c r="N79" s="23">
        <f t="shared" si="13"/>
        <v>74193.548387096773</v>
      </c>
      <c r="O79" s="23">
        <f t="shared" si="14"/>
        <v>725.80645161290317</v>
      </c>
      <c r="P79" s="23">
        <f t="shared" si="15"/>
        <v>102.22222222222223</v>
      </c>
      <c r="Q79" s="21" t="str">
        <f>IF(ISNA(_xlfn.XLOOKUP(D79,'Same Seller Hist'!H:H,'Same Seller Hist'!H:H)),"Não","Sim")</f>
        <v>Sim</v>
      </c>
      <c r="R79" s="21" t="str">
        <f>_xlfn.IFNA(_xlfn.XLOOKUP(D79,'Same Seller Hist'!D:D,'Same Seller Hist'!M:M),"Não Existe")</f>
        <v>Ativo</v>
      </c>
    </row>
    <row r="80" spans="3:18" x14ac:dyDescent="0.35">
      <c r="C80" s="18">
        <v>45992</v>
      </c>
      <c r="D80" s="5" t="s">
        <v>197</v>
      </c>
      <c r="E80" s="5" t="s">
        <v>908</v>
      </c>
      <c r="F80" s="5" t="s">
        <v>1976</v>
      </c>
      <c r="G80" s="5" t="s">
        <v>2141</v>
      </c>
      <c r="H80" s="21" t="str">
        <f t="shared" si="8"/>
        <v>k</v>
      </c>
      <c r="I80" s="22">
        <f t="shared" si="9"/>
        <v>22400</v>
      </c>
      <c r="J80" s="21" t="str">
        <f t="shared" si="10"/>
        <v>m</v>
      </c>
      <c r="K80" s="23">
        <f t="shared" si="11"/>
        <v>2000000</v>
      </c>
      <c r="L80" s="21">
        <v>5.3</v>
      </c>
      <c r="M80" s="22">
        <f t="shared" si="12"/>
        <v>31</v>
      </c>
      <c r="N80" s="23">
        <f t="shared" si="13"/>
        <v>64516.129032258068</v>
      </c>
      <c r="O80" s="23">
        <f t="shared" si="14"/>
        <v>722.58064516129036</v>
      </c>
      <c r="P80" s="23">
        <f t="shared" si="15"/>
        <v>89.285714285714292</v>
      </c>
      <c r="Q80" s="21" t="str">
        <f>IF(ISNA(_xlfn.XLOOKUP(D80,'Same Seller Hist'!H:H,'Same Seller Hist'!H:H)),"Não","Sim")</f>
        <v>Sim</v>
      </c>
      <c r="R80" s="21" t="str">
        <f>_xlfn.IFNA(_xlfn.XLOOKUP(D80,'Same Seller Hist'!D:D,'Same Seller Hist'!M:M),"Não Existe")</f>
        <v>Ativo</v>
      </c>
    </row>
    <row r="81" spans="3:18" x14ac:dyDescent="0.35">
      <c r="C81" s="18">
        <v>45992</v>
      </c>
      <c r="D81" s="5" t="s">
        <v>792</v>
      </c>
      <c r="E81" s="5" t="s">
        <v>911</v>
      </c>
      <c r="F81" s="5" t="s">
        <v>1976</v>
      </c>
      <c r="G81" s="5" t="s">
        <v>2152</v>
      </c>
      <c r="H81" s="21" t="str">
        <f t="shared" si="8"/>
        <v>k</v>
      </c>
      <c r="I81" s="22">
        <f t="shared" si="9"/>
        <v>22400</v>
      </c>
      <c r="J81" s="21" t="str">
        <f t="shared" si="10"/>
        <v>k</v>
      </c>
      <c r="K81" s="23">
        <f t="shared" si="11"/>
        <v>849500</v>
      </c>
      <c r="L81" s="21">
        <v>5.3</v>
      </c>
      <c r="M81" s="22">
        <f t="shared" si="12"/>
        <v>31</v>
      </c>
      <c r="N81" s="23">
        <f t="shared" si="13"/>
        <v>27403.225806451614</v>
      </c>
      <c r="O81" s="23">
        <f t="shared" si="14"/>
        <v>722.58064516129036</v>
      </c>
      <c r="P81" s="23">
        <f t="shared" si="15"/>
        <v>37.924107142857139</v>
      </c>
      <c r="Q81" s="21" t="str">
        <f>IF(ISNA(_xlfn.XLOOKUP(D81,'Same Seller Hist'!H:H,'Same Seller Hist'!H:H)),"Não","Sim")</f>
        <v>Sim</v>
      </c>
      <c r="R81" s="21" t="str">
        <f>_xlfn.IFNA(_xlfn.XLOOKUP(D81,'Same Seller Hist'!D:D,'Same Seller Hist'!M:M),"Não Existe")</f>
        <v>Ativo</v>
      </c>
    </row>
    <row r="82" spans="3:18" hidden="1" x14ac:dyDescent="0.35">
      <c r="C82" s="18">
        <v>45992</v>
      </c>
      <c r="D82" s="5" t="s">
        <v>1752</v>
      </c>
      <c r="E82" s="5" t="s">
        <v>916</v>
      </c>
      <c r="F82" s="5" t="s">
        <v>1977</v>
      </c>
      <c r="G82" s="5" t="s">
        <v>2114</v>
      </c>
      <c r="H82" s="21" t="str">
        <f t="shared" si="8"/>
        <v>k</v>
      </c>
      <c r="I82" s="22">
        <f t="shared" si="9"/>
        <v>22100</v>
      </c>
      <c r="J82" s="21" t="str">
        <f t="shared" si="10"/>
        <v>m</v>
      </c>
      <c r="K82" s="23">
        <f t="shared" si="11"/>
        <v>1600000</v>
      </c>
      <c r="L82" s="21">
        <v>5.3</v>
      </c>
      <c r="M82" s="22">
        <f t="shared" si="12"/>
        <v>31</v>
      </c>
      <c r="N82" s="23">
        <f t="shared" si="13"/>
        <v>51612.903225806454</v>
      </c>
      <c r="O82" s="23">
        <f t="shared" si="14"/>
        <v>712.90322580645159</v>
      </c>
      <c r="P82" s="23">
        <f t="shared" si="15"/>
        <v>72.398190045248882</v>
      </c>
      <c r="Q82" s="21" t="str">
        <f>IF(ISNA(_xlfn.XLOOKUP(D82,'Same Seller Hist'!H:H,'Same Seller Hist'!H:H)),"Não","Sim")</f>
        <v>Não</v>
      </c>
      <c r="R82" s="21" t="str">
        <f>_xlfn.IFNA(_xlfn.XLOOKUP(D82,'Same Seller Hist'!D:D,'Same Seller Hist'!M:M),"Não Existe")</f>
        <v>Não Existe</v>
      </c>
    </row>
    <row r="83" spans="3:18" x14ac:dyDescent="0.35">
      <c r="C83" s="18">
        <v>45992</v>
      </c>
      <c r="D83" s="5" t="s">
        <v>69</v>
      </c>
      <c r="E83" s="5" t="s">
        <v>916</v>
      </c>
      <c r="F83" s="5" t="s">
        <v>1978</v>
      </c>
      <c r="G83" s="5" t="s">
        <v>2153</v>
      </c>
      <c r="H83" s="21" t="str">
        <f t="shared" si="8"/>
        <v>k</v>
      </c>
      <c r="I83" s="22">
        <f t="shared" si="9"/>
        <v>21900</v>
      </c>
      <c r="J83" s="21" t="str">
        <f t="shared" si="10"/>
        <v>k</v>
      </c>
      <c r="K83" s="23">
        <f t="shared" si="11"/>
        <v>567700</v>
      </c>
      <c r="L83" s="21">
        <v>5.3</v>
      </c>
      <c r="M83" s="22">
        <f t="shared" si="12"/>
        <v>31</v>
      </c>
      <c r="N83" s="23">
        <f t="shared" si="13"/>
        <v>18312.903225806451</v>
      </c>
      <c r="O83" s="23">
        <f t="shared" si="14"/>
        <v>706.45161290322585</v>
      </c>
      <c r="P83" s="23">
        <f t="shared" si="15"/>
        <v>25.922374429223741</v>
      </c>
      <c r="Q83" s="21" t="str">
        <f>IF(ISNA(_xlfn.XLOOKUP(D83,'Same Seller Hist'!H:H,'Same Seller Hist'!H:H)),"Não","Sim")</f>
        <v>Sim</v>
      </c>
      <c r="R83" s="21" t="str">
        <f>_xlfn.IFNA(_xlfn.XLOOKUP(D83,'Same Seller Hist'!D:D,'Same Seller Hist'!M:M),"Não Existe")</f>
        <v>Ativo</v>
      </c>
    </row>
    <row r="84" spans="3:18" x14ac:dyDescent="0.35">
      <c r="C84" s="18">
        <v>45992</v>
      </c>
      <c r="D84" s="5" t="s">
        <v>900</v>
      </c>
      <c r="E84" s="5" t="s">
        <v>984</v>
      </c>
      <c r="F84" s="5" t="s">
        <v>1978</v>
      </c>
      <c r="G84" s="5" t="s">
        <v>2118</v>
      </c>
      <c r="H84" s="21" t="str">
        <f t="shared" si="8"/>
        <v>k</v>
      </c>
      <c r="I84" s="22">
        <f t="shared" si="9"/>
        <v>21900</v>
      </c>
      <c r="J84" s="21" t="str">
        <f t="shared" si="10"/>
        <v>m</v>
      </c>
      <c r="K84" s="23">
        <f t="shared" si="11"/>
        <v>1100000</v>
      </c>
      <c r="L84" s="21">
        <v>5.3</v>
      </c>
      <c r="M84" s="22">
        <f t="shared" si="12"/>
        <v>31</v>
      </c>
      <c r="N84" s="23">
        <f t="shared" si="13"/>
        <v>35483.870967741932</v>
      </c>
      <c r="O84" s="23">
        <f t="shared" si="14"/>
        <v>706.45161290322585</v>
      </c>
      <c r="P84" s="23">
        <f t="shared" si="15"/>
        <v>50.228310502283094</v>
      </c>
      <c r="Q84" s="21" t="str">
        <f>IF(ISNA(_xlfn.XLOOKUP(D84,'Same Seller Hist'!H:H,'Same Seller Hist'!H:H)),"Não","Sim")</f>
        <v>Sim</v>
      </c>
      <c r="R84" s="21" t="str">
        <f>_xlfn.IFNA(_xlfn.XLOOKUP(D84,'Same Seller Hist'!D:D,'Same Seller Hist'!M:M),"Não Existe")</f>
        <v>Ativo</v>
      </c>
    </row>
    <row r="85" spans="3:18" x14ac:dyDescent="0.35">
      <c r="C85" s="18">
        <v>45992</v>
      </c>
      <c r="D85" s="5" t="s">
        <v>379</v>
      </c>
      <c r="E85" s="5" t="s">
        <v>918</v>
      </c>
      <c r="F85" s="5" t="s">
        <v>1979</v>
      </c>
      <c r="G85" s="5" t="s">
        <v>2154</v>
      </c>
      <c r="H85" s="21" t="str">
        <f t="shared" si="8"/>
        <v>k</v>
      </c>
      <c r="I85" s="22">
        <f t="shared" si="9"/>
        <v>21700</v>
      </c>
      <c r="J85" s="21" t="str">
        <f t="shared" si="10"/>
        <v>k</v>
      </c>
      <c r="K85" s="23">
        <f t="shared" si="11"/>
        <v>438900</v>
      </c>
      <c r="L85" s="21">
        <v>5.3</v>
      </c>
      <c r="M85" s="22">
        <f t="shared" si="12"/>
        <v>31</v>
      </c>
      <c r="N85" s="23">
        <f t="shared" si="13"/>
        <v>14158.064516129032</v>
      </c>
      <c r="O85" s="23">
        <f t="shared" si="14"/>
        <v>700</v>
      </c>
      <c r="P85" s="23">
        <f t="shared" si="15"/>
        <v>20.225806451612904</v>
      </c>
      <c r="Q85" s="21" t="str">
        <f>IF(ISNA(_xlfn.XLOOKUP(D85,'Same Seller Hist'!H:H,'Same Seller Hist'!H:H)),"Não","Sim")</f>
        <v>Sim</v>
      </c>
      <c r="R85" s="21" t="str">
        <f>_xlfn.IFNA(_xlfn.XLOOKUP(D85,'Same Seller Hist'!D:D,'Same Seller Hist'!M:M),"Não Existe")</f>
        <v>Ativo</v>
      </c>
    </row>
    <row r="86" spans="3:18" hidden="1" x14ac:dyDescent="0.35">
      <c r="C86" s="18">
        <v>45992</v>
      </c>
      <c r="D86" s="5" t="s">
        <v>1753</v>
      </c>
      <c r="E86" s="5" t="s">
        <v>984</v>
      </c>
      <c r="F86" s="5" t="s">
        <v>1980</v>
      </c>
      <c r="G86" s="5" t="s">
        <v>2155</v>
      </c>
      <c r="H86" s="21" t="str">
        <f t="shared" si="8"/>
        <v>k</v>
      </c>
      <c r="I86" s="22">
        <f t="shared" si="9"/>
        <v>21600</v>
      </c>
      <c r="J86" s="21" t="str">
        <f t="shared" si="10"/>
        <v>k</v>
      </c>
      <c r="K86" s="23">
        <f t="shared" si="11"/>
        <v>985000</v>
      </c>
      <c r="L86" s="21">
        <v>5.3</v>
      </c>
      <c r="M86" s="22">
        <f t="shared" si="12"/>
        <v>31</v>
      </c>
      <c r="N86" s="23">
        <f t="shared" si="13"/>
        <v>31774.193548387098</v>
      </c>
      <c r="O86" s="23">
        <f t="shared" si="14"/>
        <v>696.77419354838707</v>
      </c>
      <c r="P86" s="23">
        <f t="shared" si="15"/>
        <v>45.601851851851855</v>
      </c>
      <c r="Q86" s="21" t="str">
        <f>IF(ISNA(_xlfn.XLOOKUP(D86,'Same Seller Hist'!H:H,'Same Seller Hist'!H:H)),"Não","Sim")</f>
        <v>Não</v>
      </c>
      <c r="R86" s="21" t="str">
        <f>_xlfn.IFNA(_xlfn.XLOOKUP(D86,'Same Seller Hist'!D:D,'Same Seller Hist'!M:M),"Não Existe")</f>
        <v>Não Existe</v>
      </c>
    </row>
    <row r="87" spans="3:18" hidden="1" x14ac:dyDescent="0.35">
      <c r="C87" s="18">
        <v>45992</v>
      </c>
      <c r="D87" s="5" t="s">
        <v>1754</v>
      </c>
      <c r="E87" s="5" t="s">
        <v>908</v>
      </c>
      <c r="F87" s="5" t="s">
        <v>1981</v>
      </c>
      <c r="G87" s="5" t="s">
        <v>2110</v>
      </c>
      <c r="H87" s="21" t="str">
        <f t="shared" si="8"/>
        <v>k</v>
      </c>
      <c r="I87" s="22">
        <f t="shared" si="9"/>
        <v>21500</v>
      </c>
      <c r="J87" s="21" t="str">
        <f t="shared" si="10"/>
        <v>m</v>
      </c>
      <c r="K87" s="23">
        <f t="shared" si="11"/>
        <v>1300000</v>
      </c>
      <c r="L87" s="21">
        <v>5.3</v>
      </c>
      <c r="M87" s="22">
        <f t="shared" si="12"/>
        <v>31</v>
      </c>
      <c r="N87" s="23">
        <f t="shared" si="13"/>
        <v>41935.483870967742</v>
      </c>
      <c r="O87" s="23">
        <f t="shared" si="14"/>
        <v>693.54838709677415</v>
      </c>
      <c r="P87" s="23">
        <f t="shared" si="15"/>
        <v>60.465116279069775</v>
      </c>
      <c r="Q87" s="21" t="str">
        <f>IF(ISNA(_xlfn.XLOOKUP(D87,'Same Seller Hist'!H:H,'Same Seller Hist'!H:H)),"Não","Sim")</f>
        <v>Não</v>
      </c>
      <c r="R87" s="21" t="str">
        <f>_xlfn.IFNA(_xlfn.XLOOKUP(D87,'Same Seller Hist'!D:D,'Same Seller Hist'!M:M),"Não Existe")</f>
        <v>Não Existe</v>
      </c>
    </row>
    <row r="88" spans="3:18" hidden="1" x14ac:dyDescent="0.35">
      <c r="C88" s="18">
        <v>45992</v>
      </c>
      <c r="D88" s="5" t="s">
        <v>1755</v>
      </c>
      <c r="E88" s="5" t="s">
        <v>924</v>
      </c>
      <c r="F88" s="5" t="s">
        <v>1982</v>
      </c>
      <c r="G88" s="5" t="s">
        <v>2156</v>
      </c>
      <c r="H88" s="21" t="str">
        <f t="shared" si="8"/>
        <v>k</v>
      </c>
      <c r="I88" s="22">
        <f t="shared" si="9"/>
        <v>21300</v>
      </c>
      <c r="J88" s="21" t="str">
        <f t="shared" si="10"/>
        <v>k</v>
      </c>
      <c r="K88" s="23">
        <f t="shared" si="11"/>
        <v>383500</v>
      </c>
      <c r="L88" s="21">
        <v>5.3</v>
      </c>
      <c r="M88" s="22">
        <f t="shared" si="12"/>
        <v>31</v>
      </c>
      <c r="N88" s="23">
        <f t="shared" si="13"/>
        <v>12370.967741935483</v>
      </c>
      <c r="O88" s="23">
        <f t="shared" si="14"/>
        <v>687.09677419354841</v>
      </c>
      <c r="P88" s="23">
        <f t="shared" si="15"/>
        <v>18.004694835680748</v>
      </c>
      <c r="Q88" s="21" t="str">
        <f>IF(ISNA(_xlfn.XLOOKUP(D88,'Same Seller Hist'!H:H,'Same Seller Hist'!H:H)),"Não","Sim")</f>
        <v>Não</v>
      </c>
      <c r="R88" s="21" t="str">
        <f>_xlfn.IFNA(_xlfn.XLOOKUP(D88,'Same Seller Hist'!D:D,'Same Seller Hist'!M:M),"Não Existe")</f>
        <v>Não Existe</v>
      </c>
    </row>
    <row r="89" spans="3:18" x14ac:dyDescent="0.35">
      <c r="C89" s="18">
        <v>45992</v>
      </c>
      <c r="D89" s="5" t="s">
        <v>196</v>
      </c>
      <c r="E89" s="5" t="s">
        <v>911</v>
      </c>
      <c r="F89" s="5" t="s">
        <v>1983</v>
      </c>
      <c r="G89" s="5" t="s">
        <v>2157</v>
      </c>
      <c r="H89" s="21" t="str">
        <f t="shared" si="8"/>
        <v>k</v>
      </c>
      <c r="I89" s="22">
        <f t="shared" si="9"/>
        <v>21000</v>
      </c>
      <c r="J89" s="21" t="str">
        <f t="shared" si="10"/>
        <v>k</v>
      </c>
      <c r="K89" s="23">
        <f t="shared" si="11"/>
        <v>442500</v>
      </c>
      <c r="L89" s="21">
        <v>5.3</v>
      </c>
      <c r="M89" s="22">
        <f t="shared" si="12"/>
        <v>31</v>
      </c>
      <c r="N89" s="23">
        <f t="shared" si="13"/>
        <v>14274.193548387097</v>
      </c>
      <c r="O89" s="23">
        <f t="shared" si="14"/>
        <v>677.41935483870964</v>
      </c>
      <c r="P89" s="23">
        <f t="shared" si="15"/>
        <v>21.071428571428573</v>
      </c>
      <c r="Q89" s="21" t="str">
        <f>IF(ISNA(_xlfn.XLOOKUP(D89,'Same Seller Hist'!H:H,'Same Seller Hist'!H:H)),"Não","Sim")</f>
        <v>Sim</v>
      </c>
      <c r="R89" s="21" t="str">
        <f>_xlfn.IFNA(_xlfn.XLOOKUP(D89,'Same Seller Hist'!D:D,'Same Seller Hist'!M:M),"Não Existe")</f>
        <v>Ativo</v>
      </c>
    </row>
    <row r="90" spans="3:18" hidden="1" x14ac:dyDescent="0.35">
      <c r="C90" s="18">
        <v>45992</v>
      </c>
      <c r="D90" s="5" t="s">
        <v>1756</v>
      </c>
      <c r="E90" s="5" t="s">
        <v>928</v>
      </c>
      <c r="F90" s="5" t="s">
        <v>1984</v>
      </c>
      <c r="G90" s="5" t="s">
        <v>2158</v>
      </c>
      <c r="H90" s="21" t="str">
        <f t="shared" si="8"/>
        <v>k</v>
      </c>
      <c r="I90" s="22">
        <f t="shared" si="9"/>
        <v>20900</v>
      </c>
      <c r="J90" s="21" t="str">
        <f t="shared" si="10"/>
        <v>k</v>
      </c>
      <c r="K90" s="23">
        <f t="shared" si="11"/>
        <v>570600</v>
      </c>
      <c r="L90" s="21">
        <v>5.3</v>
      </c>
      <c r="M90" s="22">
        <f t="shared" si="12"/>
        <v>31</v>
      </c>
      <c r="N90" s="23">
        <f t="shared" si="13"/>
        <v>18406.451612903227</v>
      </c>
      <c r="O90" s="23">
        <f t="shared" si="14"/>
        <v>674.19354838709683</v>
      </c>
      <c r="P90" s="23">
        <f t="shared" si="15"/>
        <v>27.301435406698566</v>
      </c>
      <c r="Q90" s="21" t="str">
        <f>IF(ISNA(_xlfn.XLOOKUP(D90,'Same Seller Hist'!H:H,'Same Seller Hist'!H:H)),"Não","Sim")</f>
        <v>Não</v>
      </c>
      <c r="R90" s="21" t="str">
        <f>_xlfn.IFNA(_xlfn.XLOOKUP(D90,'Same Seller Hist'!D:D,'Same Seller Hist'!M:M),"Não Existe")</f>
        <v>Não Existe</v>
      </c>
    </row>
    <row r="91" spans="3:18" x14ac:dyDescent="0.35">
      <c r="C91" s="18">
        <v>45992</v>
      </c>
      <c r="D91" s="5" t="s">
        <v>343</v>
      </c>
      <c r="E91" s="5" t="s">
        <v>1914</v>
      </c>
      <c r="F91" s="5" t="s">
        <v>1985</v>
      </c>
      <c r="G91" s="5" t="s">
        <v>2159</v>
      </c>
      <c r="H91" s="21" t="str">
        <f t="shared" si="8"/>
        <v>k</v>
      </c>
      <c r="I91" s="22">
        <f t="shared" si="9"/>
        <v>20500</v>
      </c>
      <c r="J91" s="21" t="str">
        <f t="shared" si="10"/>
        <v>k</v>
      </c>
      <c r="K91" s="23">
        <f t="shared" si="11"/>
        <v>224900</v>
      </c>
      <c r="L91" s="21">
        <v>5.3</v>
      </c>
      <c r="M91" s="22">
        <f t="shared" si="12"/>
        <v>31</v>
      </c>
      <c r="N91" s="23">
        <f t="shared" si="13"/>
        <v>7254.8387096774195</v>
      </c>
      <c r="O91" s="23">
        <f t="shared" si="14"/>
        <v>661.29032258064512</v>
      </c>
      <c r="P91" s="23">
        <f t="shared" si="15"/>
        <v>10.970731707317073</v>
      </c>
      <c r="Q91" s="21" t="str">
        <f>IF(ISNA(_xlfn.XLOOKUP(D91,'Same Seller Hist'!H:H,'Same Seller Hist'!H:H)),"Não","Sim")</f>
        <v>Sim</v>
      </c>
      <c r="R91" s="21" t="str">
        <f>_xlfn.IFNA(_xlfn.XLOOKUP(D91,'Same Seller Hist'!D:D,'Same Seller Hist'!M:M),"Não Existe")</f>
        <v>Ativo</v>
      </c>
    </row>
    <row r="92" spans="3:18" x14ac:dyDescent="0.35">
      <c r="C92" s="18">
        <v>45992</v>
      </c>
      <c r="D92" s="5" t="s">
        <v>744</v>
      </c>
      <c r="E92" s="5" t="s">
        <v>926</v>
      </c>
      <c r="F92" s="5" t="s">
        <v>1985</v>
      </c>
      <c r="G92" s="5" t="s">
        <v>2160</v>
      </c>
      <c r="H92" s="21" t="str">
        <f t="shared" si="8"/>
        <v>k</v>
      </c>
      <c r="I92" s="22">
        <f t="shared" si="9"/>
        <v>20500</v>
      </c>
      <c r="J92" s="21" t="str">
        <f t="shared" si="10"/>
        <v>k</v>
      </c>
      <c r="K92" s="23">
        <f t="shared" si="11"/>
        <v>201400</v>
      </c>
      <c r="L92" s="21">
        <v>5.3</v>
      </c>
      <c r="M92" s="22">
        <f t="shared" si="12"/>
        <v>31</v>
      </c>
      <c r="N92" s="23">
        <f t="shared" si="13"/>
        <v>6496.7741935483873</v>
      </c>
      <c r="O92" s="23">
        <f t="shared" si="14"/>
        <v>661.29032258064512</v>
      </c>
      <c r="P92" s="23">
        <f t="shared" si="15"/>
        <v>9.8243902439024406</v>
      </c>
      <c r="Q92" s="21" t="str">
        <f>IF(ISNA(_xlfn.XLOOKUP(D92,'Same Seller Hist'!H:H,'Same Seller Hist'!H:H)),"Não","Sim")</f>
        <v>Sim</v>
      </c>
      <c r="R92" s="21" t="str">
        <f>_xlfn.IFNA(_xlfn.XLOOKUP(D92,'Same Seller Hist'!D:D,'Same Seller Hist'!M:M),"Não Existe")</f>
        <v>Ativo</v>
      </c>
    </row>
    <row r="93" spans="3:18" hidden="1" x14ac:dyDescent="0.35">
      <c r="C93" s="18">
        <v>45992</v>
      </c>
      <c r="D93" s="5" t="s">
        <v>59</v>
      </c>
      <c r="E93" s="5" t="s">
        <v>939</v>
      </c>
      <c r="F93" s="5" t="s">
        <v>1986</v>
      </c>
      <c r="G93" s="5" t="s">
        <v>2116</v>
      </c>
      <c r="H93" s="21" t="str">
        <f t="shared" si="8"/>
        <v>k</v>
      </c>
      <c r="I93" s="22">
        <f t="shared" si="9"/>
        <v>20400</v>
      </c>
      <c r="J93" s="21" t="str">
        <f t="shared" si="10"/>
        <v>m</v>
      </c>
      <c r="K93" s="23">
        <f t="shared" si="11"/>
        <v>1000000</v>
      </c>
      <c r="L93" s="21">
        <v>5.3</v>
      </c>
      <c r="M93" s="22">
        <f t="shared" si="12"/>
        <v>31</v>
      </c>
      <c r="N93" s="23">
        <f t="shared" si="13"/>
        <v>32258.064516129034</v>
      </c>
      <c r="O93" s="23">
        <f t="shared" si="14"/>
        <v>658.06451612903231</v>
      </c>
      <c r="P93" s="23">
        <f t="shared" si="15"/>
        <v>49.019607843137251</v>
      </c>
      <c r="Q93" s="21" t="str">
        <f>IF(ISNA(_xlfn.XLOOKUP(D93,'Same Seller Hist'!H:H,'Same Seller Hist'!H:H)),"Não","Sim")</f>
        <v>Não</v>
      </c>
      <c r="R93" s="21" t="str">
        <f>_xlfn.IFNA(_xlfn.XLOOKUP(D93,'Same Seller Hist'!D:D,'Same Seller Hist'!M:M),"Não Existe")</f>
        <v>Ativo</v>
      </c>
    </row>
    <row r="94" spans="3:18" hidden="1" x14ac:dyDescent="0.35">
      <c r="C94" s="18">
        <v>45992</v>
      </c>
      <c r="D94" s="5" t="s">
        <v>1757</v>
      </c>
      <c r="E94" s="5" t="s">
        <v>933</v>
      </c>
      <c r="F94" s="5" t="s">
        <v>1987</v>
      </c>
      <c r="G94" s="5" t="s">
        <v>2161</v>
      </c>
      <c r="H94" s="21" t="str">
        <f t="shared" si="8"/>
        <v>k</v>
      </c>
      <c r="I94" s="22">
        <f t="shared" si="9"/>
        <v>20200</v>
      </c>
      <c r="J94" s="21" t="str">
        <f t="shared" si="10"/>
        <v>k</v>
      </c>
      <c r="K94" s="23">
        <f t="shared" si="11"/>
        <v>611300</v>
      </c>
      <c r="L94" s="21">
        <v>5.3</v>
      </c>
      <c r="M94" s="22">
        <f t="shared" si="12"/>
        <v>31</v>
      </c>
      <c r="N94" s="23">
        <f t="shared" si="13"/>
        <v>19719.354838709678</v>
      </c>
      <c r="O94" s="23">
        <f t="shared" si="14"/>
        <v>651.61290322580646</v>
      </c>
      <c r="P94" s="23">
        <f t="shared" si="15"/>
        <v>30.262376237623762</v>
      </c>
      <c r="Q94" s="21" t="str">
        <f>IF(ISNA(_xlfn.XLOOKUP(D94,'Same Seller Hist'!H:H,'Same Seller Hist'!H:H)),"Não","Sim")</f>
        <v>Não</v>
      </c>
      <c r="R94" s="21" t="str">
        <f>_xlfn.IFNA(_xlfn.XLOOKUP(D94,'Same Seller Hist'!D:D,'Same Seller Hist'!M:M),"Não Existe")</f>
        <v>Não Existe</v>
      </c>
    </row>
    <row r="95" spans="3:18" x14ac:dyDescent="0.35">
      <c r="C95" s="18">
        <v>45992</v>
      </c>
      <c r="D95" s="5" t="s">
        <v>773</v>
      </c>
      <c r="E95" s="5" t="s">
        <v>910</v>
      </c>
      <c r="F95" s="5" t="s">
        <v>1988</v>
      </c>
      <c r="G95" s="5" t="s">
        <v>2162</v>
      </c>
      <c r="H95" s="21" t="str">
        <f t="shared" si="8"/>
        <v>k</v>
      </c>
      <c r="I95" s="22">
        <f t="shared" si="9"/>
        <v>20100</v>
      </c>
      <c r="J95" s="21" t="str">
        <f t="shared" si="10"/>
        <v>k</v>
      </c>
      <c r="K95" s="23">
        <f t="shared" si="11"/>
        <v>817100</v>
      </c>
      <c r="L95" s="21">
        <v>5.3</v>
      </c>
      <c r="M95" s="22">
        <f t="shared" si="12"/>
        <v>31</v>
      </c>
      <c r="N95" s="23">
        <f t="shared" si="13"/>
        <v>26358.064516129034</v>
      </c>
      <c r="O95" s="23">
        <f t="shared" si="14"/>
        <v>648.38709677419354</v>
      </c>
      <c r="P95" s="23">
        <f t="shared" si="15"/>
        <v>40.651741293532339</v>
      </c>
      <c r="Q95" s="21" t="str">
        <f>IF(ISNA(_xlfn.XLOOKUP(D95,'Same Seller Hist'!H:H,'Same Seller Hist'!H:H)),"Não","Sim")</f>
        <v>Sim</v>
      </c>
      <c r="R95" s="21" t="str">
        <f>_xlfn.IFNA(_xlfn.XLOOKUP(D95,'Same Seller Hist'!D:D,'Same Seller Hist'!M:M),"Não Existe")</f>
        <v>Ativo</v>
      </c>
    </row>
    <row r="96" spans="3:18" x14ac:dyDescent="0.35">
      <c r="C96" s="18">
        <v>45992</v>
      </c>
      <c r="D96" s="5" t="s">
        <v>886</v>
      </c>
      <c r="E96" s="5" t="s">
        <v>916</v>
      </c>
      <c r="F96" s="5" t="s">
        <v>1989</v>
      </c>
      <c r="G96" s="5" t="s">
        <v>2163</v>
      </c>
      <c r="H96" s="21" t="str">
        <f t="shared" si="8"/>
        <v>k</v>
      </c>
      <c r="I96" s="22">
        <f t="shared" si="9"/>
        <v>20000</v>
      </c>
      <c r="J96" s="21" t="str">
        <f t="shared" si="10"/>
        <v>k</v>
      </c>
      <c r="K96" s="23">
        <f t="shared" si="11"/>
        <v>407800</v>
      </c>
      <c r="L96" s="21">
        <v>5.3</v>
      </c>
      <c r="M96" s="22">
        <f t="shared" si="12"/>
        <v>31</v>
      </c>
      <c r="N96" s="23">
        <f t="shared" si="13"/>
        <v>13154.838709677419</v>
      </c>
      <c r="O96" s="23">
        <f t="shared" si="14"/>
        <v>645.16129032258061</v>
      </c>
      <c r="P96" s="23">
        <f t="shared" si="15"/>
        <v>20.39</v>
      </c>
      <c r="Q96" s="21" t="str">
        <f>IF(ISNA(_xlfn.XLOOKUP(D96,'Same Seller Hist'!H:H,'Same Seller Hist'!H:H)),"Não","Sim")</f>
        <v>Sim</v>
      </c>
      <c r="R96" s="21" t="str">
        <f>_xlfn.IFNA(_xlfn.XLOOKUP(D96,'Same Seller Hist'!D:D,'Same Seller Hist'!M:M),"Não Existe")</f>
        <v>Ativo</v>
      </c>
    </row>
    <row r="97" spans="3:18" hidden="1" x14ac:dyDescent="0.35">
      <c r="C97" s="18">
        <v>45992</v>
      </c>
      <c r="D97" s="5" t="s">
        <v>1758</v>
      </c>
      <c r="E97" s="5" t="s">
        <v>984</v>
      </c>
      <c r="F97" s="5" t="s">
        <v>1990</v>
      </c>
      <c r="G97" s="5" t="s">
        <v>2164</v>
      </c>
      <c r="H97" s="21" t="str">
        <f t="shared" si="8"/>
        <v>k</v>
      </c>
      <c r="I97" s="22">
        <f t="shared" si="9"/>
        <v>19900</v>
      </c>
      <c r="J97" s="21" t="str">
        <f t="shared" si="10"/>
        <v>k</v>
      </c>
      <c r="K97" s="23">
        <f t="shared" si="11"/>
        <v>544700</v>
      </c>
      <c r="L97" s="21">
        <v>5.3</v>
      </c>
      <c r="M97" s="22">
        <f t="shared" si="12"/>
        <v>31</v>
      </c>
      <c r="N97" s="23">
        <f t="shared" si="13"/>
        <v>17570.967741935485</v>
      </c>
      <c r="O97" s="23">
        <f t="shared" si="14"/>
        <v>641.93548387096769</v>
      </c>
      <c r="P97" s="23">
        <f t="shared" si="15"/>
        <v>27.371859296482416</v>
      </c>
      <c r="Q97" s="21" t="str">
        <f>IF(ISNA(_xlfn.XLOOKUP(D97,'Same Seller Hist'!H:H,'Same Seller Hist'!H:H)),"Não","Sim")</f>
        <v>Não</v>
      </c>
      <c r="R97" s="21" t="str">
        <f>_xlfn.IFNA(_xlfn.XLOOKUP(D97,'Same Seller Hist'!D:D,'Same Seller Hist'!M:M),"Não Existe")</f>
        <v>Não Existe</v>
      </c>
    </row>
    <row r="98" spans="3:18" x14ac:dyDescent="0.35">
      <c r="C98" s="18">
        <v>45992</v>
      </c>
      <c r="D98" s="5" t="s">
        <v>428</v>
      </c>
      <c r="E98" s="5" t="s">
        <v>913</v>
      </c>
      <c r="F98" s="5" t="s">
        <v>1990</v>
      </c>
      <c r="G98" s="5" t="s">
        <v>2165</v>
      </c>
      <c r="H98" s="21" t="str">
        <f t="shared" si="8"/>
        <v>k</v>
      </c>
      <c r="I98" s="22">
        <f t="shared" si="9"/>
        <v>19900</v>
      </c>
      <c r="J98" s="21" t="str">
        <f t="shared" si="10"/>
        <v>k</v>
      </c>
      <c r="K98" s="23">
        <f t="shared" si="11"/>
        <v>901500</v>
      </c>
      <c r="L98" s="21">
        <v>5.3</v>
      </c>
      <c r="M98" s="22">
        <f t="shared" si="12"/>
        <v>31</v>
      </c>
      <c r="N98" s="23">
        <f t="shared" si="13"/>
        <v>29080.645161290322</v>
      </c>
      <c r="O98" s="23">
        <f t="shared" si="14"/>
        <v>641.93548387096769</v>
      </c>
      <c r="P98" s="23">
        <f t="shared" si="15"/>
        <v>45.301507537688444</v>
      </c>
      <c r="Q98" s="21" t="str">
        <f>IF(ISNA(_xlfn.XLOOKUP(D98,'Same Seller Hist'!H:H,'Same Seller Hist'!H:H)),"Não","Sim")</f>
        <v>Sim</v>
      </c>
      <c r="R98" s="21" t="str">
        <f>_xlfn.IFNA(_xlfn.XLOOKUP(D98,'Same Seller Hist'!D:D,'Same Seller Hist'!M:M),"Não Existe")</f>
        <v>Ativo</v>
      </c>
    </row>
    <row r="99" spans="3:18" hidden="1" x14ac:dyDescent="0.35">
      <c r="C99" s="18">
        <v>45992</v>
      </c>
      <c r="D99" s="5" t="s">
        <v>349</v>
      </c>
      <c r="E99" s="5" t="s">
        <v>913</v>
      </c>
      <c r="F99" s="5" t="s">
        <v>1991</v>
      </c>
      <c r="G99" s="5" t="s">
        <v>2166</v>
      </c>
      <c r="H99" s="21" t="str">
        <f t="shared" si="8"/>
        <v>k</v>
      </c>
      <c r="I99" s="22">
        <f t="shared" si="9"/>
        <v>19800</v>
      </c>
      <c r="J99" s="21" t="str">
        <f t="shared" si="10"/>
        <v>k</v>
      </c>
      <c r="K99" s="23">
        <f t="shared" si="11"/>
        <v>847600</v>
      </c>
      <c r="L99" s="21">
        <v>5.3</v>
      </c>
      <c r="M99" s="22">
        <f t="shared" si="12"/>
        <v>31</v>
      </c>
      <c r="N99" s="23">
        <f t="shared" si="13"/>
        <v>27341.935483870966</v>
      </c>
      <c r="O99" s="23">
        <f t="shared" si="14"/>
        <v>638.70967741935488</v>
      </c>
      <c r="P99" s="23">
        <f t="shared" si="15"/>
        <v>42.808080808080803</v>
      </c>
      <c r="Q99" s="21" t="str">
        <f>IF(ISNA(_xlfn.XLOOKUP(D99,'Same Seller Hist'!H:H,'Same Seller Hist'!H:H)),"Não","Sim")</f>
        <v>Não</v>
      </c>
      <c r="R99" s="21" t="str">
        <f>_xlfn.IFNA(_xlfn.XLOOKUP(D99,'Same Seller Hist'!D:D,'Same Seller Hist'!M:M),"Não Existe")</f>
        <v>Ativo</v>
      </c>
    </row>
    <row r="100" spans="3:18" x14ac:dyDescent="0.35">
      <c r="C100" s="18">
        <v>45992</v>
      </c>
      <c r="D100" s="5" t="s">
        <v>868</v>
      </c>
      <c r="E100" s="5" t="s">
        <v>916</v>
      </c>
      <c r="F100" s="5" t="s">
        <v>1992</v>
      </c>
      <c r="G100" s="5" t="s">
        <v>2132</v>
      </c>
      <c r="H100" s="21" t="str">
        <f t="shared" si="8"/>
        <v>k</v>
      </c>
      <c r="I100" s="22">
        <f t="shared" si="9"/>
        <v>19600</v>
      </c>
      <c r="J100" s="21" t="str">
        <f t="shared" si="10"/>
        <v>m</v>
      </c>
      <c r="K100" s="23">
        <f t="shared" si="11"/>
        <v>1200000</v>
      </c>
      <c r="L100" s="21">
        <v>5.3</v>
      </c>
      <c r="M100" s="22">
        <f t="shared" si="12"/>
        <v>31</v>
      </c>
      <c r="N100" s="23">
        <f t="shared" si="13"/>
        <v>38709.677419354841</v>
      </c>
      <c r="O100" s="23">
        <f t="shared" si="14"/>
        <v>632.25806451612902</v>
      </c>
      <c r="P100" s="23">
        <f t="shared" si="15"/>
        <v>61.224489795918373</v>
      </c>
      <c r="Q100" s="21" t="str">
        <f>IF(ISNA(_xlfn.XLOOKUP(D100,'Same Seller Hist'!H:H,'Same Seller Hist'!H:H)),"Não","Sim")</f>
        <v>Sim</v>
      </c>
      <c r="R100" s="21" t="str">
        <f>_xlfn.IFNA(_xlfn.XLOOKUP(D100,'Same Seller Hist'!D:D,'Same Seller Hist'!M:M),"Não Existe")</f>
        <v>Ativo</v>
      </c>
    </row>
    <row r="101" spans="3:18" hidden="1" x14ac:dyDescent="0.35">
      <c r="C101" s="18">
        <v>45992</v>
      </c>
      <c r="D101" s="5" t="s">
        <v>1759</v>
      </c>
      <c r="E101" s="5" t="s">
        <v>908</v>
      </c>
      <c r="F101" s="5" t="s">
        <v>1992</v>
      </c>
      <c r="G101" s="5" t="s">
        <v>2167</v>
      </c>
      <c r="H101" s="21" t="str">
        <f t="shared" si="8"/>
        <v>k</v>
      </c>
      <c r="I101" s="22">
        <f t="shared" si="9"/>
        <v>19600</v>
      </c>
      <c r="J101" s="21" t="str">
        <f t="shared" si="10"/>
        <v>k</v>
      </c>
      <c r="K101" s="23">
        <f t="shared" si="11"/>
        <v>727200</v>
      </c>
      <c r="L101" s="21">
        <v>5.3</v>
      </c>
      <c r="M101" s="22">
        <f t="shared" si="12"/>
        <v>31</v>
      </c>
      <c r="N101" s="23">
        <f t="shared" si="13"/>
        <v>23458.064516129034</v>
      </c>
      <c r="O101" s="23">
        <f t="shared" si="14"/>
        <v>632.25806451612902</v>
      </c>
      <c r="P101" s="23">
        <f t="shared" si="15"/>
        <v>37.102040816326536</v>
      </c>
      <c r="Q101" s="21" t="str">
        <f>IF(ISNA(_xlfn.XLOOKUP(D101,'Same Seller Hist'!H:H,'Same Seller Hist'!H:H)),"Não","Sim")</f>
        <v>Não</v>
      </c>
      <c r="R101" s="21" t="str">
        <f>_xlfn.IFNA(_xlfn.XLOOKUP(D101,'Same Seller Hist'!D:D,'Same Seller Hist'!M:M),"Não Existe")</f>
        <v>Não Existe</v>
      </c>
    </row>
    <row r="102" spans="3:18" hidden="1" x14ac:dyDescent="0.35">
      <c r="C102" s="18">
        <v>45992</v>
      </c>
      <c r="D102" s="5" t="s">
        <v>1760</v>
      </c>
      <c r="E102" s="5" t="s">
        <v>908</v>
      </c>
      <c r="F102" s="5" t="s">
        <v>1993</v>
      </c>
      <c r="G102" s="5" t="s">
        <v>2168</v>
      </c>
      <c r="H102" s="21" t="str">
        <f t="shared" si="8"/>
        <v>k</v>
      </c>
      <c r="I102" s="22">
        <f t="shared" si="9"/>
        <v>19500</v>
      </c>
      <c r="J102" s="21" t="str">
        <f t="shared" si="10"/>
        <v>k</v>
      </c>
      <c r="K102" s="23">
        <f t="shared" si="11"/>
        <v>708200</v>
      </c>
      <c r="L102" s="21">
        <v>5.3</v>
      </c>
      <c r="M102" s="22">
        <f t="shared" si="12"/>
        <v>31</v>
      </c>
      <c r="N102" s="23">
        <f t="shared" si="13"/>
        <v>22845.16129032258</v>
      </c>
      <c r="O102" s="23">
        <f t="shared" si="14"/>
        <v>629.0322580645161</v>
      </c>
      <c r="P102" s="23">
        <f t="shared" si="15"/>
        <v>36.317948717948717</v>
      </c>
      <c r="Q102" s="21" t="str">
        <f>IF(ISNA(_xlfn.XLOOKUP(D102,'Same Seller Hist'!H:H,'Same Seller Hist'!H:H)),"Não","Sim")</f>
        <v>Não</v>
      </c>
      <c r="R102" s="21" t="str">
        <f>_xlfn.IFNA(_xlfn.XLOOKUP(D102,'Same Seller Hist'!D:D,'Same Seller Hist'!M:M),"Não Existe")</f>
        <v>Não Existe</v>
      </c>
    </row>
    <row r="103" spans="3:18" hidden="1" x14ac:dyDescent="0.35">
      <c r="C103" s="18">
        <v>45992</v>
      </c>
      <c r="D103" s="5" t="s">
        <v>1761</v>
      </c>
      <c r="E103" s="5" t="s">
        <v>908</v>
      </c>
      <c r="F103" s="5" t="s">
        <v>1993</v>
      </c>
      <c r="G103" s="5" t="s">
        <v>2169</v>
      </c>
      <c r="H103" s="21" t="str">
        <f t="shared" si="8"/>
        <v>k</v>
      </c>
      <c r="I103" s="22">
        <f t="shared" si="9"/>
        <v>19500</v>
      </c>
      <c r="J103" s="21" t="str">
        <f t="shared" si="10"/>
        <v>m</v>
      </c>
      <c r="K103" s="23">
        <f t="shared" si="11"/>
        <v>2400000</v>
      </c>
      <c r="L103" s="21">
        <v>5.3</v>
      </c>
      <c r="M103" s="22">
        <f t="shared" si="12"/>
        <v>31</v>
      </c>
      <c r="N103" s="23">
        <f t="shared" si="13"/>
        <v>77419.354838709682</v>
      </c>
      <c r="O103" s="23">
        <f t="shared" si="14"/>
        <v>629.0322580645161</v>
      </c>
      <c r="P103" s="23">
        <f t="shared" si="15"/>
        <v>123.07692307692309</v>
      </c>
      <c r="Q103" s="21" t="str">
        <f>IF(ISNA(_xlfn.XLOOKUP(D103,'Same Seller Hist'!H:H,'Same Seller Hist'!H:H)),"Não","Sim")</f>
        <v>Não</v>
      </c>
      <c r="R103" s="21" t="str">
        <f>_xlfn.IFNA(_xlfn.XLOOKUP(D103,'Same Seller Hist'!D:D,'Same Seller Hist'!M:M),"Não Existe")</f>
        <v>Não Existe</v>
      </c>
    </row>
    <row r="104" spans="3:18" x14ac:dyDescent="0.35">
      <c r="C104" s="18">
        <v>45992</v>
      </c>
      <c r="D104" s="5" t="s">
        <v>474</v>
      </c>
      <c r="E104" s="5" t="s">
        <v>969</v>
      </c>
      <c r="F104" s="5" t="s">
        <v>1994</v>
      </c>
      <c r="G104" s="5" t="s">
        <v>2135</v>
      </c>
      <c r="H104" s="21" t="str">
        <f t="shared" si="8"/>
        <v>k</v>
      </c>
      <c r="I104" s="22">
        <f t="shared" si="9"/>
        <v>19300</v>
      </c>
      <c r="J104" s="21" t="str">
        <f t="shared" si="10"/>
        <v>m</v>
      </c>
      <c r="K104" s="23">
        <f t="shared" si="11"/>
        <v>1700000</v>
      </c>
      <c r="L104" s="21">
        <v>5.3</v>
      </c>
      <c r="M104" s="22">
        <f t="shared" si="12"/>
        <v>31</v>
      </c>
      <c r="N104" s="23">
        <f t="shared" si="13"/>
        <v>54838.709677419356</v>
      </c>
      <c r="O104" s="23">
        <f t="shared" si="14"/>
        <v>622.58064516129036</v>
      </c>
      <c r="P104" s="23">
        <f t="shared" si="15"/>
        <v>88.082901554404145</v>
      </c>
      <c r="Q104" s="21" t="str">
        <f>IF(ISNA(_xlfn.XLOOKUP(D104,'Same Seller Hist'!H:H,'Same Seller Hist'!H:H)),"Não","Sim")</f>
        <v>Sim</v>
      </c>
      <c r="R104" s="21" t="str">
        <f>_xlfn.IFNA(_xlfn.XLOOKUP(D104,'Same Seller Hist'!D:D,'Same Seller Hist'!M:M),"Não Existe")</f>
        <v>Ativo</v>
      </c>
    </row>
    <row r="105" spans="3:18" x14ac:dyDescent="0.35">
      <c r="C105" s="18">
        <v>45992</v>
      </c>
      <c r="D105" s="5" t="s">
        <v>700</v>
      </c>
      <c r="E105" s="5" t="s">
        <v>984</v>
      </c>
      <c r="F105" s="5" t="s">
        <v>1994</v>
      </c>
      <c r="G105" s="5" t="s">
        <v>2170</v>
      </c>
      <c r="H105" s="21" t="str">
        <f t="shared" si="8"/>
        <v>k</v>
      </c>
      <c r="I105" s="22">
        <f t="shared" si="9"/>
        <v>19300</v>
      </c>
      <c r="J105" s="21" t="str">
        <f t="shared" si="10"/>
        <v>k</v>
      </c>
      <c r="K105" s="23">
        <f t="shared" si="11"/>
        <v>670700</v>
      </c>
      <c r="L105" s="21">
        <v>5.3</v>
      </c>
      <c r="M105" s="22">
        <f t="shared" si="12"/>
        <v>31</v>
      </c>
      <c r="N105" s="23">
        <f t="shared" si="13"/>
        <v>21635.483870967742</v>
      </c>
      <c r="O105" s="23">
        <f t="shared" si="14"/>
        <v>622.58064516129036</v>
      </c>
      <c r="P105" s="23">
        <f t="shared" si="15"/>
        <v>34.751295336787564</v>
      </c>
      <c r="Q105" s="21" t="str">
        <f>IF(ISNA(_xlfn.XLOOKUP(D105,'Same Seller Hist'!H:H,'Same Seller Hist'!H:H)),"Não","Sim")</f>
        <v>Sim</v>
      </c>
      <c r="R105" s="21" t="str">
        <f>_xlfn.IFNA(_xlfn.XLOOKUP(D105,'Same Seller Hist'!D:D,'Same Seller Hist'!M:M),"Não Existe")</f>
        <v>Ativo</v>
      </c>
    </row>
    <row r="106" spans="3:18" hidden="1" x14ac:dyDescent="0.35">
      <c r="C106" s="18">
        <v>45992</v>
      </c>
      <c r="D106" s="5" t="s">
        <v>1762</v>
      </c>
      <c r="E106" s="5" t="s">
        <v>910</v>
      </c>
      <c r="F106" s="5" t="s">
        <v>1995</v>
      </c>
      <c r="G106" s="5" t="s">
        <v>2171</v>
      </c>
      <c r="H106" s="21" t="str">
        <f t="shared" si="8"/>
        <v>k</v>
      </c>
      <c r="I106" s="22">
        <f t="shared" si="9"/>
        <v>18900</v>
      </c>
      <c r="J106" s="21" t="str">
        <f t="shared" si="10"/>
        <v>k</v>
      </c>
      <c r="K106" s="23">
        <f t="shared" si="11"/>
        <v>790600</v>
      </c>
      <c r="L106" s="21">
        <v>5.3</v>
      </c>
      <c r="M106" s="22">
        <f t="shared" si="12"/>
        <v>31</v>
      </c>
      <c r="N106" s="23">
        <f t="shared" si="13"/>
        <v>25503.225806451614</v>
      </c>
      <c r="O106" s="23">
        <f t="shared" si="14"/>
        <v>609.67741935483866</v>
      </c>
      <c r="P106" s="23">
        <f t="shared" si="15"/>
        <v>41.830687830687836</v>
      </c>
      <c r="Q106" s="21" t="str">
        <f>IF(ISNA(_xlfn.XLOOKUP(D106,'Same Seller Hist'!H:H,'Same Seller Hist'!H:H)),"Não","Sim")</f>
        <v>Não</v>
      </c>
      <c r="R106" s="21" t="str">
        <f>_xlfn.IFNA(_xlfn.XLOOKUP(D106,'Same Seller Hist'!D:D,'Same Seller Hist'!M:M),"Não Existe")</f>
        <v>Não Existe</v>
      </c>
    </row>
    <row r="107" spans="3:18" hidden="1" x14ac:dyDescent="0.35">
      <c r="C107" s="18">
        <v>45992</v>
      </c>
      <c r="D107" s="5" t="s">
        <v>1763</v>
      </c>
      <c r="E107" s="5" t="s">
        <v>926</v>
      </c>
      <c r="F107" s="5" t="s">
        <v>1996</v>
      </c>
      <c r="G107" s="5" t="s">
        <v>2172</v>
      </c>
      <c r="H107" s="21" t="str">
        <f t="shared" si="8"/>
        <v>k</v>
      </c>
      <c r="I107" s="22">
        <f t="shared" si="9"/>
        <v>18400</v>
      </c>
      <c r="J107" s="21" t="str">
        <f t="shared" si="10"/>
        <v>k</v>
      </c>
      <c r="K107" s="23">
        <f t="shared" si="11"/>
        <v>893700</v>
      </c>
      <c r="L107" s="21">
        <v>5.3</v>
      </c>
      <c r="M107" s="22">
        <f t="shared" si="12"/>
        <v>31</v>
      </c>
      <c r="N107" s="23">
        <f t="shared" si="13"/>
        <v>28829.032258064515</v>
      </c>
      <c r="O107" s="23">
        <f t="shared" si="14"/>
        <v>593.54838709677415</v>
      </c>
      <c r="P107" s="23">
        <f t="shared" si="15"/>
        <v>48.570652173913047</v>
      </c>
      <c r="Q107" s="21" t="str">
        <f>IF(ISNA(_xlfn.XLOOKUP(D107,'Same Seller Hist'!H:H,'Same Seller Hist'!H:H)),"Não","Sim")</f>
        <v>Não</v>
      </c>
      <c r="R107" s="21" t="str">
        <f>_xlfn.IFNA(_xlfn.XLOOKUP(D107,'Same Seller Hist'!D:D,'Same Seller Hist'!M:M),"Não Existe")</f>
        <v>Não Existe</v>
      </c>
    </row>
    <row r="108" spans="3:18" x14ac:dyDescent="0.35">
      <c r="C108" s="18">
        <v>45992</v>
      </c>
      <c r="D108" s="5" t="s">
        <v>482</v>
      </c>
      <c r="E108" s="5" t="s">
        <v>908</v>
      </c>
      <c r="F108" s="5" t="s">
        <v>1996</v>
      </c>
      <c r="G108" s="5" t="s">
        <v>2119</v>
      </c>
      <c r="H108" s="21" t="str">
        <f t="shared" si="8"/>
        <v>k</v>
      </c>
      <c r="I108" s="22">
        <f t="shared" si="9"/>
        <v>18400</v>
      </c>
      <c r="J108" s="21" t="str">
        <f t="shared" si="10"/>
        <v>m</v>
      </c>
      <c r="K108" s="23">
        <f t="shared" si="11"/>
        <v>1500000</v>
      </c>
      <c r="L108" s="21">
        <v>5.3</v>
      </c>
      <c r="M108" s="22">
        <f t="shared" si="12"/>
        <v>31</v>
      </c>
      <c r="N108" s="23">
        <f t="shared" si="13"/>
        <v>48387.096774193546</v>
      </c>
      <c r="O108" s="23">
        <f t="shared" si="14"/>
        <v>593.54838709677415</v>
      </c>
      <c r="P108" s="23">
        <f t="shared" si="15"/>
        <v>81.521739130434781</v>
      </c>
      <c r="Q108" s="21" t="str">
        <f>IF(ISNA(_xlfn.XLOOKUP(D108,'Same Seller Hist'!H:H,'Same Seller Hist'!H:H)),"Não","Sim")</f>
        <v>Sim</v>
      </c>
      <c r="R108" s="21" t="str">
        <f>_xlfn.IFNA(_xlfn.XLOOKUP(D108,'Same Seller Hist'!D:D,'Same Seller Hist'!M:M),"Não Existe")</f>
        <v>Ativo</v>
      </c>
    </row>
    <row r="109" spans="3:18" x14ac:dyDescent="0.35">
      <c r="C109" s="18">
        <v>45992</v>
      </c>
      <c r="D109" s="5" t="s">
        <v>717</v>
      </c>
      <c r="E109" s="5" t="s">
        <v>910</v>
      </c>
      <c r="F109" s="5" t="s">
        <v>1996</v>
      </c>
      <c r="G109" s="5" t="s">
        <v>2173</v>
      </c>
      <c r="H109" s="21" t="str">
        <f t="shared" si="8"/>
        <v>k</v>
      </c>
      <c r="I109" s="22">
        <f t="shared" si="9"/>
        <v>18400</v>
      </c>
      <c r="J109" s="21" t="str">
        <f t="shared" si="10"/>
        <v>k</v>
      </c>
      <c r="K109" s="23">
        <f t="shared" si="11"/>
        <v>831900</v>
      </c>
      <c r="L109" s="21">
        <v>5.3</v>
      </c>
      <c r="M109" s="22">
        <f t="shared" si="12"/>
        <v>31</v>
      </c>
      <c r="N109" s="23">
        <f t="shared" si="13"/>
        <v>26835.483870967742</v>
      </c>
      <c r="O109" s="23">
        <f t="shared" si="14"/>
        <v>593.54838709677415</v>
      </c>
      <c r="P109" s="23">
        <f t="shared" si="15"/>
        <v>45.211956521739133</v>
      </c>
      <c r="Q109" s="21" t="str">
        <f>IF(ISNA(_xlfn.XLOOKUP(D109,'Same Seller Hist'!H:H,'Same Seller Hist'!H:H)),"Não","Sim")</f>
        <v>Sim</v>
      </c>
      <c r="R109" s="21" t="str">
        <f>_xlfn.IFNA(_xlfn.XLOOKUP(D109,'Same Seller Hist'!D:D,'Same Seller Hist'!M:M),"Não Existe")</f>
        <v>Ativo</v>
      </c>
    </row>
    <row r="110" spans="3:18" x14ac:dyDescent="0.35">
      <c r="C110" s="18">
        <v>45992</v>
      </c>
      <c r="D110" s="5" t="s">
        <v>423</v>
      </c>
      <c r="E110" s="5" t="s">
        <v>975</v>
      </c>
      <c r="F110" s="5" t="s">
        <v>1997</v>
      </c>
      <c r="G110" s="5" t="s">
        <v>2135</v>
      </c>
      <c r="H110" s="21" t="str">
        <f t="shared" si="8"/>
        <v>k</v>
      </c>
      <c r="I110" s="22">
        <f t="shared" si="9"/>
        <v>18200</v>
      </c>
      <c r="J110" s="21" t="str">
        <f t="shared" si="10"/>
        <v>m</v>
      </c>
      <c r="K110" s="23">
        <f t="shared" si="11"/>
        <v>1700000</v>
      </c>
      <c r="L110" s="21">
        <v>5.3</v>
      </c>
      <c r="M110" s="22">
        <f t="shared" si="12"/>
        <v>31</v>
      </c>
      <c r="N110" s="23">
        <f t="shared" si="13"/>
        <v>54838.709677419356</v>
      </c>
      <c r="O110" s="23">
        <f t="shared" si="14"/>
        <v>587.09677419354841</v>
      </c>
      <c r="P110" s="23">
        <f t="shared" si="15"/>
        <v>93.406593406593402</v>
      </c>
      <c r="Q110" s="21" t="str">
        <f>IF(ISNA(_xlfn.XLOOKUP(D110,'Same Seller Hist'!H:H,'Same Seller Hist'!H:H)),"Não","Sim")</f>
        <v>Sim</v>
      </c>
      <c r="R110" s="21" t="str">
        <f>_xlfn.IFNA(_xlfn.XLOOKUP(D110,'Same Seller Hist'!D:D,'Same Seller Hist'!M:M),"Não Existe")</f>
        <v>Ativo</v>
      </c>
    </row>
    <row r="111" spans="3:18" x14ac:dyDescent="0.35">
      <c r="C111" s="18">
        <v>45992</v>
      </c>
      <c r="D111" s="5" t="s">
        <v>854</v>
      </c>
      <c r="E111" s="5" t="s">
        <v>933</v>
      </c>
      <c r="F111" s="5" t="s">
        <v>1997</v>
      </c>
      <c r="G111" s="5" t="s">
        <v>2174</v>
      </c>
      <c r="H111" s="21" t="str">
        <f t="shared" si="8"/>
        <v>k</v>
      </c>
      <c r="I111" s="22">
        <f t="shared" si="9"/>
        <v>18200</v>
      </c>
      <c r="J111" s="21" t="str">
        <f t="shared" si="10"/>
        <v>k</v>
      </c>
      <c r="K111" s="23">
        <f t="shared" si="11"/>
        <v>523100</v>
      </c>
      <c r="L111" s="21">
        <v>5.3</v>
      </c>
      <c r="M111" s="22">
        <f t="shared" si="12"/>
        <v>31</v>
      </c>
      <c r="N111" s="23">
        <f t="shared" si="13"/>
        <v>16874.193548387098</v>
      </c>
      <c r="O111" s="23">
        <f t="shared" si="14"/>
        <v>587.09677419354841</v>
      </c>
      <c r="P111" s="23">
        <f t="shared" si="15"/>
        <v>28.741758241758244</v>
      </c>
      <c r="Q111" s="21" t="str">
        <f>IF(ISNA(_xlfn.XLOOKUP(D111,'Same Seller Hist'!H:H,'Same Seller Hist'!H:H)),"Não","Sim")</f>
        <v>Sim</v>
      </c>
      <c r="R111" s="21" t="str">
        <f>_xlfn.IFNA(_xlfn.XLOOKUP(D111,'Same Seller Hist'!D:D,'Same Seller Hist'!M:M),"Não Existe")</f>
        <v>Ativo</v>
      </c>
    </row>
    <row r="112" spans="3:18" hidden="1" x14ac:dyDescent="0.35">
      <c r="C112" s="18">
        <v>45992</v>
      </c>
      <c r="D112" s="5" t="s">
        <v>1764</v>
      </c>
      <c r="E112" s="5" t="s">
        <v>939</v>
      </c>
      <c r="F112" s="5" t="s">
        <v>1998</v>
      </c>
      <c r="G112" s="5" t="s">
        <v>2175</v>
      </c>
      <c r="H112" s="21" t="str">
        <f t="shared" si="8"/>
        <v>k</v>
      </c>
      <c r="I112" s="22">
        <f t="shared" si="9"/>
        <v>18100</v>
      </c>
      <c r="J112" s="21" t="str">
        <f t="shared" si="10"/>
        <v>k</v>
      </c>
      <c r="K112" s="23">
        <f t="shared" si="11"/>
        <v>452900</v>
      </c>
      <c r="L112" s="21">
        <v>5.3</v>
      </c>
      <c r="M112" s="22">
        <f t="shared" si="12"/>
        <v>31</v>
      </c>
      <c r="N112" s="23">
        <f t="shared" si="13"/>
        <v>14609.677419354839</v>
      </c>
      <c r="O112" s="23">
        <f t="shared" si="14"/>
        <v>583.87096774193549</v>
      </c>
      <c r="P112" s="23">
        <f t="shared" si="15"/>
        <v>25.022099447513813</v>
      </c>
      <c r="Q112" s="21" t="str">
        <f>IF(ISNA(_xlfn.XLOOKUP(D112,'Same Seller Hist'!H:H,'Same Seller Hist'!H:H)),"Não","Sim")</f>
        <v>Não</v>
      </c>
      <c r="R112" s="21" t="str">
        <f>_xlfn.IFNA(_xlfn.XLOOKUP(D112,'Same Seller Hist'!D:D,'Same Seller Hist'!M:M),"Não Existe")</f>
        <v>Não Existe</v>
      </c>
    </row>
    <row r="113" spans="3:18" x14ac:dyDescent="0.35">
      <c r="C113" s="18">
        <v>45992</v>
      </c>
      <c r="D113" s="5" t="s">
        <v>336</v>
      </c>
      <c r="E113" s="5" t="s">
        <v>908</v>
      </c>
      <c r="F113" s="5" t="s">
        <v>1998</v>
      </c>
      <c r="G113" s="5" t="s">
        <v>2176</v>
      </c>
      <c r="H113" s="21" t="str">
        <f t="shared" si="8"/>
        <v>k</v>
      </c>
      <c r="I113" s="22">
        <f t="shared" si="9"/>
        <v>18100</v>
      </c>
      <c r="J113" s="21" t="str">
        <f t="shared" si="10"/>
        <v>k</v>
      </c>
      <c r="K113" s="23">
        <f t="shared" si="11"/>
        <v>826700</v>
      </c>
      <c r="L113" s="21">
        <v>5.3</v>
      </c>
      <c r="M113" s="22">
        <f t="shared" si="12"/>
        <v>31</v>
      </c>
      <c r="N113" s="23">
        <f t="shared" si="13"/>
        <v>26667.741935483871</v>
      </c>
      <c r="O113" s="23">
        <f t="shared" si="14"/>
        <v>583.87096774193549</v>
      </c>
      <c r="P113" s="23">
        <f t="shared" si="15"/>
        <v>45.674033149171272</v>
      </c>
      <c r="Q113" s="21" t="str">
        <f>IF(ISNA(_xlfn.XLOOKUP(D113,'Same Seller Hist'!H:H,'Same Seller Hist'!H:H)),"Não","Sim")</f>
        <v>Sim</v>
      </c>
      <c r="R113" s="21" t="str">
        <f>_xlfn.IFNA(_xlfn.XLOOKUP(D113,'Same Seller Hist'!D:D,'Same Seller Hist'!M:M),"Não Existe")</f>
        <v>Ativo</v>
      </c>
    </row>
    <row r="114" spans="3:18" hidden="1" x14ac:dyDescent="0.35">
      <c r="C114" s="18">
        <v>45992</v>
      </c>
      <c r="D114" s="5" t="s">
        <v>1765</v>
      </c>
      <c r="E114" s="5" t="s">
        <v>931</v>
      </c>
      <c r="F114" s="5" t="s">
        <v>1999</v>
      </c>
      <c r="G114" s="5" t="s">
        <v>2177</v>
      </c>
      <c r="H114" s="21" t="str">
        <f t="shared" si="8"/>
        <v>k</v>
      </c>
      <c r="I114" s="22">
        <f t="shared" si="9"/>
        <v>17900</v>
      </c>
      <c r="J114" s="21" t="str">
        <f t="shared" si="10"/>
        <v>k</v>
      </c>
      <c r="K114" s="23">
        <f t="shared" si="11"/>
        <v>378100</v>
      </c>
      <c r="L114" s="21">
        <v>5.3</v>
      </c>
      <c r="M114" s="22">
        <f t="shared" si="12"/>
        <v>31</v>
      </c>
      <c r="N114" s="23">
        <f t="shared" si="13"/>
        <v>12196.774193548386</v>
      </c>
      <c r="O114" s="23">
        <f t="shared" si="14"/>
        <v>577.41935483870964</v>
      </c>
      <c r="P114" s="23">
        <f t="shared" si="15"/>
        <v>21.122905027932962</v>
      </c>
      <c r="Q114" s="21" t="str">
        <f>IF(ISNA(_xlfn.XLOOKUP(D114,'Same Seller Hist'!H:H,'Same Seller Hist'!H:H)),"Não","Sim")</f>
        <v>Não</v>
      </c>
      <c r="R114" s="21" t="str">
        <f>_xlfn.IFNA(_xlfn.XLOOKUP(D114,'Same Seller Hist'!D:D,'Same Seller Hist'!M:M),"Não Existe")</f>
        <v>Não Existe</v>
      </c>
    </row>
    <row r="115" spans="3:18" hidden="1" x14ac:dyDescent="0.35">
      <c r="C115" s="18">
        <v>45992</v>
      </c>
      <c r="D115" s="5" t="s">
        <v>1766</v>
      </c>
      <c r="E115" s="5" t="s">
        <v>908</v>
      </c>
      <c r="F115" s="5" t="s">
        <v>1999</v>
      </c>
      <c r="G115" s="5" t="s">
        <v>2175</v>
      </c>
      <c r="H115" s="21" t="str">
        <f t="shared" si="8"/>
        <v>k</v>
      </c>
      <c r="I115" s="22">
        <f t="shared" si="9"/>
        <v>17900</v>
      </c>
      <c r="J115" s="21" t="str">
        <f t="shared" si="10"/>
        <v>k</v>
      </c>
      <c r="K115" s="23">
        <f t="shared" si="11"/>
        <v>452900</v>
      </c>
      <c r="L115" s="21">
        <v>5.3</v>
      </c>
      <c r="M115" s="22">
        <f t="shared" si="12"/>
        <v>31</v>
      </c>
      <c r="N115" s="23">
        <f t="shared" si="13"/>
        <v>14609.677419354839</v>
      </c>
      <c r="O115" s="23">
        <f t="shared" si="14"/>
        <v>577.41935483870964</v>
      </c>
      <c r="P115" s="23">
        <f t="shared" si="15"/>
        <v>25.301675977653634</v>
      </c>
      <c r="Q115" s="21" t="str">
        <f>IF(ISNA(_xlfn.XLOOKUP(D115,'Same Seller Hist'!H:H,'Same Seller Hist'!H:H)),"Não","Sim")</f>
        <v>Não</v>
      </c>
      <c r="R115" s="21" t="str">
        <f>_xlfn.IFNA(_xlfn.XLOOKUP(D115,'Same Seller Hist'!D:D,'Same Seller Hist'!M:M),"Não Existe")</f>
        <v>Não Existe</v>
      </c>
    </row>
    <row r="116" spans="3:18" x14ac:dyDescent="0.35">
      <c r="C116" s="18">
        <v>45992</v>
      </c>
      <c r="D116" s="5" t="s">
        <v>54</v>
      </c>
      <c r="E116" s="5" t="s">
        <v>913</v>
      </c>
      <c r="F116" s="5" t="s">
        <v>2000</v>
      </c>
      <c r="G116" s="5" t="s">
        <v>2178</v>
      </c>
      <c r="H116" s="21" t="str">
        <f t="shared" si="8"/>
        <v>k</v>
      </c>
      <c r="I116" s="22">
        <f t="shared" si="9"/>
        <v>17800</v>
      </c>
      <c r="J116" s="21" t="str">
        <f t="shared" si="10"/>
        <v>k</v>
      </c>
      <c r="K116" s="23">
        <f t="shared" si="11"/>
        <v>810700</v>
      </c>
      <c r="L116" s="21">
        <v>5.3</v>
      </c>
      <c r="M116" s="22">
        <f t="shared" si="12"/>
        <v>31</v>
      </c>
      <c r="N116" s="23">
        <f t="shared" si="13"/>
        <v>26151.612903225807</v>
      </c>
      <c r="O116" s="23">
        <f t="shared" si="14"/>
        <v>574.19354838709683</v>
      </c>
      <c r="P116" s="23">
        <f t="shared" si="15"/>
        <v>45.544943820224717</v>
      </c>
      <c r="Q116" s="21" t="str">
        <f>IF(ISNA(_xlfn.XLOOKUP(D116,'Same Seller Hist'!H:H,'Same Seller Hist'!H:H)),"Não","Sim")</f>
        <v>Sim</v>
      </c>
      <c r="R116" s="21" t="str">
        <f>_xlfn.IFNA(_xlfn.XLOOKUP(D116,'Same Seller Hist'!D:D,'Same Seller Hist'!M:M),"Não Existe")</f>
        <v>Ativo</v>
      </c>
    </row>
    <row r="117" spans="3:18" x14ac:dyDescent="0.35">
      <c r="C117" s="18">
        <v>45992</v>
      </c>
      <c r="D117" s="5" t="s">
        <v>525</v>
      </c>
      <c r="E117" s="5" t="s">
        <v>908</v>
      </c>
      <c r="F117" s="5" t="s">
        <v>2001</v>
      </c>
      <c r="G117" s="5" t="s">
        <v>2179</v>
      </c>
      <c r="H117" s="21" t="str">
        <f t="shared" si="8"/>
        <v>k</v>
      </c>
      <c r="I117" s="22">
        <f t="shared" si="9"/>
        <v>17700</v>
      </c>
      <c r="J117" s="21" t="str">
        <f t="shared" si="10"/>
        <v>k</v>
      </c>
      <c r="K117" s="23">
        <f t="shared" si="11"/>
        <v>795600</v>
      </c>
      <c r="L117" s="21">
        <v>5.3</v>
      </c>
      <c r="M117" s="22">
        <f t="shared" si="12"/>
        <v>31</v>
      </c>
      <c r="N117" s="23">
        <f t="shared" si="13"/>
        <v>25664.516129032258</v>
      </c>
      <c r="O117" s="23">
        <f t="shared" si="14"/>
        <v>570.9677419354839</v>
      </c>
      <c r="P117" s="23">
        <f t="shared" si="15"/>
        <v>44.949152542372879</v>
      </c>
      <c r="Q117" s="21" t="str">
        <f>IF(ISNA(_xlfn.XLOOKUP(D117,'Same Seller Hist'!H:H,'Same Seller Hist'!H:H)),"Não","Sim")</f>
        <v>Sim</v>
      </c>
      <c r="R117" s="21" t="str">
        <f>_xlfn.IFNA(_xlfn.XLOOKUP(D117,'Same Seller Hist'!D:D,'Same Seller Hist'!M:M),"Não Existe")</f>
        <v>Ativo</v>
      </c>
    </row>
    <row r="118" spans="3:18" hidden="1" x14ac:dyDescent="0.35">
      <c r="C118" s="18">
        <v>45992</v>
      </c>
      <c r="D118" s="5" t="s">
        <v>1767</v>
      </c>
      <c r="E118" s="5" t="s">
        <v>933</v>
      </c>
      <c r="F118" s="5" t="s">
        <v>2001</v>
      </c>
      <c r="G118" s="5" t="s">
        <v>2116</v>
      </c>
      <c r="H118" s="21" t="str">
        <f t="shared" si="8"/>
        <v>k</v>
      </c>
      <c r="I118" s="22">
        <f t="shared" si="9"/>
        <v>17700</v>
      </c>
      <c r="J118" s="21" t="str">
        <f t="shared" si="10"/>
        <v>m</v>
      </c>
      <c r="K118" s="23">
        <f t="shared" si="11"/>
        <v>1000000</v>
      </c>
      <c r="L118" s="21">
        <v>5.3</v>
      </c>
      <c r="M118" s="22">
        <f t="shared" si="12"/>
        <v>31</v>
      </c>
      <c r="N118" s="23">
        <f t="shared" si="13"/>
        <v>32258.064516129034</v>
      </c>
      <c r="O118" s="23">
        <f t="shared" si="14"/>
        <v>570.9677419354839</v>
      </c>
      <c r="P118" s="23">
        <f t="shared" si="15"/>
        <v>56.497175141242941</v>
      </c>
      <c r="Q118" s="21" t="str">
        <f>IF(ISNA(_xlfn.XLOOKUP(D118,'Same Seller Hist'!H:H,'Same Seller Hist'!H:H)),"Não","Sim")</f>
        <v>Não</v>
      </c>
      <c r="R118" s="21" t="str">
        <f>_xlfn.IFNA(_xlfn.XLOOKUP(D118,'Same Seller Hist'!D:D,'Same Seller Hist'!M:M),"Não Existe")</f>
        <v>Não Existe</v>
      </c>
    </row>
    <row r="119" spans="3:18" x14ac:dyDescent="0.35">
      <c r="C119" s="18">
        <v>45992</v>
      </c>
      <c r="D119" s="5" t="s">
        <v>435</v>
      </c>
      <c r="E119" s="5" t="s">
        <v>941</v>
      </c>
      <c r="F119" s="5" t="s">
        <v>2001</v>
      </c>
      <c r="G119" s="5" t="s">
        <v>2128</v>
      </c>
      <c r="H119" s="21" t="str">
        <f t="shared" si="8"/>
        <v>k</v>
      </c>
      <c r="I119" s="22">
        <f t="shared" si="9"/>
        <v>17700</v>
      </c>
      <c r="J119" s="21" t="str">
        <f t="shared" si="10"/>
        <v>m</v>
      </c>
      <c r="K119" s="23">
        <f t="shared" si="11"/>
        <v>1800000</v>
      </c>
      <c r="L119" s="21">
        <v>5.3</v>
      </c>
      <c r="M119" s="22">
        <f t="shared" si="12"/>
        <v>31</v>
      </c>
      <c r="N119" s="23">
        <f t="shared" si="13"/>
        <v>58064.516129032258</v>
      </c>
      <c r="O119" s="23">
        <f t="shared" si="14"/>
        <v>570.9677419354839</v>
      </c>
      <c r="P119" s="23">
        <f t="shared" si="15"/>
        <v>101.69491525423729</v>
      </c>
      <c r="Q119" s="21" t="str">
        <f>IF(ISNA(_xlfn.XLOOKUP(D119,'Same Seller Hist'!H:H,'Same Seller Hist'!H:H)),"Não","Sim")</f>
        <v>Sim</v>
      </c>
      <c r="R119" s="21" t="str">
        <f>_xlfn.IFNA(_xlfn.XLOOKUP(D119,'Same Seller Hist'!D:D,'Same Seller Hist'!M:M),"Não Existe")</f>
        <v>Ativo</v>
      </c>
    </row>
    <row r="120" spans="3:18" hidden="1" x14ac:dyDescent="0.35">
      <c r="C120" s="18">
        <v>45992</v>
      </c>
      <c r="D120" s="5" t="s">
        <v>1768</v>
      </c>
      <c r="E120" s="5" t="s">
        <v>926</v>
      </c>
      <c r="F120" s="5" t="s">
        <v>2002</v>
      </c>
      <c r="G120" s="5" t="s">
        <v>2132</v>
      </c>
      <c r="H120" s="21" t="str">
        <f t="shared" si="8"/>
        <v>k</v>
      </c>
      <c r="I120" s="22">
        <f t="shared" si="9"/>
        <v>17500</v>
      </c>
      <c r="J120" s="21" t="str">
        <f t="shared" si="10"/>
        <v>m</v>
      </c>
      <c r="K120" s="23">
        <f t="shared" si="11"/>
        <v>1200000</v>
      </c>
      <c r="L120" s="21">
        <v>5.3</v>
      </c>
      <c r="M120" s="22">
        <f t="shared" si="12"/>
        <v>31</v>
      </c>
      <c r="N120" s="23">
        <f t="shared" si="13"/>
        <v>38709.677419354841</v>
      </c>
      <c r="O120" s="23">
        <f t="shared" si="14"/>
        <v>564.51612903225805</v>
      </c>
      <c r="P120" s="23">
        <f t="shared" si="15"/>
        <v>68.571428571428584</v>
      </c>
      <c r="Q120" s="21" t="str">
        <f>IF(ISNA(_xlfn.XLOOKUP(D120,'Same Seller Hist'!H:H,'Same Seller Hist'!H:H)),"Não","Sim")</f>
        <v>Não</v>
      </c>
      <c r="R120" s="21" t="str">
        <f>_xlfn.IFNA(_xlfn.XLOOKUP(D120,'Same Seller Hist'!D:D,'Same Seller Hist'!M:M),"Não Existe")</f>
        <v>Não Existe</v>
      </c>
    </row>
    <row r="121" spans="3:18" hidden="1" x14ac:dyDescent="0.35">
      <c r="C121" s="18">
        <v>45992</v>
      </c>
      <c r="D121" s="5" t="s">
        <v>161</v>
      </c>
      <c r="E121" s="5" t="s">
        <v>908</v>
      </c>
      <c r="F121" s="5" t="s">
        <v>2002</v>
      </c>
      <c r="G121" s="5" t="s">
        <v>2180</v>
      </c>
      <c r="H121" s="21" t="str">
        <f t="shared" si="8"/>
        <v>k</v>
      </c>
      <c r="I121" s="22">
        <f t="shared" si="9"/>
        <v>17500</v>
      </c>
      <c r="J121" s="21" t="str">
        <f t="shared" si="10"/>
        <v>m</v>
      </c>
      <c r="K121" s="23">
        <f t="shared" si="11"/>
        <v>3900000</v>
      </c>
      <c r="L121" s="21">
        <v>5.3</v>
      </c>
      <c r="M121" s="22">
        <f t="shared" si="12"/>
        <v>31</v>
      </c>
      <c r="N121" s="23">
        <f t="shared" si="13"/>
        <v>125806.45161290323</v>
      </c>
      <c r="O121" s="23">
        <f t="shared" si="14"/>
        <v>564.51612903225805</v>
      </c>
      <c r="P121" s="23">
        <f t="shared" si="15"/>
        <v>222.85714285714286</v>
      </c>
      <c r="Q121" s="21" t="str">
        <f>IF(ISNA(_xlfn.XLOOKUP(D121,'Same Seller Hist'!H:H,'Same Seller Hist'!H:H)),"Não","Sim")</f>
        <v>Não</v>
      </c>
      <c r="R121" s="21" t="str">
        <f>_xlfn.IFNA(_xlfn.XLOOKUP(D121,'Same Seller Hist'!D:D,'Same Seller Hist'!M:M),"Não Existe")</f>
        <v>Ativo</v>
      </c>
    </row>
    <row r="122" spans="3:18" hidden="1" x14ac:dyDescent="0.35">
      <c r="C122" s="18">
        <v>45992</v>
      </c>
      <c r="D122" s="5" t="s">
        <v>1769</v>
      </c>
      <c r="E122" s="5" t="s">
        <v>939</v>
      </c>
      <c r="F122" s="5" t="s">
        <v>2003</v>
      </c>
      <c r="G122" s="5" t="s">
        <v>2181</v>
      </c>
      <c r="H122" s="21" t="str">
        <f t="shared" si="8"/>
        <v>k</v>
      </c>
      <c r="I122" s="22">
        <f t="shared" si="9"/>
        <v>17400</v>
      </c>
      <c r="J122" s="21" t="str">
        <f t="shared" si="10"/>
        <v>k</v>
      </c>
      <c r="K122" s="23">
        <f t="shared" si="11"/>
        <v>721400</v>
      </c>
      <c r="L122" s="21">
        <v>5.3</v>
      </c>
      <c r="M122" s="22">
        <f t="shared" si="12"/>
        <v>31</v>
      </c>
      <c r="N122" s="23">
        <f t="shared" si="13"/>
        <v>23270.967741935485</v>
      </c>
      <c r="O122" s="23">
        <f t="shared" si="14"/>
        <v>561.29032258064512</v>
      </c>
      <c r="P122" s="23">
        <f t="shared" si="15"/>
        <v>41.459770114942536</v>
      </c>
      <c r="Q122" s="21" t="str">
        <f>IF(ISNA(_xlfn.XLOOKUP(D122,'Same Seller Hist'!H:H,'Same Seller Hist'!H:H)),"Não","Sim")</f>
        <v>Não</v>
      </c>
      <c r="R122" s="21" t="str">
        <f>_xlfn.IFNA(_xlfn.XLOOKUP(D122,'Same Seller Hist'!D:D,'Same Seller Hist'!M:M),"Não Existe")</f>
        <v>Não Existe</v>
      </c>
    </row>
    <row r="123" spans="3:18" hidden="1" x14ac:dyDescent="0.35">
      <c r="C123" s="18">
        <v>45992</v>
      </c>
      <c r="D123" s="5" t="s">
        <v>728</v>
      </c>
      <c r="E123" s="5" t="s">
        <v>908</v>
      </c>
      <c r="F123" s="5" t="s">
        <v>2003</v>
      </c>
      <c r="G123" s="5" t="s">
        <v>2182</v>
      </c>
      <c r="H123" s="21" t="str">
        <f t="shared" si="8"/>
        <v>k</v>
      </c>
      <c r="I123" s="22">
        <f t="shared" si="9"/>
        <v>17400</v>
      </c>
      <c r="J123" s="21" t="str">
        <f t="shared" si="10"/>
        <v>k</v>
      </c>
      <c r="K123" s="23">
        <f t="shared" si="11"/>
        <v>988300</v>
      </c>
      <c r="L123" s="21">
        <v>5.3</v>
      </c>
      <c r="M123" s="22">
        <f t="shared" si="12"/>
        <v>31</v>
      </c>
      <c r="N123" s="23">
        <f t="shared" si="13"/>
        <v>31880.645161290322</v>
      </c>
      <c r="O123" s="23">
        <f t="shared" si="14"/>
        <v>561.29032258064512</v>
      </c>
      <c r="P123" s="23">
        <f t="shared" si="15"/>
        <v>56.798850574712645</v>
      </c>
      <c r="Q123" s="21" t="str">
        <f>IF(ISNA(_xlfn.XLOOKUP(D123,'Same Seller Hist'!H:H,'Same Seller Hist'!H:H)),"Não","Sim")</f>
        <v>Não</v>
      </c>
      <c r="R123" s="21" t="str">
        <f>_xlfn.IFNA(_xlfn.XLOOKUP(D123,'Same Seller Hist'!D:D,'Same Seller Hist'!M:M),"Não Existe")</f>
        <v>Ativo</v>
      </c>
    </row>
    <row r="124" spans="3:18" x14ac:dyDescent="0.35">
      <c r="C124" s="18">
        <v>45992</v>
      </c>
      <c r="D124" s="5" t="s">
        <v>195</v>
      </c>
      <c r="E124" s="5" t="s">
        <v>908</v>
      </c>
      <c r="F124" s="5" t="s">
        <v>2003</v>
      </c>
      <c r="G124" s="5" t="s">
        <v>2183</v>
      </c>
      <c r="H124" s="21" t="str">
        <f t="shared" si="8"/>
        <v>k</v>
      </c>
      <c r="I124" s="22">
        <f t="shared" si="9"/>
        <v>17400</v>
      </c>
      <c r="J124" s="21" t="str">
        <f t="shared" si="10"/>
        <v>k</v>
      </c>
      <c r="K124" s="23">
        <f t="shared" si="11"/>
        <v>205600</v>
      </c>
      <c r="L124" s="21">
        <v>5.3</v>
      </c>
      <c r="M124" s="22">
        <f t="shared" si="12"/>
        <v>31</v>
      </c>
      <c r="N124" s="23">
        <f t="shared" si="13"/>
        <v>6632.2580645161288</v>
      </c>
      <c r="O124" s="23">
        <f t="shared" si="14"/>
        <v>561.29032258064512</v>
      </c>
      <c r="P124" s="23">
        <f t="shared" si="15"/>
        <v>11.816091954022989</v>
      </c>
      <c r="Q124" s="21" t="str">
        <f>IF(ISNA(_xlfn.XLOOKUP(D124,'Same Seller Hist'!H:H,'Same Seller Hist'!H:H)),"Não","Sim")</f>
        <v>Sim</v>
      </c>
      <c r="R124" s="21" t="str">
        <f>_xlfn.IFNA(_xlfn.XLOOKUP(D124,'Same Seller Hist'!D:D,'Same Seller Hist'!M:M),"Não Existe")</f>
        <v>Ativo</v>
      </c>
    </row>
    <row r="125" spans="3:18" x14ac:dyDescent="0.35">
      <c r="C125" s="18">
        <v>45992</v>
      </c>
      <c r="D125" s="5" t="s">
        <v>875</v>
      </c>
      <c r="E125" s="5" t="s">
        <v>928</v>
      </c>
      <c r="F125" s="5" t="s">
        <v>2004</v>
      </c>
      <c r="G125" s="5" t="s">
        <v>2184</v>
      </c>
      <c r="H125" s="21" t="str">
        <f t="shared" si="8"/>
        <v>k</v>
      </c>
      <c r="I125" s="22">
        <f t="shared" si="9"/>
        <v>17300</v>
      </c>
      <c r="J125" s="21" t="str">
        <f t="shared" si="10"/>
        <v>k</v>
      </c>
      <c r="K125" s="23">
        <f t="shared" si="11"/>
        <v>616000</v>
      </c>
      <c r="L125" s="21">
        <v>5.3</v>
      </c>
      <c r="M125" s="22">
        <f t="shared" si="12"/>
        <v>31</v>
      </c>
      <c r="N125" s="23">
        <f t="shared" si="13"/>
        <v>19870.967741935485</v>
      </c>
      <c r="O125" s="23">
        <f t="shared" si="14"/>
        <v>558.06451612903231</v>
      </c>
      <c r="P125" s="23">
        <f t="shared" si="15"/>
        <v>35.606936416184972</v>
      </c>
      <c r="Q125" s="21" t="str">
        <f>IF(ISNA(_xlfn.XLOOKUP(D125,'Same Seller Hist'!H:H,'Same Seller Hist'!H:H)),"Não","Sim")</f>
        <v>Sim</v>
      </c>
      <c r="R125" s="21" t="str">
        <f>_xlfn.IFNA(_xlfn.XLOOKUP(D125,'Same Seller Hist'!D:D,'Same Seller Hist'!M:M),"Não Existe")</f>
        <v>Ativo</v>
      </c>
    </row>
    <row r="126" spans="3:18" hidden="1" x14ac:dyDescent="0.35">
      <c r="C126" s="18">
        <v>45992</v>
      </c>
      <c r="D126" s="5" t="s">
        <v>1770</v>
      </c>
      <c r="E126" s="5" t="s">
        <v>926</v>
      </c>
      <c r="F126" s="5" t="s">
        <v>2005</v>
      </c>
      <c r="G126" s="5" t="s">
        <v>2132</v>
      </c>
      <c r="H126" s="21" t="str">
        <f t="shared" si="8"/>
        <v>k</v>
      </c>
      <c r="I126" s="22">
        <f t="shared" si="9"/>
        <v>17100</v>
      </c>
      <c r="J126" s="21" t="str">
        <f t="shared" si="10"/>
        <v>m</v>
      </c>
      <c r="K126" s="23">
        <f t="shared" si="11"/>
        <v>1200000</v>
      </c>
      <c r="L126" s="21">
        <v>5.3</v>
      </c>
      <c r="M126" s="22">
        <f t="shared" si="12"/>
        <v>31</v>
      </c>
      <c r="N126" s="23">
        <f t="shared" si="13"/>
        <v>38709.677419354841</v>
      </c>
      <c r="O126" s="23">
        <f t="shared" si="14"/>
        <v>551.61290322580646</v>
      </c>
      <c r="P126" s="23">
        <f t="shared" si="15"/>
        <v>70.175438596491233</v>
      </c>
      <c r="Q126" s="21" t="str">
        <f>IF(ISNA(_xlfn.XLOOKUP(D126,'Same Seller Hist'!H:H,'Same Seller Hist'!H:H)),"Não","Sim")</f>
        <v>Não</v>
      </c>
      <c r="R126" s="21" t="str">
        <f>_xlfn.IFNA(_xlfn.XLOOKUP(D126,'Same Seller Hist'!D:D,'Same Seller Hist'!M:M),"Não Existe")</f>
        <v>Não Existe</v>
      </c>
    </row>
    <row r="127" spans="3:18" x14ac:dyDescent="0.35">
      <c r="C127" s="18">
        <v>45992</v>
      </c>
      <c r="D127" s="5" t="s">
        <v>145</v>
      </c>
      <c r="E127" s="5" t="s">
        <v>908</v>
      </c>
      <c r="F127" s="5" t="s">
        <v>2006</v>
      </c>
      <c r="G127" s="5" t="s">
        <v>2123</v>
      </c>
      <c r="H127" s="21" t="str">
        <f t="shared" si="8"/>
        <v>k</v>
      </c>
      <c r="I127" s="22">
        <f t="shared" si="9"/>
        <v>16900</v>
      </c>
      <c r="J127" s="21" t="str">
        <f t="shared" si="10"/>
        <v>m</v>
      </c>
      <c r="K127" s="23">
        <f t="shared" si="11"/>
        <v>1900000</v>
      </c>
      <c r="L127" s="21">
        <v>5.3</v>
      </c>
      <c r="M127" s="22">
        <f t="shared" si="12"/>
        <v>31</v>
      </c>
      <c r="N127" s="23">
        <f t="shared" si="13"/>
        <v>61290.322580645159</v>
      </c>
      <c r="O127" s="23">
        <f t="shared" si="14"/>
        <v>545.16129032258061</v>
      </c>
      <c r="P127" s="23">
        <f t="shared" si="15"/>
        <v>112.42603550295858</v>
      </c>
      <c r="Q127" s="21" t="str">
        <f>IF(ISNA(_xlfn.XLOOKUP(D127,'Same Seller Hist'!H:H,'Same Seller Hist'!H:H)),"Não","Sim")</f>
        <v>Sim</v>
      </c>
      <c r="R127" s="21" t="str">
        <f>_xlfn.IFNA(_xlfn.XLOOKUP(D127,'Same Seller Hist'!D:D,'Same Seller Hist'!M:M),"Não Existe")</f>
        <v>Ativo</v>
      </c>
    </row>
    <row r="128" spans="3:18" x14ac:dyDescent="0.35">
      <c r="C128" s="18">
        <v>45992</v>
      </c>
      <c r="D128" s="5" t="s">
        <v>548</v>
      </c>
      <c r="E128" s="5" t="s">
        <v>969</v>
      </c>
      <c r="F128" s="5" t="s">
        <v>2007</v>
      </c>
      <c r="G128" s="5" t="s">
        <v>2121</v>
      </c>
      <c r="H128" s="21" t="str">
        <f t="shared" si="8"/>
        <v>k</v>
      </c>
      <c r="I128" s="22">
        <f t="shared" si="9"/>
        <v>16800</v>
      </c>
      <c r="J128" s="21" t="str">
        <f t="shared" si="10"/>
        <v>m</v>
      </c>
      <c r="K128" s="23">
        <f t="shared" si="11"/>
        <v>1400000</v>
      </c>
      <c r="L128" s="21">
        <v>5.3</v>
      </c>
      <c r="M128" s="22">
        <f t="shared" si="12"/>
        <v>31</v>
      </c>
      <c r="N128" s="23">
        <f t="shared" si="13"/>
        <v>45161.290322580644</v>
      </c>
      <c r="O128" s="23">
        <f t="shared" si="14"/>
        <v>541.93548387096769</v>
      </c>
      <c r="P128" s="23">
        <f t="shared" si="15"/>
        <v>83.333333333333343</v>
      </c>
      <c r="Q128" s="21" t="str">
        <f>IF(ISNA(_xlfn.XLOOKUP(D128,'Same Seller Hist'!H:H,'Same Seller Hist'!H:H)),"Não","Sim")</f>
        <v>Sim</v>
      </c>
      <c r="R128" s="21" t="str">
        <f>_xlfn.IFNA(_xlfn.XLOOKUP(D128,'Same Seller Hist'!D:D,'Same Seller Hist'!M:M),"Não Existe")</f>
        <v>Ativo</v>
      </c>
    </row>
    <row r="129" spans="3:18" x14ac:dyDescent="0.35">
      <c r="C129" s="18">
        <v>45992</v>
      </c>
      <c r="D129" s="5" t="s">
        <v>651</v>
      </c>
      <c r="E129" s="5" t="s">
        <v>908</v>
      </c>
      <c r="F129" s="5" t="s">
        <v>2007</v>
      </c>
      <c r="G129" s="5" t="s">
        <v>2185</v>
      </c>
      <c r="H129" s="21" t="str">
        <f t="shared" si="8"/>
        <v>k</v>
      </c>
      <c r="I129" s="22">
        <f t="shared" si="9"/>
        <v>16800</v>
      </c>
      <c r="J129" s="21" t="str">
        <f t="shared" si="10"/>
        <v>k</v>
      </c>
      <c r="K129" s="23">
        <f t="shared" si="11"/>
        <v>678000</v>
      </c>
      <c r="L129" s="21">
        <v>5.3</v>
      </c>
      <c r="M129" s="22">
        <f t="shared" si="12"/>
        <v>31</v>
      </c>
      <c r="N129" s="23">
        <f t="shared" si="13"/>
        <v>21870.967741935485</v>
      </c>
      <c r="O129" s="23">
        <f t="shared" si="14"/>
        <v>541.93548387096769</v>
      </c>
      <c r="P129" s="23">
        <f t="shared" si="15"/>
        <v>40.357142857142861</v>
      </c>
      <c r="Q129" s="21" t="str">
        <f>IF(ISNA(_xlfn.XLOOKUP(D129,'Same Seller Hist'!H:H,'Same Seller Hist'!H:H)),"Não","Sim")</f>
        <v>Sim</v>
      </c>
      <c r="R129" s="21" t="str">
        <f>_xlfn.IFNA(_xlfn.XLOOKUP(D129,'Same Seller Hist'!D:D,'Same Seller Hist'!M:M),"Não Existe")</f>
        <v>Ativo</v>
      </c>
    </row>
    <row r="130" spans="3:18" hidden="1" x14ac:dyDescent="0.35">
      <c r="C130" s="18">
        <v>45992</v>
      </c>
      <c r="D130" s="5" t="s">
        <v>620</v>
      </c>
      <c r="E130" s="5" t="s">
        <v>913</v>
      </c>
      <c r="F130" s="5" t="s">
        <v>2008</v>
      </c>
      <c r="G130" s="5" t="s">
        <v>2186</v>
      </c>
      <c r="H130" s="21" t="str">
        <f t="shared" si="8"/>
        <v>k</v>
      </c>
      <c r="I130" s="22">
        <f t="shared" si="9"/>
        <v>16700</v>
      </c>
      <c r="J130" s="21" t="str">
        <f t="shared" si="10"/>
        <v>k</v>
      </c>
      <c r="K130" s="23">
        <f t="shared" si="11"/>
        <v>399800</v>
      </c>
      <c r="L130" s="21">
        <v>5.3</v>
      </c>
      <c r="M130" s="22">
        <f t="shared" si="12"/>
        <v>31</v>
      </c>
      <c r="N130" s="23">
        <f t="shared" si="13"/>
        <v>12896.774193548386</v>
      </c>
      <c r="O130" s="23">
        <f t="shared" si="14"/>
        <v>538.70967741935488</v>
      </c>
      <c r="P130" s="23">
        <f t="shared" si="15"/>
        <v>23.940119760479039</v>
      </c>
      <c r="Q130" s="21" t="str">
        <f>IF(ISNA(_xlfn.XLOOKUP(D130,'Same Seller Hist'!H:H,'Same Seller Hist'!H:H)),"Não","Sim")</f>
        <v>Não</v>
      </c>
      <c r="R130" s="21" t="str">
        <f>_xlfn.IFNA(_xlfn.XLOOKUP(D130,'Same Seller Hist'!D:D,'Same Seller Hist'!M:M),"Não Existe")</f>
        <v>Ativo</v>
      </c>
    </row>
    <row r="131" spans="3:18" x14ac:dyDescent="0.35">
      <c r="C131" s="18">
        <v>45992</v>
      </c>
      <c r="D131" s="5" t="s">
        <v>565</v>
      </c>
      <c r="E131" s="5" t="s">
        <v>911</v>
      </c>
      <c r="F131" s="5" t="s">
        <v>2009</v>
      </c>
      <c r="G131" s="5" t="s">
        <v>2187</v>
      </c>
      <c r="H131" s="21" t="str">
        <f t="shared" si="8"/>
        <v>k</v>
      </c>
      <c r="I131" s="22">
        <f t="shared" si="9"/>
        <v>16300</v>
      </c>
      <c r="J131" s="21" t="str">
        <f t="shared" si="10"/>
        <v>k</v>
      </c>
      <c r="K131" s="23">
        <f t="shared" si="11"/>
        <v>459100</v>
      </c>
      <c r="L131" s="21">
        <v>5.3</v>
      </c>
      <c r="M131" s="22">
        <f t="shared" si="12"/>
        <v>31</v>
      </c>
      <c r="N131" s="23">
        <f t="shared" si="13"/>
        <v>14809.677419354839</v>
      </c>
      <c r="O131" s="23">
        <f t="shared" si="14"/>
        <v>525.80645161290317</v>
      </c>
      <c r="P131" s="23">
        <f t="shared" si="15"/>
        <v>28.165644171779146</v>
      </c>
      <c r="Q131" s="21" t="str">
        <f>IF(ISNA(_xlfn.XLOOKUP(D131,'Same Seller Hist'!H:H,'Same Seller Hist'!H:H)),"Não","Sim")</f>
        <v>Sim</v>
      </c>
      <c r="R131" s="21" t="str">
        <f>_xlfn.IFNA(_xlfn.XLOOKUP(D131,'Same Seller Hist'!D:D,'Same Seller Hist'!M:M),"Não Existe")</f>
        <v>Ativo</v>
      </c>
    </row>
    <row r="132" spans="3:18" hidden="1" x14ac:dyDescent="0.35">
      <c r="C132" s="18">
        <v>45992</v>
      </c>
      <c r="D132" s="5" t="s">
        <v>1771</v>
      </c>
      <c r="E132" s="5" t="s">
        <v>908</v>
      </c>
      <c r="F132" s="5" t="s">
        <v>2009</v>
      </c>
      <c r="G132" s="5" t="s">
        <v>2188</v>
      </c>
      <c r="H132" s="21" t="str">
        <f t="shared" si="8"/>
        <v>k</v>
      </c>
      <c r="I132" s="22">
        <f t="shared" si="9"/>
        <v>16300</v>
      </c>
      <c r="J132" s="21" t="str">
        <f t="shared" si="10"/>
        <v>k</v>
      </c>
      <c r="K132" s="23">
        <f t="shared" si="11"/>
        <v>351200</v>
      </c>
      <c r="L132" s="21">
        <v>5.3</v>
      </c>
      <c r="M132" s="22">
        <f t="shared" si="12"/>
        <v>31</v>
      </c>
      <c r="N132" s="23">
        <f t="shared" si="13"/>
        <v>11329.032258064517</v>
      </c>
      <c r="O132" s="23">
        <f t="shared" si="14"/>
        <v>525.80645161290317</v>
      </c>
      <c r="P132" s="23">
        <f t="shared" si="15"/>
        <v>21.546012269938654</v>
      </c>
      <c r="Q132" s="21" t="str">
        <f>IF(ISNA(_xlfn.XLOOKUP(D132,'Same Seller Hist'!H:H,'Same Seller Hist'!H:H)),"Não","Sim")</f>
        <v>Não</v>
      </c>
      <c r="R132" s="21" t="str">
        <f>_xlfn.IFNA(_xlfn.XLOOKUP(D132,'Same Seller Hist'!D:D,'Same Seller Hist'!M:M),"Não Existe")</f>
        <v>Não Existe</v>
      </c>
    </row>
    <row r="133" spans="3:18" hidden="1" x14ac:dyDescent="0.35">
      <c r="C133" s="18">
        <v>45992</v>
      </c>
      <c r="D133" s="5" t="s">
        <v>1772</v>
      </c>
      <c r="E133" s="5" t="s">
        <v>926</v>
      </c>
      <c r="F133" s="5" t="s">
        <v>2009</v>
      </c>
      <c r="G133" s="5" t="s">
        <v>2189</v>
      </c>
      <c r="H133" s="21" t="str">
        <f t="shared" si="8"/>
        <v>k</v>
      </c>
      <c r="I133" s="22">
        <f t="shared" si="9"/>
        <v>16300</v>
      </c>
      <c r="J133" s="21" t="str">
        <f t="shared" si="10"/>
        <v>k</v>
      </c>
      <c r="K133" s="23">
        <f t="shared" si="11"/>
        <v>264500</v>
      </c>
      <c r="L133" s="21">
        <v>5.3</v>
      </c>
      <c r="M133" s="22">
        <f t="shared" si="12"/>
        <v>31</v>
      </c>
      <c r="N133" s="23">
        <f t="shared" si="13"/>
        <v>8532.2580645161288</v>
      </c>
      <c r="O133" s="23">
        <f t="shared" si="14"/>
        <v>525.80645161290317</v>
      </c>
      <c r="P133" s="23">
        <f t="shared" si="15"/>
        <v>16.226993865030675</v>
      </c>
      <c r="Q133" s="21" t="str">
        <f>IF(ISNA(_xlfn.XLOOKUP(D133,'Same Seller Hist'!H:H,'Same Seller Hist'!H:H)),"Não","Sim")</f>
        <v>Não</v>
      </c>
      <c r="R133" s="21" t="str">
        <f>_xlfn.IFNA(_xlfn.XLOOKUP(D133,'Same Seller Hist'!D:D,'Same Seller Hist'!M:M),"Não Existe")</f>
        <v>Não Existe</v>
      </c>
    </row>
    <row r="134" spans="3:18" hidden="1" x14ac:dyDescent="0.35">
      <c r="C134" s="18">
        <v>45992</v>
      </c>
      <c r="D134" s="5" t="s">
        <v>876</v>
      </c>
      <c r="E134" s="5" t="s">
        <v>924</v>
      </c>
      <c r="F134" s="5" t="s">
        <v>2010</v>
      </c>
      <c r="G134" s="5" t="s">
        <v>2190</v>
      </c>
      <c r="H134" s="21" t="str">
        <f t="shared" si="8"/>
        <v>k</v>
      </c>
      <c r="I134" s="22">
        <f t="shared" si="9"/>
        <v>16200</v>
      </c>
      <c r="J134" s="21" t="str">
        <f t="shared" si="10"/>
        <v>k</v>
      </c>
      <c r="K134" s="23">
        <f t="shared" si="11"/>
        <v>496000</v>
      </c>
      <c r="L134" s="21">
        <v>5.3</v>
      </c>
      <c r="M134" s="22">
        <f t="shared" si="12"/>
        <v>31</v>
      </c>
      <c r="N134" s="23">
        <f t="shared" si="13"/>
        <v>16000</v>
      </c>
      <c r="O134" s="23">
        <f t="shared" si="14"/>
        <v>522.58064516129036</v>
      </c>
      <c r="P134" s="23">
        <f t="shared" si="15"/>
        <v>30.617283950617281</v>
      </c>
      <c r="Q134" s="21" t="str">
        <f>IF(ISNA(_xlfn.XLOOKUP(D134,'Same Seller Hist'!H:H,'Same Seller Hist'!H:H)),"Não","Sim")</f>
        <v>Não</v>
      </c>
      <c r="R134" s="21" t="str">
        <f>_xlfn.IFNA(_xlfn.XLOOKUP(D134,'Same Seller Hist'!D:D,'Same Seller Hist'!M:M),"Não Existe")</f>
        <v>Ativo</v>
      </c>
    </row>
    <row r="135" spans="3:18" hidden="1" x14ac:dyDescent="0.35">
      <c r="C135" s="18">
        <v>45992</v>
      </c>
      <c r="D135" s="5" t="s">
        <v>668</v>
      </c>
      <c r="E135" s="5" t="s">
        <v>910</v>
      </c>
      <c r="F135" s="5" t="s">
        <v>2011</v>
      </c>
      <c r="G135" s="5" t="s">
        <v>2191</v>
      </c>
      <c r="H135" s="21" t="str">
        <f t="shared" si="8"/>
        <v>k</v>
      </c>
      <c r="I135" s="22">
        <f t="shared" si="9"/>
        <v>16100.000000000002</v>
      </c>
      <c r="J135" s="21" t="str">
        <f t="shared" si="10"/>
        <v>k</v>
      </c>
      <c r="K135" s="23">
        <f t="shared" si="11"/>
        <v>702400</v>
      </c>
      <c r="L135" s="21">
        <v>5.3</v>
      </c>
      <c r="M135" s="22">
        <f t="shared" si="12"/>
        <v>31</v>
      </c>
      <c r="N135" s="23">
        <f t="shared" si="13"/>
        <v>22658.064516129034</v>
      </c>
      <c r="O135" s="23">
        <f t="shared" si="14"/>
        <v>519.35483870967744</v>
      </c>
      <c r="P135" s="23">
        <f t="shared" si="15"/>
        <v>43.627329192546583</v>
      </c>
      <c r="Q135" s="21" t="str">
        <f>IF(ISNA(_xlfn.XLOOKUP(D135,'Same Seller Hist'!H:H,'Same Seller Hist'!H:H)),"Não","Sim")</f>
        <v>Não</v>
      </c>
      <c r="R135" s="21" t="str">
        <f>_xlfn.IFNA(_xlfn.XLOOKUP(D135,'Same Seller Hist'!D:D,'Same Seller Hist'!M:M),"Não Existe")</f>
        <v>Ativo</v>
      </c>
    </row>
    <row r="136" spans="3:18" x14ac:dyDescent="0.35">
      <c r="C136" s="18">
        <v>45992</v>
      </c>
      <c r="D136" s="5" t="s">
        <v>623</v>
      </c>
      <c r="E136" s="5" t="s">
        <v>926</v>
      </c>
      <c r="F136" s="5" t="s">
        <v>2012</v>
      </c>
      <c r="G136" s="5" t="s">
        <v>2192</v>
      </c>
      <c r="H136" s="21" t="str">
        <f t="shared" si="8"/>
        <v>k</v>
      </c>
      <c r="I136" s="22">
        <f t="shared" si="9"/>
        <v>15800</v>
      </c>
      <c r="J136" s="21" t="str">
        <f t="shared" si="10"/>
        <v>k</v>
      </c>
      <c r="K136" s="23">
        <f t="shared" si="11"/>
        <v>525800</v>
      </c>
      <c r="L136" s="21">
        <v>5.3</v>
      </c>
      <c r="M136" s="22">
        <f t="shared" si="12"/>
        <v>31</v>
      </c>
      <c r="N136" s="23">
        <f t="shared" si="13"/>
        <v>16961.290322580644</v>
      </c>
      <c r="O136" s="23">
        <f t="shared" si="14"/>
        <v>509.67741935483872</v>
      </c>
      <c r="P136" s="23">
        <f t="shared" si="15"/>
        <v>33.278481012658226</v>
      </c>
      <c r="Q136" s="21" t="str">
        <f>IF(ISNA(_xlfn.XLOOKUP(D136,'Same Seller Hist'!H:H,'Same Seller Hist'!H:H)),"Não","Sim")</f>
        <v>Sim</v>
      </c>
      <c r="R136" s="21" t="str">
        <f>_xlfn.IFNA(_xlfn.XLOOKUP(D136,'Same Seller Hist'!D:D,'Same Seller Hist'!M:M),"Não Existe")</f>
        <v>Ativo</v>
      </c>
    </row>
    <row r="137" spans="3:18" x14ac:dyDescent="0.35">
      <c r="C137" s="18">
        <v>45992</v>
      </c>
      <c r="D137" s="5" t="s">
        <v>84</v>
      </c>
      <c r="E137" s="5" t="s">
        <v>910</v>
      </c>
      <c r="F137" s="5" t="s">
        <v>2012</v>
      </c>
      <c r="G137" s="5" t="s">
        <v>2193</v>
      </c>
      <c r="H137" s="21" t="str">
        <f t="shared" ref="H137:H200" si="16">RIGHT(F137,1)</f>
        <v>k</v>
      </c>
      <c r="I137" s="22">
        <f t="shared" ref="I137:I200" si="17">VALUE(SUBSTITUTE(_xlfn.REGEXREPLACE(F137,"[^0-9.]",""),".",",")) * IF(H137="m",1000000,IF(H137="k",1000,"Erro"))</f>
        <v>15800</v>
      </c>
      <c r="J137" s="21" t="str">
        <f t="shared" ref="J137:J200" si="18">RIGHT(G137,1)</f>
        <v>k</v>
      </c>
      <c r="K137" s="23">
        <f t="shared" ref="K137:K200" si="19">VALUE(SUBSTITUTE(_xlfn.REGEXREPLACE(G137,"[^0-9.]",""),".",",")) * IF(J137="m",1000000,IF(J137="k",1000,"Erro"))</f>
        <v>743500</v>
      </c>
      <c r="L137" s="21">
        <v>5.3</v>
      </c>
      <c r="M137" s="22">
        <f t="shared" ref="M137:M200" si="20">DAY(EOMONTH(C137,0))</f>
        <v>31</v>
      </c>
      <c r="N137" s="23">
        <f t="shared" ref="N137:N200" si="21">K137/M137</f>
        <v>23983.870967741936</v>
      </c>
      <c r="O137" s="23">
        <f t="shared" ref="O137:O200" si="22">I137/M137</f>
        <v>509.67741935483872</v>
      </c>
      <c r="P137" s="23">
        <f t="shared" ref="P137:P200" si="23">N137/O137</f>
        <v>47.056962025316452</v>
      </c>
      <c r="Q137" s="21" t="str">
        <f>IF(ISNA(_xlfn.XLOOKUP(D137,'Same Seller Hist'!H:H,'Same Seller Hist'!H:H)),"Não","Sim")</f>
        <v>Sim</v>
      </c>
      <c r="R137" s="21" t="str">
        <f>_xlfn.IFNA(_xlfn.XLOOKUP(D137,'Same Seller Hist'!D:D,'Same Seller Hist'!M:M),"Não Existe")</f>
        <v>Ativo</v>
      </c>
    </row>
    <row r="138" spans="3:18" x14ac:dyDescent="0.35">
      <c r="C138" s="18">
        <v>45992</v>
      </c>
      <c r="D138" s="5" t="s">
        <v>183</v>
      </c>
      <c r="E138" s="5" t="s">
        <v>908</v>
      </c>
      <c r="F138" s="5" t="s">
        <v>2012</v>
      </c>
      <c r="G138" s="5" t="s">
        <v>2135</v>
      </c>
      <c r="H138" s="21" t="str">
        <f t="shared" si="16"/>
        <v>k</v>
      </c>
      <c r="I138" s="22">
        <f t="shared" si="17"/>
        <v>15800</v>
      </c>
      <c r="J138" s="21" t="str">
        <f t="shared" si="18"/>
        <v>m</v>
      </c>
      <c r="K138" s="23">
        <f t="shared" si="19"/>
        <v>1700000</v>
      </c>
      <c r="L138" s="21">
        <v>5.3</v>
      </c>
      <c r="M138" s="22">
        <f t="shared" si="20"/>
        <v>31</v>
      </c>
      <c r="N138" s="23">
        <f t="shared" si="21"/>
        <v>54838.709677419356</v>
      </c>
      <c r="O138" s="23">
        <f t="shared" si="22"/>
        <v>509.67741935483872</v>
      </c>
      <c r="P138" s="23">
        <f t="shared" si="23"/>
        <v>107.59493670886076</v>
      </c>
      <c r="Q138" s="21" t="str">
        <f>IF(ISNA(_xlfn.XLOOKUP(D138,'Same Seller Hist'!H:H,'Same Seller Hist'!H:H)),"Não","Sim")</f>
        <v>Sim</v>
      </c>
      <c r="R138" s="21" t="str">
        <f>_xlfn.IFNA(_xlfn.XLOOKUP(D138,'Same Seller Hist'!D:D,'Same Seller Hist'!M:M),"Não Existe")</f>
        <v>Ativo</v>
      </c>
    </row>
    <row r="139" spans="3:18" x14ac:dyDescent="0.35">
      <c r="C139" s="18">
        <v>45992</v>
      </c>
      <c r="D139" s="5" t="s">
        <v>488</v>
      </c>
      <c r="E139" s="5" t="s">
        <v>941</v>
      </c>
      <c r="F139" s="5" t="s">
        <v>2013</v>
      </c>
      <c r="G139" s="5" t="s">
        <v>2116</v>
      </c>
      <c r="H139" s="21" t="str">
        <f t="shared" si="16"/>
        <v>k</v>
      </c>
      <c r="I139" s="22">
        <f t="shared" si="17"/>
        <v>15700</v>
      </c>
      <c r="J139" s="21" t="str">
        <f t="shared" si="18"/>
        <v>m</v>
      </c>
      <c r="K139" s="23">
        <f t="shared" si="19"/>
        <v>1000000</v>
      </c>
      <c r="L139" s="21">
        <v>5.3</v>
      </c>
      <c r="M139" s="22">
        <f t="shared" si="20"/>
        <v>31</v>
      </c>
      <c r="N139" s="23">
        <f t="shared" si="21"/>
        <v>32258.064516129034</v>
      </c>
      <c r="O139" s="23">
        <f t="shared" si="22"/>
        <v>506.45161290322579</v>
      </c>
      <c r="P139" s="23">
        <f t="shared" si="23"/>
        <v>63.69426751592357</v>
      </c>
      <c r="Q139" s="21" t="str">
        <f>IF(ISNA(_xlfn.XLOOKUP(D139,'Same Seller Hist'!H:H,'Same Seller Hist'!H:H)),"Não","Sim")</f>
        <v>Sim</v>
      </c>
      <c r="R139" s="21" t="str">
        <f>_xlfn.IFNA(_xlfn.XLOOKUP(D139,'Same Seller Hist'!D:D,'Same Seller Hist'!M:M),"Não Existe")</f>
        <v>Ativo</v>
      </c>
    </row>
    <row r="140" spans="3:18" hidden="1" x14ac:dyDescent="0.35">
      <c r="C140" s="18">
        <v>45992</v>
      </c>
      <c r="D140" s="5" t="s">
        <v>1773</v>
      </c>
      <c r="E140" s="5" t="s">
        <v>908</v>
      </c>
      <c r="F140" s="5" t="s">
        <v>2014</v>
      </c>
      <c r="G140" s="5" t="s">
        <v>2194</v>
      </c>
      <c r="H140" s="21" t="str">
        <f t="shared" si="16"/>
        <v>k</v>
      </c>
      <c r="I140" s="22">
        <f t="shared" si="17"/>
        <v>15600</v>
      </c>
      <c r="J140" s="21" t="str">
        <f t="shared" si="18"/>
        <v>k</v>
      </c>
      <c r="K140" s="23">
        <f t="shared" si="19"/>
        <v>661800</v>
      </c>
      <c r="L140" s="21">
        <v>5.3</v>
      </c>
      <c r="M140" s="22">
        <f t="shared" si="20"/>
        <v>31</v>
      </c>
      <c r="N140" s="23">
        <f t="shared" si="21"/>
        <v>21348.387096774193</v>
      </c>
      <c r="O140" s="23">
        <f t="shared" si="22"/>
        <v>503.22580645161293</v>
      </c>
      <c r="P140" s="23">
        <f t="shared" si="23"/>
        <v>42.42307692307692</v>
      </c>
      <c r="Q140" s="21" t="str">
        <f>IF(ISNA(_xlfn.XLOOKUP(D140,'Same Seller Hist'!H:H,'Same Seller Hist'!H:H)),"Não","Sim")</f>
        <v>Não</v>
      </c>
      <c r="R140" s="21" t="str">
        <f>_xlfn.IFNA(_xlfn.XLOOKUP(D140,'Same Seller Hist'!D:D,'Same Seller Hist'!M:M),"Não Existe")</f>
        <v>Não Existe</v>
      </c>
    </row>
    <row r="141" spans="3:18" x14ac:dyDescent="0.35">
      <c r="C141" s="18">
        <v>45992</v>
      </c>
      <c r="D141" s="5" t="s">
        <v>897</v>
      </c>
      <c r="E141" s="5" t="s">
        <v>913</v>
      </c>
      <c r="F141" s="5" t="s">
        <v>2014</v>
      </c>
      <c r="G141" s="5" t="s">
        <v>2195</v>
      </c>
      <c r="H141" s="21" t="str">
        <f t="shared" si="16"/>
        <v>k</v>
      </c>
      <c r="I141" s="22">
        <f t="shared" si="17"/>
        <v>15600</v>
      </c>
      <c r="J141" s="21" t="str">
        <f t="shared" si="18"/>
        <v>k</v>
      </c>
      <c r="K141" s="23">
        <f t="shared" si="19"/>
        <v>520400</v>
      </c>
      <c r="L141" s="21">
        <v>5.3</v>
      </c>
      <c r="M141" s="22">
        <f t="shared" si="20"/>
        <v>31</v>
      </c>
      <c r="N141" s="23">
        <f t="shared" si="21"/>
        <v>16787.096774193549</v>
      </c>
      <c r="O141" s="23">
        <f t="shared" si="22"/>
        <v>503.22580645161293</v>
      </c>
      <c r="P141" s="23">
        <f t="shared" si="23"/>
        <v>33.358974358974358</v>
      </c>
      <c r="Q141" s="21" t="str">
        <f>IF(ISNA(_xlfn.XLOOKUP(D141,'Same Seller Hist'!H:H,'Same Seller Hist'!H:H)),"Não","Sim")</f>
        <v>Sim</v>
      </c>
      <c r="R141" s="21" t="str">
        <f>_xlfn.IFNA(_xlfn.XLOOKUP(D141,'Same Seller Hist'!D:D,'Same Seller Hist'!M:M),"Não Existe")</f>
        <v>Ativo</v>
      </c>
    </row>
    <row r="142" spans="3:18" hidden="1" x14ac:dyDescent="0.35">
      <c r="C142" s="18">
        <v>45992</v>
      </c>
      <c r="D142" s="5" t="s">
        <v>1774</v>
      </c>
      <c r="E142" s="5" t="s">
        <v>969</v>
      </c>
      <c r="F142" s="5" t="s">
        <v>2014</v>
      </c>
      <c r="G142" s="5" t="s">
        <v>2196</v>
      </c>
      <c r="H142" s="21" t="str">
        <f t="shared" si="16"/>
        <v>k</v>
      </c>
      <c r="I142" s="22">
        <f t="shared" si="17"/>
        <v>15600</v>
      </c>
      <c r="J142" s="21" t="str">
        <f t="shared" si="18"/>
        <v>k</v>
      </c>
      <c r="K142" s="23">
        <f t="shared" si="19"/>
        <v>216700</v>
      </c>
      <c r="L142" s="21">
        <v>5.3</v>
      </c>
      <c r="M142" s="22">
        <f t="shared" si="20"/>
        <v>31</v>
      </c>
      <c r="N142" s="23">
        <f t="shared" si="21"/>
        <v>6990.322580645161</v>
      </c>
      <c r="O142" s="23">
        <f t="shared" si="22"/>
        <v>503.22580645161293</v>
      </c>
      <c r="P142" s="23">
        <f t="shared" si="23"/>
        <v>13.891025641025641</v>
      </c>
      <c r="Q142" s="21" t="str">
        <f>IF(ISNA(_xlfn.XLOOKUP(D142,'Same Seller Hist'!H:H,'Same Seller Hist'!H:H)),"Não","Sim")</f>
        <v>Não</v>
      </c>
      <c r="R142" s="21" t="str">
        <f>_xlfn.IFNA(_xlfn.XLOOKUP(D142,'Same Seller Hist'!D:D,'Same Seller Hist'!M:M),"Não Existe")</f>
        <v>Não Existe</v>
      </c>
    </row>
    <row r="143" spans="3:18" hidden="1" x14ac:dyDescent="0.35">
      <c r="C143" s="18">
        <v>45992</v>
      </c>
      <c r="D143" s="5" t="s">
        <v>1775</v>
      </c>
      <c r="E143" s="5" t="s">
        <v>942</v>
      </c>
      <c r="F143" s="5" t="s">
        <v>2014</v>
      </c>
      <c r="G143" s="5" t="s">
        <v>2197</v>
      </c>
      <c r="H143" s="21" t="str">
        <f t="shared" si="16"/>
        <v>k</v>
      </c>
      <c r="I143" s="22">
        <f t="shared" si="17"/>
        <v>15600</v>
      </c>
      <c r="J143" s="21" t="str">
        <f t="shared" si="18"/>
        <v>k</v>
      </c>
      <c r="K143" s="23">
        <f t="shared" si="19"/>
        <v>496500</v>
      </c>
      <c r="L143" s="21">
        <v>5.3</v>
      </c>
      <c r="M143" s="22">
        <f t="shared" si="20"/>
        <v>31</v>
      </c>
      <c r="N143" s="23">
        <f t="shared" si="21"/>
        <v>16016.129032258064</v>
      </c>
      <c r="O143" s="23">
        <f t="shared" si="22"/>
        <v>503.22580645161293</v>
      </c>
      <c r="P143" s="23">
        <f t="shared" si="23"/>
        <v>31.826923076923077</v>
      </c>
      <c r="Q143" s="21" t="str">
        <f>IF(ISNA(_xlfn.XLOOKUP(D143,'Same Seller Hist'!H:H,'Same Seller Hist'!H:H)),"Não","Sim")</f>
        <v>Não</v>
      </c>
      <c r="R143" s="21" t="str">
        <f>_xlfn.IFNA(_xlfn.XLOOKUP(D143,'Same Seller Hist'!D:D,'Same Seller Hist'!M:M),"Não Existe")</f>
        <v>Não Existe</v>
      </c>
    </row>
    <row r="144" spans="3:18" x14ac:dyDescent="0.35">
      <c r="C144" s="18">
        <v>45992</v>
      </c>
      <c r="D144" s="5" t="s">
        <v>321</v>
      </c>
      <c r="E144" s="5" t="s">
        <v>910</v>
      </c>
      <c r="F144" s="5" t="s">
        <v>2014</v>
      </c>
      <c r="G144" s="5" t="s">
        <v>2118</v>
      </c>
      <c r="H144" s="21" t="str">
        <f t="shared" si="16"/>
        <v>k</v>
      </c>
      <c r="I144" s="22">
        <f t="shared" si="17"/>
        <v>15600</v>
      </c>
      <c r="J144" s="21" t="str">
        <f t="shared" si="18"/>
        <v>m</v>
      </c>
      <c r="K144" s="23">
        <f t="shared" si="19"/>
        <v>1100000</v>
      </c>
      <c r="L144" s="21">
        <v>5.3</v>
      </c>
      <c r="M144" s="22">
        <f t="shared" si="20"/>
        <v>31</v>
      </c>
      <c r="N144" s="23">
        <f t="shared" si="21"/>
        <v>35483.870967741932</v>
      </c>
      <c r="O144" s="23">
        <f t="shared" si="22"/>
        <v>503.22580645161293</v>
      </c>
      <c r="P144" s="23">
        <f t="shared" si="23"/>
        <v>70.512820512820497</v>
      </c>
      <c r="Q144" s="21" t="str">
        <f>IF(ISNA(_xlfn.XLOOKUP(D144,'Same Seller Hist'!H:H,'Same Seller Hist'!H:H)),"Não","Sim")</f>
        <v>Sim</v>
      </c>
      <c r="R144" s="21" t="str">
        <f>_xlfn.IFNA(_xlfn.XLOOKUP(D144,'Same Seller Hist'!D:D,'Same Seller Hist'!M:M),"Não Existe")</f>
        <v>Ativo</v>
      </c>
    </row>
    <row r="145" spans="3:18" x14ac:dyDescent="0.35">
      <c r="C145" s="18">
        <v>45992</v>
      </c>
      <c r="D145" s="5" t="s">
        <v>408</v>
      </c>
      <c r="E145" s="5" t="s">
        <v>931</v>
      </c>
      <c r="F145" s="5" t="s">
        <v>2015</v>
      </c>
      <c r="G145" s="5" t="s">
        <v>2198</v>
      </c>
      <c r="H145" s="21" t="str">
        <f t="shared" si="16"/>
        <v>k</v>
      </c>
      <c r="I145" s="22">
        <f t="shared" si="17"/>
        <v>15500</v>
      </c>
      <c r="J145" s="21" t="str">
        <f t="shared" si="18"/>
        <v>k</v>
      </c>
      <c r="K145" s="23">
        <f t="shared" si="19"/>
        <v>341500</v>
      </c>
      <c r="L145" s="21">
        <v>5.3</v>
      </c>
      <c r="M145" s="22">
        <f t="shared" si="20"/>
        <v>31</v>
      </c>
      <c r="N145" s="23">
        <f t="shared" si="21"/>
        <v>11016.129032258064</v>
      </c>
      <c r="O145" s="23">
        <f t="shared" si="22"/>
        <v>500</v>
      </c>
      <c r="P145" s="23">
        <f t="shared" si="23"/>
        <v>22.032258064516128</v>
      </c>
      <c r="Q145" s="21" t="str">
        <f>IF(ISNA(_xlfn.XLOOKUP(D145,'Same Seller Hist'!H:H,'Same Seller Hist'!H:H)),"Não","Sim")</f>
        <v>Sim</v>
      </c>
      <c r="R145" s="21" t="str">
        <f>_xlfn.IFNA(_xlfn.XLOOKUP(D145,'Same Seller Hist'!D:D,'Same Seller Hist'!M:M),"Não Existe")</f>
        <v>Ativo</v>
      </c>
    </row>
    <row r="146" spans="3:18" hidden="1" x14ac:dyDescent="0.35">
      <c r="C146" s="18">
        <v>45992</v>
      </c>
      <c r="D146" s="5" t="s">
        <v>517</v>
      </c>
      <c r="E146" s="5" t="s">
        <v>911</v>
      </c>
      <c r="F146" s="5" t="s">
        <v>2016</v>
      </c>
      <c r="G146" s="5" t="s">
        <v>2199</v>
      </c>
      <c r="H146" s="21" t="str">
        <f t="shared" si="16"/>
        <v>k</v>
      </c>
      <c r="I146" s="22">
        <f t="shared" si="17"/>
        <v>15400</v>
      </c>
      <c r="J146" s="21" t="str">
        <f t="shared" si="18"/>
        <v>k</v>
      </c>
      <c r="K146" s="23">
        <f t="shared" si="19"/>
        <v>967700</v>
      </c>
      <c r="L146" s="21">
        <v>5.3</v>
      </c>
      <c r="M146" s="22">
        <f t="shared" si="20"/>
        <v>31</v>
      </c>
      <c r="N146" s="23">
        <f t="shared" si="21"/>
        <v>31216.129032258064</v>
      </c>
      <c r="O146" s="23">
        <f t="shared" si="22"/>
        <v>496.77419354838707</v>
      </c>
      <c r="P146" s="23">
        <f t="shared" si="23"/>
        <v>62.837662337662337</v>
      </c>
      <c r="Q146" s="21" t="str">
        <f>IF(ISNA(_xlfn.XLOOKUP(D146,'Same Seller Hist'!H:H,'Same Seller Hist'!H:H)),"Não","Sim")</f>
        <v>Não</v>
      </c>
      <c r="R146" s="21" t="str">
        <f>_xlfn.IFNA(_xlfn.XLOOKUP(D146,'Same Seller Hist'!D:D,'Same Seller Hist'!M:M),"Não Existe")</f>
        <v>Ativo</v>
      </c>
    </row>
    <row r="147" spans="3:18" x14ac:dyDescent="0.35">
      <c r="C147" s="18">
        <v>45992</v>
      </c>
      <c r="D147" s="5" t="s">
        <v>64</v>
      </c>
      <c r="E147" s="5" t="s">
        <v>924</v>
      </c>
      <c r="F147" s="5" t="s">
        <v>2017</v>
      </c>
      <c r="G147" s="5" t="s">
        <v>2200</v>
      </c>
      <c r="H147" s="21" t="str">
        <f t="shared" si="16"/>
        <v>k</v>
      </c>
      <c r="I147" s="22">
        <f t="shared" si="17"/>
        <v>15300</v>
      </c>
      <c r="J147" s="21" t="str">
        <f t="shared" si="18"/>
        <v>k</v>
      </c>
      <c r="K147" s="23">
        <f t="shared" si="19"/>
        <v>893600</v>
      </c>
      <c r="L147" s="21">
        <v>5.3</v>
      </c>
      <c r="M147" s="22">
        <f t="shared" si="20"/>
        <v>31</v>
      </c>
      <c r="N147" s="23">
        <f t="shared" si="21"/>
        <v>28825.806451612902</v>
      </c>
      <c r="O147" s="23">
        <f t="shared" si="22"/>
        <v>493.54838709677421</v>
      </c>
      <c r="P147" s="23">
        <f t="shared" si="23"/>
        <v>58.405228758169933</v>
      </c>
      <c r="Q147" s="21" t="str">
        <f>IF(ISNA(_xlfn.XLOOKUP(D147,'Same Seller Hist'!H:H,'Same Seller Hist'!H:H)),"Não","Sim")</f>
        <v>Sim</v>
      </c>
      <c r="R147" s="21" t="str">
        <f>_xlfn.IFNA(_xlfn.XLOOKUP(D147,'Same Seller Hist'!D:D,'Same Seller Hist'!M:M),"Não Existe")</f>
        <v>Ativo</v>
      </c>
    </row>
    <row r="148" spans="3:18" x14ac:dyDescent="0.35">
      <c r="C148" s="18">
        <v>45992</v>
      </c>
      <c r="D148" s="5" t="s">
        <v>637</v>
      </c>
      <c r="E148" s="5" t="s">
        <v>969</v>
      </c>
      <c r="F148" s="5" t="s">
        <v>2018</v>
      </c>
      <c r="G148" s="5" t="s">
        <v>2197</v>
      </c>
      <c r="H148" s="21" t="str">
        <f t="shared" si="16"/>
        <v>k</v>
      </c>
      <c r="I148" s="22">
        <f t="shared" si="17"/>
        <v>15200</v>
      </c>
      <c r="J148" s="21" t="str">
        <f t="shared" si="18"/>
        <v>k</v>
      </c>
      <c r="K148" s="23">
        <f t="shared" si="19"/>
        <v>496500</v>
      </c>
      <c r="L148" s="21">
        <v>5.3</v>
      </c>
      <c r="M148" s="22">
        <f t="shared" si="20"/>
        <v>31</v>
      </c>
      <c r="N148" s="23">
        <f t="shared" si="21"/>
        <v>16016.129032258064</v>
      </c>
      <c r="O148" s="23">
        <f t="shared" si="22"/>
        <v>490.32258064516128</v>
      </c>
      <c r="P148" s="23">
        <f t="shared" si="23"/>
        <v>32.664473684210527</v>
      </c>
      <c r="Q148" s="21" t="str">
        <f>IF(ISNA(_xlfn.XLOOKUP(D148,'Same Seller Hist'!H:H,'Same Seller Hist'!H:H)),"Não","Sim")</f>
        <v>Sim</v>
      </c>
      <c r="R148" s="21" t="str">
        <f>_xlfn.IFNA(_xlfn.XLOOKUP(D148,'Same Seller Hist'!D:D,'Same Seller Hist'!M:M),"Não Existe")</f>
        <v>Ativo</v>
      </c>
    </row>
    <row r="149" spans="3:18" x14ac:dyDescent="0.35">
      <c r="C149" s="18">
        <v>45992</v>
      </c>
      <c r="D149" s="5" t="s">
        <v>143</v>
      </c>
      <c r="E149" s="5" t="s">
        <v>913</v>
      </c>
      <c r="F149" s="5" t="s">
        <v>2019</v>
      </c>
      <c r="G149" s="5" t="s">
        <v>2116</v>
      </c>
      <c r="H149" s="21" t="str">
        <f t="shared" si="16"/>
        <v>k</v>
      </c>
      <c r="I149" s="22">
        <f t="shared" si="17"/>
        <v>15100</v>
      </c>
      <c r="J149" s="21" t="str">
        <f t="shared" si="18"/>
        <v>m</v>
      </c>
      <c r="K149" s="23">
        <f t="shared" si="19"/>
        <v>1000000</v>
      </c>
      <c r="L149" s="21">
        <v>5.3</v>
      </c>
      <c r="M149" s="22">
        <f t="shared" si="20"/>
        <v>31</v>
      </c>
      <c r="N149" s="23">
        <f t="shared" si="21"/>
        <v>32258.064516129034</v>
      </c>
      <c r="O149" s="23">
        <f t="shared" si="22"/>
        <v>487.09677419354841</v>
      </c>
      <c r="P149" s="23">
        <f t="shared" si="23"/>
        <v>66.225165562913901</v>
      </c>
      <c r="Q149" s="21" t="str">
        <f>IF(ISNA(_xlfn.XLOOKUP(D149,'Same Seller Hist'!H:H,'Same Seller Hist'!H:H)),"Não","Sim")</f>
        <v>Sim</v>
      </c>
      <c r="R149" s="21" t="str">
        <f>_xlfn.IFNA(_xlfn.XLOOKUP(D149,'Same Seller Hist'!D:D,'Same Seller Hist'!M:M),"Não Existe")</f>
        <v>Ativo</v>
      </c>
    </row>
    <row r="150" spans="3:18" hidden="1" x14ac:dyDescent="0.35">
      <c r="C150" s="18">
        <v>45992</v>
      </c>
      <c r="D150" s="5" t="s">
        <v>1776</v>
      </c>
      <c r="E150" s="5" t="s">
        <v>926</v>
      </c>
      <c r="F150" s="5" t="s">
        <v>2019</v>
      </c>
      <c r="G150" s="5" t="s">
        <v>2201</v>
      </c>
      <c r="H150" s="21" t="str">
        <f t="shared" si="16"/>
        <v>k</v>
      </c>
      <c r="I150" s="22">
        <f t="shared" si="17"/>
        <v>15100</v>
      </c>
      <c r="J150" s="21" t="str">
        <f t="shared" si="18"/>
        <v>k</v>
      </c>
      <c r="K150" s="23">
        <f t="shared" si="19"/>
        <v>486500</v>
      </c>
      <c r="L150" s="21">
        <v>5.3</v>
      </c>
      <c r="M150" s="22">
        <f t="shared" si="20"/>
        <v>31</v>
      </c>
      <c r="N150" s="23">
        <f t="shared" si="21"/>
        <v>15693.548387096775</v>
      </c>
      <c r="O150" s="23">
        <f t="shared" si="22"/>
        <v>487.09677419354841</v>
      </c>
      <c r="P150" s="23">
        <f t="shared" si="23"/>
        <v>32.218543046357617</v>
      </c>
      <c r="Q150" s="21" t="str">
        <f>IF(ISNA(_xlfn.XLOOKUP(D150,'Same Seller Hist'!H:H,'Same Seller Hist'!H:H)),"Não","Sim")</f>
        <v>Não</v>
      </c>
      <c r="R150" s="21" t="str">
        <f>_xlfn.IFNA(_xlfn.XLOOKUP(D150,'Same Seller Hist'!D:D,'Same Seller Hist'!M:M),"Não Existe")</f>
        <v>Não Existe</v>
      </c>
    </row>
    <row r="151" spans="3:18" x14ac:dyDescent="0.35">
      <c r="C151" s="18">
        <v>45992</v>
      </c>
      <c r="D151" s="5" t="s">
        <v>739</v>
      </c>
      <c r="E151" s="5" t="s">
        <v>926</v>
      </c>
      <c r="F151" s="5" t="s">
        <v>2019</v>
      </c>
      <c r="G151" s="5" t="s">
        <v>2118</v>
      </c>
      <c r="H151" s="21" t="str">
        <f t="shared" si="16"/>
        <v>k</v>
      </c>
      <c r="I151" s="22">
        <f t="shared" si="17"/>
        <v>15100</v>
      </c>
      <c r="J151" s="21" t="str">
        <f t="shared" si="18"/>
        <v>m</v>
      </c>
      <c r="K151" s="23">
        <f t="shared" si="19"/>
        <v>1100000</v>
      </c>
      <c r="L151" s="21">
        <v>5.3</v>
      </c>
      <c r="M151" s="22">
        <f t="shared" si="20"/>
        <v>31</v>
      </c>
      <c r="N151" s="23">
        <f t="shared" si="21"/>
        <v>35483.870967741932</v>
      </c>
      <c r="O151" s="23">
        <f t="shared" si="22"/>
        <v>487.09677419354841</v>
      </c>
      <c r="P151" s="23">
        <f t="shared" si="23"/>
        <v>72.847682119205288</v>
      </c>
      <c r="Q151" s="21" t="str">
        <f>IF(ISNA(_xlfn.XLOOKUP(D151,'Same Seller Hist'!H:H,'Same Seller Hist'!H:H)),"Não","Sim")</f>
        <v>Sim</v>
      </c>
      <c r="R151" s="21" t="str">
        <f>_xlfn.IFNA(_xlfn.XLOOKUP(D151,'Same Seller Hist'!D:D,'Same Seller Hist'!M:M),"Não Existe")</f>
        <v>Ativo</v>
      </c>
    </row>
    <row r="152" spans="3:18" hidden="1" x14ac:dyDescent="0.35">
      <c r="C152" s="18">
        <v>45992</v>
      </c>
      <c r="D152" s="5" t="s">
        <v>1777</v>
      </c>
      <c r="E152" s="5" t="s">
        <v>908</v>
      </c>
      <c r="F152" s="5" t="s">
        <v>2019</v>
      </c>
      <c r="G152" s="5" t="s">
        <v>2121</v>
      </c>
      <c r="H152" s="21" t="str">
        <f t="shared" si="16"/>
        <v>k</v>
      </c>
      <c r="I152" s="22">
        <f t="shared" si="17"/>
        <v>15100</v>
      </c>
      <c r="J152" s="21" t="str">
        <f t="shared" si="18"/>
        <v>m</v>
      </c>
      <c r="K152" s="23">
        <f t="shared" si="19"/>
        <v>1400000</v>
      </c>
      <c r="L152" s="21">
        <v>5.3</v>
      </c>
      <c r="M152" s="22">
        <f t="shared" si="20"/>
        <v>31</v>
      </c>
      <c r="N152" s="23">
        <f t="shared" si="21"/>
        <v>45161.290322580644</v>
      </c>
      <c r="O152" s="23">
        <f t="shared" si="22"/>
        <v>487.09677419354841</v>
      </c>
      <c r="P152" s="23">
        <f t="shared" si="23"/>
        <v>92.715231788079464</v>
      </c>
      <c r="Q152" s="21" t="str">
        <f>IF(ISNA(_xlfn.XLOOKUP(D152,'Same Seller Hist'!H:H,'Same Seller Hist'!H:H)),"Não","Sim")</f>
        <v>Não</v>
      </c>
      <c r="R152" s="21" t="str">
        <f>_xlfn.IFNA(_xlfn.XLOOKUP(D152,'Same Seller Hist'!D:D,'Same Seller Hist'!M:M),"Não Existe")</f>
        <v>Não Existe</v>
      </c>
    </row>
    <row r="153" spans="3:18" hidden="1" x14ac:dyDescent="0.35">
      <c r="C153" s="18">
        <v>45992</v>
      </c>
      <c r="D153" s="5" t="s">
        <v>1778</v>
      </c>
      <c r="E153" s="5" t="s">
        <v>984</v>
      </c>
      <c r="F153" s="5" t="s">
        <v>2020</v>
      </c>
      <c r="G153" s="5" t="s">
        <v>2202</v>
      </c>
      <c r="H153" s="21" t="str">
        <f t="shared" si="16"/>
        <v>k</v>
      </c>
      <c r="I153" s="22">
        <f t="shared" si="17"/>
        <v>15000</v>
      </c>
      <c r="J153" s="21" t="str">
        <f t="shared" si="18"/>
        <v>k</v>
      </c>
      <c r="K153" s="23">
        <f t="shared" si="19"/>
        <v>585300</v>
      </c>
      <c r="L153" s="21">
        <v>5.3</v>
      </c>
      <c r="M153" s="22">
        <f t="shared" si="20"/>
        <v>31</v>
      </c>
      <c r="N153" s="23">
        <f t="shared" si="21"/>
        <v>18880.645161290322</v>
      </c>
      <c r="O153" s="23">
        <f t="shared" si="22"/>
        <v>483.87096774193549</v>
      </c>
      <c r="P153" s="23">
        <f t="shared" si="23"/>
        <v>39.019999999999996</v>
      </c>
      <c r="Q153" s="21" t="str">
        <f>IF(ISNA(_xlfn.XLOOKUP(D153,'Same Seller Hist'!H:H,'Same Seller Hist'!H:H)),"Não","Sim")</f>
        <v>Não</v>
      </c>
      <c r="R153" s="21" t="str">
        <f>_xlfn.IFNA(_xlfn.XLOOKUP(D153,'Same Seller Hist'!D:D,'Same Seller Hist'!M:M),"Não Existe")</f>
        <v>Não Existe</v>
      </c>
    </row>
    <row r="154" spans="3:18" hidden="1" x14ac:dyDescent="0.35">
      <c r="C154" s="18">
        <v>45992</v>
      </c>
      <c r="D154" s="5" t="s">
        <v>1779</v>
      </c>
      <c r="E154" s="5" t="s">
        <v>910</v>
      </c>
      <c r="F154" s="5" t="s">
        <v>2021</v>
      </c>
      <c r="G154" s="5" t="s">
        <v>2203</v>
      </c>
      <c r="H154" s="21" t="str">
        <f t="shared" si="16"/>
        <v>k</v>
      </c>
      <c r="I154" s="22">
        <f t="shared" si="17"/>
        <v>14900</v>
      </c>
      <c r="J154" s="21" t="str">
        <f t="shared" si="18"/>
        <v>k</v>
      </c>
      <c r="K154" s="23">
        <f t="shared" si="19"/>
        <v>603800</v>
      </c>
      <c r="L154" s="21">
        <v>5.3</v>
      </c>
      <c r="M154" s="22">
        <f t="shared" si="20"/>
        <v>31</v>
      </c>
      <c r="N154" s="23">
        <f t="shared" si="21"/>
        <v>19477.419354838708</v>
      </c>
      <c r="O154" s="23">
        <f t="shared" si="22"/>
        <v>480.64516129032256</v>
      </c>
      <c r="P154" s="23">
        <f t="shared" si="23"/>
        <v>40.523489932885902</v>
      </c>
      <c r="Q154" s="21" t="str">
        <f>IF(ISNA(_xlfn.XLOOKUP(D154,'Same Seller Hist'!H:H,'Same Seller Hist'!H:H)),"Não","Sim")</f>
        <v>Não</v>
      </c>
      <c r="R154" s="21" t="str">
        <f>_xlfn.IFNA(_xlfn.XLOOKUP(D154,'Same Seller Hist'!D:D,'Same Seller Hist'!M:M),"Não Existe")</f>
        <v>Não Existe</v>
      </c>
    </row>
    <row r="155" spans="3:18" hidden="1" x14ac:dyDescent="0.35">
      <c r="C155" s="18">
        <v>45992</v>
      </c>
      <c r="D155" s="5" t="s">
        <v>1780</v>
      </c>
      <c r="E155" s="5" t="s">
        <v>911</v>
      </c>
      <c r="F155" s="5" t="s">
        <v>2021</v>
      </c>
      <c r="G155" s="5" t="s">
        <v>2204</v>
      </c>
      <c r="H155" s="21" t="str">
        <f t="shared" si="16"/>
        <v>k</v>
      </c>
      <c r="I155" s="22">
        <f t="shared" si="17"/>
        <v>14900</v>
      </c>
      <c r="J155" s="21" t="str">
        <f t="shared" si="18"/>
        <v>k</v>
      </c>
      <c r="K155" s="23">
        <f t="shared" si="19"/>
        <v>485700</v>
      </c>
      <c r="L155" s="21">
        <v>5.3</v>
      </c>
      <c r="M155" s="22">
        <f t="shared" si="20"/>
        <v>31</v>
      </c>
      <c r="N155" s="23">
        <f t="shared" si="21"/>
        <v>15667.741935483871</v>
      </c>
      <c r="O155" s="23">
        <f t="shared" si="22"/>
        <v>480.64516129032256</v>
      </c>
      <c r="P155" s="23">
        <f t="shared" si="23"/>
        <v>32.597315436241615</v>
      </c>
      <c r="Q155" s="21" t="str">
        <f>IF(ISNA(_xlfn.XLOOKUP(D155,'Same Seller Hist'!H:H,'Same Seller Hist'!H:H)),"Não","Sim")</f>
        <v>Não</v>
      </c>
      <c r="R155" s="21" t="str">
        <f>_xlfn.IFNA(_xlfn.XLOOKUP(D155,'Same Seller Hist'!D:D,'Same Seller Hist'!M:M),"Não Existe")</f>
        <v>Não Existe</v>
      </c>
    </row>
    <row r="156" spans="3:18" x14ac:dyDescent="0.35">
      <c r="C156" s="18">
        <v>45992</v>
      </c>
      <c r="D156" s="5" t="s">
        <v>416</v>
      </c>
      <c r="E156" s="5" t="s">
        <v>913</v>
      </c>
      <c r="F156" s="5" t="s">
        <v>2021</v>
      </c>
      <c r="G156" s="5" t="s">
        <v>2205</v>
      </c>
      <c r="H156" s="21" t="str">
        <f t="shared" si="16"/>
        <v>k</v>
      </c>
      <c r="I156" s="22">
        <f t="shared" si="17"/>
        <v>14900</v>
      </c>
      <c r="J156" s="21" t="str">
        <f t="shared" si="18"/>
        <v>k</v>
      </c>
      <c r="K156" s="23">
        <f t="shared" si="19"/>
        <v>475400</v>
      </c>
      <c r="L156" s="21">
        <v>5.3</v>
      </c>
      <c r="M156" s="22">
        <f t="shared" si="20"/>
        <v>31</v>
      </c>
      <c r="N156" s="23">
        <f t="shared" si="21"/>
        <v>15335.483870967742</v>
      </c>
      <c r="O156" s="23">
        <f t="shared" si="22"/>
        <v>480.64516129032256</v>
      </c>
      <c r="P156" s="23">
        <f t="shared" si="23"/>
        <v>31.90604026845638</v>
      </c>
      <c r="Q156" s="21" t="str">
        <f>IF(ISNA(_xlfn.XLOOKUP(D156,'Same Seller Hist'!H:H,'Same Seller Hist'!H:H)),"Não","Sim")</f>
        <v>Sim</v>
      </c>
      <c r="R156" s="21" t="str">
        <f>_xlfn.IFNA(_xlfn.XLOOKUP(D156,'Same Seller Hist'!D:D,'Same Seller Hist'!M:M),"Não Existe")</f>
        <v>Ativo</v>
      </c>
    </row>
    <row r="157" spans="3:18" x14ac:dyDescent="0.35">
      <c r="C157" s="18">
        <v>45992</v>
      </c>
      <c r="D157" s="5" t="s">
        <v>289</v>
      </c>
      <c r="E157" s="5" t="s">
        <v>913</v>
      </c>
      <c r="F157" s="5" t="s">
        <v>2022</v>
      </c>
      <c r="G157" s="5" t="s">
        <v>2110</v>
      </c>
      <c r="H157" s="21" t="str">
        <f t="shared" si="16"/>
        <v>k</v>
      </c>
      <c r="I157" s="22">
        <f t="shared" si="17"/>
        <v>14800</v>
      </c>
      <c r="J157" s="21" t="str">
        <f t="shared" si="18"/>
        <v>m</v>
      </c>
      <c r="K157" s="23">
        <f t="shared" si="19"/>
        <v>1300000</v>
      </c>
      <c r="L157" s="21">
        <v>5.3</v>
      </c>
      <c r="M157" s="22">
        <f t="shared" si="20"/>
        <v>31</v>
      </c>
      <c r="N157" s="23">
        <f t="shared" si="21"/>
        <v>41935.483870967742</v>
      </c>
      <c r="O157" s="23">
        <f t="shared" si="22"/>
        <v>477.41935483870969</v>
      </c>
      <c r="P157" s="23">
        <f t="shared" si="23"/>
        <v>87.837837837837839</v>
      </c>
      <c r="Q157" s="21" t="str">
        <f>IF(ISNA(_xlfn.XLOOKUP(D157,'Same Seller Hist'!H:H,'Same Seller Hist'!H:H)),"Não","Sim")</f>
        <v>Sim</v>
      </c>
      <c r="R157" s="21" t="str">
        <f>_xlfn.IFNA(_xlfn.XLOOKUP(D157,'Same Seller Hist'!D:D,'Same Seller Hist'!M:M),"Não Existe")</f>
        <v>Ativo</v>
      </c>
    </row>
    <row r="158" spans="3:18" hidden="1" x14ac:dyDescent="0.35">
      <c r="C158" s="18">
        <v>45992</v>
      </c>
      <c r="D158" s="5" t="s">
        <v>439</v>
      </c>
      <c r="E158" s="5" t="s">
        <v>916</v>
      </c>
      <c r="F158" s="5" t="s">
        <v>2022</v>
      </c>
      <c r="G158" s="5" t="s">
        <v>2206</v>
      </c>
      <c r="H158" s="21" t="str">
        <f t="shared" si="16"/>
        <v>k</v>
      </c>
      <c r="I158" s="22">
        <f t="shared" si="17"/>
        <v>14800</v>
      </c>
      <c r="J158" s="21" t="str">
        <f t="shared" si="18"/>
        <v>k</v>
      </c>
      <c r="K158" s="23">
        <f t="shared" si="19"/>
        <v>729300</v>
      </c>
      <c r="L158" s="21">
        <v>5.3</v>
      </c>
      <c r="M158" s="22">
        <f t="shared" si="20"/>
        <v>31</v>
      </c>
      <c r="N158" s="23">
        <f t="shared" si="21"/>
        <v>23525.806451612902</v>
      </c>
      <c r="O158" s="23">
        <f t="shared" si="22"/>
        <v>477.41935483870969</v>
      </c>
      <c r="P158" s="23">
        <f t="shared" si="23"/>
        <v>49.277027027027025</v>
      </c>
      <c r="Q158" s="21" t="str">
        <f>IF(ISNA(_xlfn.XLOOKUP(D158,'Same Seller Hist'!H:H,'Same Seller Hist'!H:H)),"Não","Sim")</f>
        <v>Não</v>
      </c>
      <c r="R158" s="21" t="str">
        <f>_xlfn.IFNA(_xlfn.XLOOKUP(D158,'Same Seller Hist'!D:D,'Same Seller Hist'!M:M),"Não Existe")</f>
        <v>Ativo</v>
      </c>
    </row>
    <row r="159" spans="3:18" x14ac:dyDescent="0.35">
      <c r="C159" s="18">
        <v>45992</v>
      </c>
      <c r="D159" s="5" t="s">
        <v>871</v>
      </c>
      <c r="E159" s="5" t="s">
        <v>933</v>
      </c>
      <c r="F159" s="5" t="s">
        <v>2023</v>
      </c>
      <c r="G159" s="5" t="s">
        <v>2207</v>
      </c>
      <c r="H159" s="21" t="str">
        <f t="shared" si="16"/>
        <v>k</v>
      </c>
      <c r="I159" s="22">
        <f t="shared" si="17"/>
        <v>14700</v>
      </c>
      <c r="J159" s="21" t="str">
        <f t="shared" si="18"/>
        <v>k</v>
      </c>
      <c r="K159" s="23">
        <f t="shared" si="19"/>
        <v>827900</v>
      </c>
      <c r="L159" s="21">
        <v>5.3</v>
      </c>
      <c r="M159" s="22">
        <f t="shared" si="20"/>
        <v>31</v>
      </c>
      <c r="N159" s="23">
        <f t="shared" si="21"/>
        <v>26706.451612903227</v>
      </c>
      <c r="O159" s="23">
        <f t="shared" si="22"/>
        <v>474.19354838709677</v>
      </c>
      <c r="P159" s="23">
        <f t="shared" si="23"/>
        <v>56.319727891156468</v>
      </c>
      <c r="Q159" s="21" t="str">
        <f>IF(ISNA(_xlfn.XLOOKUP(D159,'Same Seller Hist'!H:H,'Same Seller Hist'!H:H)),"Não","Sim")</f>
        <v>Sim</v>
      </c>
      <c r="R159" s="21" t="str">
        <f>_xlfn.IFNA(_xlfn.XLOOKUP(D159,'Same Seller Hist'!D:D,'Same Seller Hist'!M:M),"Não Existe")</f>
        <v>Ativo</v>
      </c>
    </row>
    <row r="160" spans="3:18" x14ac:dyDescent="0.35">
      <c r="C160" s="18">
        <v>45992</v>
      </c>
      <c r="D160" s="5" t="s">
        <v>507</v>
      </c>
      <c r="E160" s="5" t="s">
        <v>969</v>
      </c>
      <c r="F160" s="5" t="s">
        <v>2024</v>
      </c>
      <c r="G160" s="5" t="s">
        <v>2118</v>
      </c>
      <c r="H160" s="21" t="str">
        <f t="shared" si="16"/>
        <v>k</v>
      </c>
      <c r="I160" s="22">
        <f t="shared" si="17"/>
        <v>14600</v>
      </c>
      <c r="J160" s="21" t="str">
        <f t="shared" si="18"/>
        <v>m</v>
      </c>
      <c r="K160" s="23">
        <f t="shared" si="19"/>
        <v>1100000</v>
      </c>
      <c r="L160" s="21">
        <v>5.3</v>
      </c>
      <c r="M160" s="22">
        <f t="shared" si="20"/>
        <v>31</v>
      </c>
      <c r="N160" s="23">
        <f t="shared" si="21"/>
        <v>35483.870967741932</v>
      </c>
      <c r="O160" s="23">
        <f t="shared" si="22"/>
        <v>470.96774193548384</v>
      </c>
      <c r="P160" s="23">
        <f t="shared" si="23"/>
        <v>75.342465753424648</v>
      </c>
      <c r="Q160" s="21" t="str">
        <f>IF(ISNA(_xlfn.XLOOKUP(D160,'Same Seller Hist'!H:H,'Same Seller Hist'!H:H)),"Não","Sim")</f>
        <v>Sim</v>
      </c>
      <c r="R160" s="21" t="str">
        <f>_xlfn.IFNA(_xlfn.XLOOKUP(D160,'Same Seller Hist'!D:D,'Same Seller Hist'!M:M),"Não Existe")</f>
        <v>Ativo</v>
      </c>
    </row>
    <row r="161" spans="3:18" hidden="1" x14ac:dyDescent="0.35">
      <c r="C161" s="18">
        <v>45992</v>
      </c>
      <c r="D161" s="5" t="s">
        <v>1781</v>
      </c>
      <c r="E161" s="5" t="s">
        <v>926</v>
      </c>
      <c r="F161" s="5" t="s">
        <v>2025</v>
      </c>
      <c r="G161" s="5" t="s">
        <v>2118</v>
      </c>
      <c r="H161" s="21" t="str">
        <f t="shared" si="16"/>
        <v>k</v>
      </c>
      <c r="I161" s="22">
        <f t="shared" si="17"/>
        <v>14500</v>
      </c>
      <c r="J161" s="21" t="str">
        <f t="shared" si="18"/>
        <v>m</v>
      </c>
      <c r="K161" s="23">
        <f t="shared" si="19"/>
        <v>1100000</v>
      </c>
      <c r="L161" s="21">
        <v>5.3</v>
      </c>
      <c r="M161" s="22">
        <f t="shared" si="20"/>
        <v>31</v>
      </c>
      <c r="N161" s="23">
        <f t="shared" si="21"/>
        <v>35483.870967741932</v>
      </c>
      <c r="O161" s="23">
        <f t="shared" si="22"/>
        <v>467.74193548387098</v>
      </c>
      <c r="P161" s="23">
        <f t="shared" si="23"/>
        <v>75.862068965517238</v>
      </c>
      <c r="Q161" s="21" t="str">
        <f>IF(ISNA(_xlfn.XLOOKUP(D161,'Same Seller Hist'!H:H,'Same Seller Hist'!H:H)),"Não","Sim")</f>
        <v>Não</v>
      </c>
      <c r="R161" s="21" t="str">
        <f>_xlfn.IFNA(_xlfn.XLOOKUP(D161,'Same Seller Hist'!D:D,'Same Seller Hist'!M:M),"Não Existe")</f>
        <v>Não Existe</v>
      </c>
    </row>
    <row r="162" spans="3:18" hidden="1" x14ac:dyDescent="0.35">
      <c r="C162" s="18">
        <v>45992</v>
      </c>
      <c r="D162" s="5" t="s">
        <v>848</v>
      </c>
      <c r="E162" s="5" t="s">
        <v>913</v>
      </c>
      <c r="F162" s="5" t="s">
        <v>2025</v>
      </c>
      <c r="G162" s="5" t="s">
        <v>2119</v>
      </c>
      <c r="H162" s="21" t="str">
        <f t="shared" si="16"/>
        <v>k</v>
      </c>
      <c r="I162" s="22">
        <f t="shared" si="17"/>
        <v>14500</v>
      </c>
      <c r="J162" s="21" t="str">
        <f t="shared" si="18"/>
        <v>m</v>
      </c>
      <c r="K162" s="23">
        <f t="shared" si="19"/>
        <v>1500000</v>
      </c>
      <c r="L162" s="21">
        <v>5.3</v>
      </c>
      <c r="M162" s="22">
        <f t="shared" si="20"/>
        <v>31</v>
      </c>
      <c r="N162" s="23">
        <f t="shared" si="21"/>
        <v>48387.096774193546</v>
      </c>
      <c r="O162" s="23">
        <f t="shared" si="22"/>
        <v>467.74193548387098</v>
      </c>
      <c r="P162" s="23">
        <f t="shared" si="23"/>
        <v>103.44827586206895</v>
      </c>
      <c r="Q162" s="21" t="str">
        <f>IF(ISNA(_xlfn.XLOOKUP(D162,'Same Seller Hist'!H:H,'Same Seller Hist'!H:H)),"Não","Sim")</f>
        <v>Não</v>
      </c>
      <c r="R162" s="21" t="str">
        <f>_xlfn.IFNA(_xlfn.XLOOKUP(D162,'Same Seller Hist'!D:D,'Same Seller Hist'!M:M),"Não Existe")</f>
        <v>Ativo</v>
      </c>
    </row>
    <row r="163" spans="3:18" hidden="1" x14ac:dyDescent="0.35">
      <c r="C163" s="18">
        <v>45992</v>
      </c>
      <c r="D163" s="5" t="s">
        <v>1782</v>
      </c>
      <c r="E163" s="5" t="s">
        <v>926</v>
      </c>
      <c r="F163" s="5" t="s">
        <v>2025</v>
      </c>
      <c r="G163" s="5" t="s">
        <v>2116</v>
      </c>
      <c r="H163" s="21" t="str">
        <f t="shared" si="16"/>
        <v>k</v>
      </c>
      <c r="I163" s="22">
        <f t="shared" si="17"/>
        <v>14500</v>
      </c>
      <c r="J163" s="21" t="str">
        <f t="shared" si="18"/>
        <v>m</v>
      </c>
      <c r="K163" s="23">
        <f t="shared" si="19"/>
        <v>1000000</v>
      </c>
      <c r="L163" s="21">
        <v>5.3</v>
      </c>
      <c r="M163" s="22">
        <f t="shared" si="20"/>
        <v>31</v>
      </c>
      <c r="N163" s="23">
        <f t="shared" si="21"/>
        <v>32258.064516129034</v>
      </c>
      <c r="O163" s="23">
        <f t="shared" si="22"/>
        <v>467.74193548387098</v>
      </c>
      <c r="P163" s="23">
        <f t="shared" si="23"/>
        <v>68.965517241379317</v>
      </c>
      <c r="Q163" s="21" t="str">
        <f>IF(ISNA(_xlfn.XLOOKUP(D163,'Same Seller Hist'!H:H,'Same Seller Hist'!H:H)),"Não","Sim")</f>
        <v>Não</v>
      </c>
      <c r="R163" s="21" t="str">
        <f>_xlfn.IFNA(_xlfn.XLOOKUP(D163,'Same Seller Hist'!D:D,'Same Seller Hist'!M:M),"Não Existe")</f>
        <v>Não Existe</v>
      </c>
    </row>
    <row r="164" spans="3:18" x14ac:dyDescent="0.35">
      <c r="C164" s="18">
        <v>45992</v>
      </c>
      <c r="D164" s="5" t="s">
        <v>737</v>
      </c>
      <c r="E164" s="5" t="s">
        <v>913</v>
      </c>
      <c r="F164" s="5" t="s">
        <v>2026</v>
      </c>
      <c r="G164" s="5" t="s">
        <v>2208</v>
      </c>
      <c r="H164" s="21" t="str">
        <f t="shared" si="16"/>
        <v>k</v>
      </c>
      <c r="I164" s="22">
        <f t="shared" si="17"/>
        <v>14400</v>
      </c>
      <c r="J164" s="21" t="str">
        <f t="shared" si="18"/>
        <v>k</v>
      </c>
      <c r="K164" s="23">
        <f t="shared" si="19"/>
        <v>754100</v>
      </c>
      <c r="L164" s="21">
        <v>5.3</v>
      </c>
      <c r="M164" s="22">
        <f t="shared" si="20"/>
        <v>31</v>
      </c>
      <c r="N164" s="23">
        <f t="shared" si="21"/>
        <v>24325.806451612902</v>
      </c>
      <c r="O164" s="23">
        <f t="shared" si="22"/>
        <v>464.51612903225805</v>
      </c>
      <c r="P164" s="23">
        <f t="shared" si="23"/>
        <v>52.368055555555557</v>
      </c>
      <c r="Q164" s="21" t="str">
        <f>IF(ISNA(_xlfn.XLOOKUP(D164,'Same Seller Hist'!H:H,'Same Seller Hist'!H:H)),"Não","Sim")</f>
        <v>Sim</v>
      </c>
      <c r="R164" s="21" t="str">
        <f>_xlfn.IFNA(_xlfn.XLOOKUP(D164,'Same Seller Hist'!D:D,'Same Seller Hist'!M:M),"Não Existe")</f>
        <v>Ativo</v>
      </c>
    </row>
    <row r="165" spans="3:18" hidden="1" x14ac:dyDescent="0.35">
      <c r="C165" s="18">
        <v>45992</v>
      </c>
      <c r="D165" s="5" t="s">
        <v>192</v>
      </c>
      <c r="E165" s="5" t="s">
        <v>910</v>
      </c>
      <c r="F165" s="5" t="s">
        <v>2026</v>
      </c>
      <c r="G165" s="5" t="s">
        <v>2209</v>
      </c>
      <c r="H165" s="21" t="str">
        <f t="shared" si="16"/>
        <v>k</v>
      </c>
      <c r="I165" s="22">
        <f t="shared" si="17"/>
        <v>14400</v>
      </c>
      <c r="J165" s="21" t="str">
        <f t="shared" si="18"/>
        <v>k</v>
      </c>
      <c r="K165" s="23">
        <f t="shared" si="19"/>
        <v>648200</v>
      </c>
      <c r="L165" s="21">
        <v>5.3</v>
      </c>
      <c r="M165" s="22">
        <f t="shared" si="20"/>
        <v>31</v>
      </c>
      <c r="N165" s="23">
        <f t="shared" si="21"/>
        <v>20909.677419354837</v>
      </c>
      <c r="O165" s="23">
        <f t="shared" si="22"/>
        <v>464.51612903225805</v>
      </c>
      <c r="P165" s="23">
        <f t="shared" si="23"/>
        <v>45.013888888888886</v>
      </c>
      <c r="Q165" s="21" t="str">
        <f>IF(ISNA(_xlfn.XLOOKUP(D165,'Same Seller Hist'!H:H,'Same Seller Hist'!H:H)),"Não","Sim")</f>
        <v>Não</v>
      </c>
      <c r="R165" s="21" t="str">
        <f>_xlfn.IFNA(_xlfn.XLOOKUP(D165,'Same Seller Hist'!D:D,'Same Seller Hist'!M:M),"Não Existe")</f>
        <v>Ativo</v>
      </c>
    </row>
    <row r="166" spans="3:18" x14ac:dyDescent="0.35">
      <c r="C166" s="18">
        <v>45992</v>
      </c>
      <c r="D166" s="5" t="s">
        <v>373</v>
      </c>
      <c r="E166" s="5" t="s">
        <v>910</v>
      </c>
      <c r="F166" s="5" t="s">
        <v>2026</v>
      </c>
      <c r="G166" s="5" t="s">
        <v>2210</v>
      </c>
      <c r="H166" s="21" t="str">
        <f t="shared" si="16"/>
        <v>k</v>
      </c>
      <c r="I166" s="22">
        <f t="shared" si="17"/>
        <v>14400</v>
      </c>
      <c r="J166" s="21" t="str">
        <f t="shared" si="18"/>
        <v>k</v>
      </c>
      <c r="K166" s="23">
        <f t="shared" si="19"/>
        <v>649700</v>
      </c>
      <c r="L166" s="21">
        <v>5.3</v>
      </c>
      <c r="M166" s="22">
        <f t="shared" si="20"/>
        <v>31</v>
      </c>
      <c r="N166" s="23">
        <f t="shared" si="21"/>
        <v>20958.064516129034</v>
      </c>
      <c r="O166" s="23">
        <f t="shared" si="22"/>
        <v>464.51612903225805</v>
      </c>
      <c r="P166" s="23">
        <f t="shared" si="23"/>
        <v>45.118055555555564</v>
      </c>
      <c r="Q166" s="21" t="str">
        <f>IF(ISNA(_xlfn.XLOOKUP(D166,'Same Seller Hist'!H:H,'Same Seller Hist'!H:H)),"Não","Sim")</f>
        <v>Sim</v>
      </c>
      <c r="R166" s="21" t="str">
        <f>_xlfn.IFNA(_xlfn.XLOOKUP(D166,'Same Seller Hist'!D:D,'Same Seller Hist'!M:M),"Não Existe")</f>
        <v>Ativo</v>
      </c>
    </row>
    <row r="167" spans="3:18" hidden="1" x14ac:dyDescent="0.35">
      <c r="C167" s="18">
        <v>45992</v>
      </c>
      <c r="D167" s="5" t="s">
        <v>370</v>
      </c>
      <c r="E167" s="5" t="s">
        <v>933</v>
      </c>
      <c r="F167" s="5" t="s">
        <v>2027</v>
      </c>
      <c r="G167" s="5" t="s">
        <v>2211</v>
      </c>
      <c r="H167" s="21" t="str">
        <f t="shared" si="16"/>
        <v>k</v>
      </c>
      <c r="I167" s="22">
        <f t="shared" si="17"/>
        <v>14300</v>
      </c>
      <c r="J167" s="21" t="str">
        <f t="shared" si="18"/>
        <v>k</v>
      </c>
      <c r="K167" s="23">
        <f t="shared" si="19"/>
        <v>464100</v>
      </c>
      <c r="L167" s="21">
        <v>5.3</v>
      </c>
      <c r="M167" s="22">
        <f t="shared" si="20"/>
        <v>31</v>
      </c>
      <c r="N167" s="23">
        <f t="shared" si="21"/>
        <v>14970.967741935483</v>
      </c>
      <c r="O167" s="23">
        <f t="shared" si="22"/>
        <v>461.29032258064518</v>
      </c>
      <c r="P167" s="23">
        <f t="shared" si="23"/>
        <v>32.454545454545453</v>
      </c>
      <c r="Q167" s="21" t="str">
        <f>IF(ISNA(_xlfn.XLOOKUP(D167,'Same Seller Hist'!H:H,'Same Seller Hist'!H:H)),"Não","Sim")</f>
        <v>Não</v>
      </c>
      <c r="R167" s="21" t="str">
        <f>_xlfn.IFNA(_xlfn.XLOOKUP(D167,'Same Seller Hist'!D:D,'Same Seller Hist'!M:M),"Não Existe")</f>
        <v>Ativo</v>
      </c>
    </row>
    <row r="168" spans="3:18" hidden="1" x14ac:dyDescent="0.35">
      <c r="C168" s="18">
        <v>45992</v>
      </c>
      <c r="D168" s="5" t="s">
        <v>262</v>
      </c>
      <c r="E168" s="5" t="s">
        <v>928</v>
      </c>
      <c r="F168" s="5" t="s">
        <v>2027</v>
      </c>
      <c r="G168" s="5" t="s">
        <v>2212</v>
      </c>
      <c r="H168" s="21" t="str">
        <f t="shared" si="16"/>
        <v>k</v>
      </c>
      <c r="I168" s="22">
        <f t="shared" si="17"/>
        <v>14300</v>
      </c>
      <c r="J168" s="21" t="str">
        <f t="shared" si="18"/>
        <v>k</v>
      </c>
      <c r="K168" s="23">
        <f t="shared" si="19"/>
        <v>664500</v>
      </c>
      <c r="L168" s="21">
        <v>5.3</v>
      </c>
      <c r="M168" s="22">
        <f t="shared" si="20"/>
        <v>31</v>
      </c>
      <c r="N168" s="23">
        <f t="shared" si="21"/>
        <v>21435.483870967742</v>
      </c>
      <c r="O168" s="23">
        <f t="shared" si="22"/>
        <v>461.29032258064518</v>
      </c>
      <c r="P168" s="23">
        <f t="shared" si="23"/>
        <v>46.468531468531467</v>
      </c>
      <c r="Q168" s="21" t="str">
        <f>IF(ISNA(_xlfn.XLOOKUP(D168,'Same Seller Hist'!H:H,'Same Seller Hist'!H:H)),"Não","Sim")</f>
        <v>Não</v>
      </c>
      <c r="R168" s="21" t="str">
        <f>_xlfn.IFNA(_xlfn.XLOOKUP(D168,'Same Seller Hist'!D:D,'Same Seller Hist'!M:M),"Não Existe")</f>
        <v>Ativo</v>
      </c>
    </row>
    <row r="169" spans="3:18" hidden="1" x14ac:dyDescent="0.35">
      <c r="C169" s="18">
        <v>45992</v>
      </c>
      <c r="D169" s="5" t="s">
        <v>1783</v>
      </c>
      <c r="E169" s="5" t="s">
        <v>910</v>
      </c>
      <c r="F169" s="5" t="s">
        <v>2028</v>
      </c>
      <c r="G169" s="5" t="s">
        <v>2213</v>
      </c>
      <c r="H169" s="21" t="str">
        <f t="shared" si="16"/>
        <v>k</v>
      </c>
      <c r="I169" s="22">
        <f t="shared" si="17"/>
        <v>14200</v>
      </c>
      <c r="J169" s="21" t="str">
        <f t="shared" si="18"/>
        <v>k</v>
      </c>
      <c r="K169" s="23">
        <f t="shared" si="19"/>
        <v>622700</v>
      </c>
      <c r="L169" s="21">
        <v>5.3</v>
      </c>
      <c r="M169" s="22">
        <f t="shared" si="20"/>
        <v>31</v>
      </c>
      <c r="N169" s="23">
        <f t="shared" si="21"/>
        <v>20087.096774193549</v>
      </c>
      <c r="O169" s="23">
        <f t="shared" si="22"/>
        <v>458.06451612903226</v>
      </c>
      <c r="P169" s="23">
        <f t="shared" si="23"/>
        <v>43.852112676056343</v>
      </c>
      <c r="Q169" s="21" t="str">
        <f>IF(ISNA(_xlfn.XLOOKUP(D169,'Same Seller Hist'!H:H,'Same Seller Hist'!H:H)),"Não","Sim")</f>
        <v>Não</v>
      </c>
      <c r="R169" s="21" t="str">
        <f>_xlfn.IFNA(_xlfn.XLOOKUP(D169,'Same Seller Hist'!D:D,'Same Seller Hist'!M:M),"Não Existe")</f>
        <v>Não Existe</v>
      </c>
    </row>
    <row r="170" spans="3:18" hidden="1" x14ac:dyDescent="0.35">
      <c r="C170" s="18">
        <v>45992</v>
      </c>
      <c r="D170" s="5" t="s">
        <v>1784</v>
      </c>
      <c r="E170" s="5" t="s">
        <v>924</v>
      </c>
      <c r="F170" s="5" t="s">
        <v>2029</v>
      </c>
      <c r="G170" s="5" t="s">
        <v>2214</v>
      </c>
      <c r="H170" s="21" t="str">
        <f t="shared" si="16"/>
        <v>k</v>
      </c>
      <c r="I170" s="22">
        <f t="shared" si="17"/>
        <v>14000</v>
      </c>
      <c r="J170" s="21" t="str">
        <f t="shared" si="18"/>
        <v>k</v>
      </c>
      <c r="K170" s="23">
        <f t="shared" si="19"/>
        <v>488700</v>
      </c>
      <c r="L170" s="21">
        <v>5.3</v>
      </c>
      <c r="M170" s="22">
        <f t="shared" si="20"/>
        <v>31</v>
      </c>
      <c r="N170" s="23">
        <f t="shared" si="21"/>
        <v>15764.516129032258</v>
      </c>
      <c r="O170" s="23">
        <f t="shared" si="22"/>
        <v>451.61290322580646</v>
      </c>
      <c r="P170" s="23">
        <f t="shared" si="23"/>
        <v>34.907142857142858</v>
      </c>
      <c r="Q170" s="21" t="str">
        <f>IF(ISNA(_xlfn.XLOOKUP(D170,'Same Seller Hist'!H:H,'Same Seller Hist'!H:H)),"Não","Sim")</f>
        <v>Não</v>
      </c>
      <c r="R170" s="21" t="str">
        <f>_xlfn.IFNA(_xlfn.XLOOKUP(D170,'Same Seller Hist'!D:D,'Same Seller Hist'!M:M),"Não Existe")</f>
        <v>Não Existe</v>
      </c>
    </row>
    <row r="171" spans="3:18" x14ac:dyDescent="0.35">
      <c r="C171" s="18">
        <v>45992</v>
      </c>
      <c r="D171" s="5" t="s">
        <v>89</v>
      </c>
      <c r="E171" s="5" t="s">
        <v>913</v>
      </c>
      <c r="F171" s="5" t="s">
        <v>2029</v>
      </c>
      <c r="G171" s="5" t="s">
        <v>2215</v>
      </c>
      <c r="H171" s="21" t="str">
        <f t="shared" si="16"/>
        <v>k</v>
      </c>
      <c r="I171" s="22">
        <f t="shared" si="17"/>
        <v>14000</v>
      </c>
      <c r="J171" s="21" t="str">
        <f t="shared" si="18"/>
        <v>k</v>
      </c>
      <c r="K171" s="23">
        <f t="shared" si="19"/>
        <v>975600</v>
      </c>
      <c r="L171" s="21">
        <v>5.3</v>
      </c>
      <c r="M171" s="22">
        <f t="shared" si="20"/>
        <v>31</v>
      </c>
      <c r="N171" s="23">
        <f t="shared" si="21"/>
        <v>31470.967741935485</v>
      </c>
      <c r="O171" s="23">
        <f t="shared" si="22"/>
        <v>451.61290322580646</v>
      </c>
      <c r="P171" s="23">
        <f t="shared" si="23"/>
        <v>69.685714285714283</v>
      </c>
      <c r="Q171" s="21" t="str">
        <f>IF(ISNA(_xlfn.XLOOKUP(D171,'Same Seller Hist'!H:H,'Same Seller Hist'!H:H)),"Não","Sim")</f>
        <v>Sim</v>
      </c>
      <c r="R171" s="21" t="str">
        <f>_xlfn.IFNA(_xlfn.XLOOKUP(D171,'Same Seller Hist'!D:D,'Same Seller Hist'!M:M),"Não Existe")</f>
        <v>Ativo</v>
      </c>
    </row>
    <row r="172" spans="3:18" hidden="1" x14ac:dyDescent="0.35">
      <c r="C172" s="18">
        <v>45992</v>
      </c>
      <c r="D172" s="5" t="s">
        <v>271</v>
      </c>
      <c r="E172" s="5" t="s">
        <v>936</v>
      </c>
      <c r="F172" s="5" t="s">
        <v>2030</v>
      </c>
      <c r="G172" s="5" t="s">
        <v>2132</v>
      </c>
      <c r="H172" s="21" t="str">
        <f t="shared" si="16"/>
        <v>k</v>
      </c>
      <c r="I172" s="22">
        <f t="shared" si="17"/>
        <v>13900</v>
      </c>
      <c r="J172" s="21" t="str">
        <f t="shared" si="18"/>
        <v>m</v>
      </c>
      <c r="K172" s="23">
        <f t="shared" si="19"/>
        <v>1200000</v>
      </c>
      <c r="L172" s="21">
        <v>5.3</v>
      </c>
      <c r="M172" s="22">
        <f t="shared" si="20"/>
        <v>31</v>
      </c>
      <c r="N172" s="23">
        <f t="shared" si="21"/>
        <v>38709.677419354841</v>
      </c>
      <c r="O172" s="23">
        <f t="shared" si="22"/>
        <v>448.38709677419354</v>
      </c>
      <c r="P172" s="23">
        <f t="shared" si="23"/>
        <v>86.330935251798564</v>
      </c>
      <c r="Q172" s="21" t="str">
        <f>IF(ISNA(_xlfn.XLOOKUP(D172,'Same Seller Hist'!H:H,'Same Seller Hist'!H:H)),"Não","Sim")</f>
        <v>Não</v>
      </c>
      <c r="R172" s="21" t="str">
        <f>_xlfn.IFNA(_xlfn.XLOOKUP(D172,'Same Seller Hist'!D:D,'Same Seller Hist'!M:M),"Não Existe")</f>
        <v>Ativo</v>
      </c>
    </row>
    <row r="173" spans="3:18" x14ac:dyDescent="0.35">
      <c r="C173" s="18">
        <v>45992</v>
      </c>
      <c r="D173" s="5" t="s">
        <v>509</v>
      </c>
      <c r="E173" s="5" t="s">
        <v>916</v>
      </c>
      <c r="F173" s="5" t="s">
        <v>2030</v>
      </c>
      <c r="G173" s="5" t="s">
        <v>2216</v>
      </c>
      <c r="H173" s="21" t="str">
        <f t="shared" si="16"/>
        <v>k</v>
      </c>
      <c r="I173" s="22">
        <f t="shared" si="17"/>
        <v>13900</v>
      </c>
      <c r="J173" s="21" t="str">
        <f t="shared" si="18"/>
        <v>k</v>
      </c>
      <c r="K173" s="23">
        <f t="shared" si="19"/>
        <v>723100</v>
      </c>
      <c r="L173" s="21">
        <v>5.3</v>
      </c>
      <c r="M173" s="22">
        <f t="shared" si="20"/>
        <v>31</v>
      </c>
      <c r="N173" s="23">
        <f t="shared" si="21"/>
        <v>23325.806451612902</v>
      </c>
      <c r="O173" s="23">
        <f t="shared" si="22"/>
        <v>448.38709677419354</v>
      </c>
      <c r="P173" s="23">
        <f t="shared" si="23"/>
        <v>52.021582733812949</v>
      </c>
      <c r="Q173" s="21" t="str">
        <f>IF(ISNA(_xlfn.XLOOKUP(D173,'Same Seller Hist'!H:H,'Same Seller Hist'!H:H)),"Não","Sim")</f>
        <v>Sim</v>
      </c>
      <c r="R173" s="21" t="str">
        <f>_xlfn.IFNA(_xlfn.XLOOKUP(D173,'Same Seller Hist'!D:D,'Same Seller Hist'!M:M),"Não Existe")</f>
        <v>Ativo</v>
      </c>
    </row>
    <row r="174" spans="3:18" hidden="1" x14ac:dyDescent="0.35">
      <c r="C174" s="18">
        <v>45992</v>
      </c>
      <c r="D174" s="5" t="s">
        <v>776</v>
      </c>
      <c r="E174" s="5" t="s">
        <v>908</v>
      </c>
      <c r="F174" s="5" t="s">
        <v>2031</v>
      </c>
      <c r="G174" s="5" t="s">
        <v>2217</v>
      </c>
      <c r="H174" s="21" t="str">
        <f t="shared" si="16"/>
        <v>k</v>
      </c>
      <c r="I174" s="22">
        <f t="shared" si="17"/>
        <v>13800</v>
      </c>
      <c r="J174" s="21" t="str">
        <f t="shared" si="18"/>
        <v>k</v>
      </c>
      <c r="K174" s="23">
        <f t="shared" si="19"/>
        <v>693100</v>
      </c>
      <c r="L174" s="21">
        <v>5.3</v>
      </c>
      <c r="M174" s="22">
        <f t="shared" si="20"/>
        <v>31</v>
      </c>
      <c r="N174" s="23">
        <f t="shared" si="21"/>
        <v>22358.064516129034</v>
      </c>
      <c r="O174" s="23">
        <f t="shared" si="22"/>
        <v>445.16129032258067</v>
      </c>
      <c r="P174" s="23">
        <f t="shared" si="23"/>
        <v>50.224637681159422</v>
      </c>
      <c r="Q174" s="21" t="str">
        <f>IF(ISNA(_xlfn.XLOOKUP(D174,'Same Seller Hist'!H:H,'Same Seller Hist'!H:H)),"Não","Sim")</f>
        <v>Não</v>
      </c>
      <c r="R174" s="21" t="str">
        <f>_xlfn.IFNA(_xlfn.XLOOKUP(D174,'Same Seller Hist'!D:D,'Same Seller Hist'!M:M),"Não Existe")</f>
        <v>Ativo</v>
      </c>
    </row>
    <row r="175" spans="3:18" x14ac:dyDescent="0.35">
      <c r="C175" s="18">
        <v>45992</v>
      </c>
      <c r="D175" s="5" t="s">
        <v>53</v>
      </c>
      <c r="E175" s="5" t="s">
        <v>913</v>
      </c>
      <c r="F175" s="5" t="s">
        <v>2031</v>
      </c>
      <c r="G175" s="5" t="s">
        <v>2116</v>
      </c>
      <c r="H175" s="21" t="str">
        <f t="shared" si="16"/>
        <v>k</v>
      </c>
      <c r="I175" s="22">
        <f t="shared" si="17"/>
        <v>13800</v>
      </c>
      <c r="J175" s="21" t="str">
        <f t="shared" si="18"/>
        <v>m</v>
      </c>
      <c r="K175" s="23">
        <f t="shared" si="19"/>
        <v>1000000</v>
      </c>
      <c r="L175" s="21">
        <v>5.3</v>
      </c>
      <c r="M175" s="22">
        <f t="shared" si="20"/>
        <v>31</v>
      </c>
      <c r="N175" s="23">
        <f t="shared" si="21"/>
        <v>32258.064516129034</v>
      </c>
      <c r="O175" s="23">
        <f t="shared" si="22"/>
        <v>445.16129032258067</v>
      </c>
      <c r="P175" s="23">
        <f t="shared" si="23"/>
        <v>72.463768115942031</v>
      </c>
      <c r="Q175" s="21" t="str">
        <f>IF(ISNA(_xlfn.XLOOKUP(D175,'Same Seller Hist'!H:H,'Same Seller Hist'!H:H)),"Não","Sim")</f>
        <v>Sim</v>
      </c>
      <c r="R175" s="21" t="str">
        <f>_xlfn.IFNA(_xlfn.XLOOKUP(D175,'Same Seller Hist'!D:D,'Same Seller Hist'!M:M),"Não Existe")</f>
        <v>Ativo</v>
      </c>
    </row>
    <row r="176" spans="3:18" x14ac:dyDescent="0.35">
      <c r="C176" s="18">
        <v>45992</v>
      </c>
      <c r="D176" s="5" t="s">
        <v>206</v>
      </c>
      <c r="E176" s="5" t="s">
        <v>908</v>
      </c>
      <c r="F176" s="5" t="s">
        <v>2032</v>
      </c>
      <c r="G176" s="5" t="s">
        <v>2218</v>
      </c>
      <c r="H176" s="21" t="str">
        <f t="shared" si="16"/>
        <v>k</v>
      </c>
      <c r="I176" s="22">
        <f t="shared" si="17"/>
        <v>13700</v>
      </c>
      <c r="J176" s="21" t="str">
        <f t="shared" si="18"/>
        <v>k</v>
      </c>
      <c r="K176" s="23">
        <f t="shared" si="19"/>
        <v>242100</v>
      </c>
      <c r="L176" s="21">
        <v>5.3</v>
      </c>
      <c r="M176" s="22">
        <f t="shared" si="20"/>
        <v>31</v>
      </c>
      <c r="N176" s="23">
        <f t="shared" si="21"/>
        <v>7809.677419354839</v>
      </c>
      <c r="O176" s="23">
        <f t="shared" si="22"/>
        <v>441.93548387096774</v>
      </c>
      <c r="P176" s="23">
        <f t="shared" si="23"/>
        <v>17.67153284671533</v>
      </c>
      <c r="Q176" s="21" t="str">
        <f>IF(ISNA(_xlfn.XLOOKUP(D176,'Same Seller Hist'!H:H,'Same Seller Hist'!H:H)),"Não","Sim")</f>
        <v>Sim</v>
      </c>
      <c r="R176" s="21" t="str">
        <f>_xlfn.IFNA(_xlfn.XLOOKUP(D176,'Same Seller Hist'!D:D,'Same Seller Hist'!M:M),"Não Existe")</f>
        <v>Ativo</v>
      </c>
    </row>
    <row r="177" spans="3:18" hidden="1" x14ac:dyDescent="0.35">
      <c r="C177" s="18">
        <v>45992</v>
      </c>
      <c r="D177" s="5" t="s">
        <v>1785</v>
      </c>
      <c r="E177" s="5" t="s">
        <v>964</v>
      </c>
      <c r="F177" s="5" t="s">
        <v>2033</v>
      </c>
      <c r="G177" s="5" t="s">
        <v>2219</v>
      </c>
      <c r="H177" s="21" t="str">
        <f t="shared" si="16"/>
        <v>k</v>
      </c>
      <c r="I177" s="22">
        <f t="shared" si="17"/>
        <v>13600</v>
      </c>
      <c r="J177" s="21" t="str">
        <f t="shared" si="18"/>
        <v>k</v>
      </c>
      <c r="K177" s="23">
        <f t="shared" si="19"/>
        <v>289100</v>
      </c>
      <c r="L177" s="21">
        <v>5.3</v>
      </c>
      <c r="M177" s="22">
        <f t="shared" si="20"/>
        <v>31</v>
      </c>
      <c r="N177" s="23">
        <f t="shared" si="21"/>
        <v>9325.8064516129034</v>
      </c>
      <c r="O177" s="23">
        <f t="shared" si="22"/>
        <v>438.70967741935482</v>
      </c>
      <c r="P177" s="23">
        <f t="shared" si="23"/>
        <v>21.257352941176471</v>
      </c>
      <c r="Q177" s="21" t="str">
        <f>IF(ISNA(_xlfn.XLOOKUP(D177,'Same Seller Hist'!H:H,'Same Seller Hist'!H:H)),"Não","Sim")</f>
        <v>Não</v>
      </c>
      <c r="R177" s="21" t="str">
        <f>_xlfn.IFNA(_xlfn.XLOOKUP(D177,'Same Seller Hist'!D:D,'Same Seller Hist'!M:M),"Não Existe")</f>
        <v>Não Existe</v>
      </c>
    </row>
    <row r="178" spans="3:18" x14ac:dyDescent="0.35">
      <c r="C178" s="18">
        <v>45992</v>
      </c>
      <c r="D178" s="5" t="s">
        <v>887</v>
      </c>
      <c r="E178" s="5" t="s">
        <v>908</v>
      </c>
      <c r="F178" s="5" t="s">
        <v>2033</v>
      </c>
      <c r="G178" s="5" t="s">
        <v>2220</v>
      </c>
      <c r="H178" s="21" t="str">
        <f t="shared" si="16"/>
        <v>k</v>
      </c>
      <c r="I178" s="22">
        <f t="shared" si="17"/>
        <v>13600</v>
      </c>
      <c r="J178" s="21" t="str">
        <f t="shared" si="18"/>
        <v>k</v>
      </c>
      <c r="K178" s="23">
        <f t="shared" si="19"/>
        <v>134800</v>
      </c>
      <c r="L178" s="21">
        <v>5.3</v>
      </c>
      <c r="M178" s="22">
        <f t="shared" si="20"/>
        <v>31</v>
      </c>
      <c r="N178" s="23">
        <f t="shared" si="21"/>
        <v>4348.3870967741932</v>
      </c>
      <c r="O178" s="23">
        <f t="shared" si="22"/>
        <v>438.70967741935482</v>
      </c>
      <c r="P178" s="23">
        <f t="shared" si="23"/>
        <v>9.9117647058823533</v>
      </c>
      <c r="Q178" s="21" t="str">
        <f>IF(ISNA(_xlfn.XLOOKUP(D178,'Same Seller Hist'!H:H,'Same Seller Hist'!H:H)),"Não","Sim")</f>
        <v>Sim</v>
      </c>
      <c r="R178" s="21" t="str">
        <f>_xlfn.IFNA(_xlfn.XLOOKUP(D178,'Same Seller Hist'!D:D,'Same Seller Hist'!M:M),"Não Existe")</f>
        <v>Ativo</v>
      </c>
    </row>
    <row r="179" spans="3:18" hidden="1" x14ac:dyDescent="0.35">
      <c r="C179" s="18">
        <v>45992</v>
      </c>
      <c r="D179" s="5" t="s">
        <v>1786</v>
      </c>
      <c r="E179" s="5" t="s">
        <v>908</v>
      </c>
      <c r="F179" s="5" t="s">
        <v>2034</v>
      </c>
      <c r="G179" s="5" t="s">
        <v>2221</v>
      </c>
      <c r="H179" s="21" t="str">
        <f t="shared" si="16"/>
        <v>k</v>
      </c>
      <c r="I179" s="22">
        <f t="shared" si="17"/>
        <v>13500</v>
      </c>
      <c r="J179" s="21" t="str">
        <f t="shared" si="18"/>
        <v>k</v>
      </c>
      <c r="K179" s="23">
        <f t="shared" si="19"/>
        <v>777000</v>
      </c>
      <c r="L179" s="21">
        <v>5.3</v>
      </c>
      <c r="M179" s="22">
        <f t="shared" si="20"/>
        <v>31</v>
      </c>
      <c r="N179" s="23">
        <f t="shared" si="21"/>
        <v>25064.516129032258</v>
      </c>
      <c r="O179" s="23">
        <f t="shared" si="22"/>
        <v>435.48387096774195</v>
      </c>
      <c r="P179" s="23">
        <f t="shared" si="23"/>
        <v>57.55555555555555</v>
      </c>
      <c r="Q179" s="21" t="str">
        <f>IF(ISNA(_xlfn.XLOOKUP(D179,'Same Seller Hist'!H:H,'Same Seller Hist'!H:H)),"Não","Sim")</f>
        <v>Não</v>
      </c>
      <c r="R179" s="21" t="str">
        <f>_xlfn.IFNA(_xlfn.XLOOKUP(D179,'Same Seller Hist'!D:D,'Same Seller Hist'!M:M),"Não Existe")</f>
        <v>Não Existe</v>
      </c>
    </row>
    <row r="180" spans="3:18" hidden="1" x14ac:dyDescent="0.35">
      <c r="C180" s="18">
        <v>45992</v>
      </c>
      <c r="D180" s="5" t="s">
        <v>1787</v>
      </c>
      <c r="E180" s="5" t="s">
        <v>911</v>
      </c>
      <c r="F180" s="5" t="s">
        <v>2034</v>
      </c>
      <c r="G180" s="5" t="s">
        <v>2222</v>
      </c>
      <c r="H180" s="21" t="str">
        <f t="shared" si="16"/>
        <v>k</v>
      </c>
      <c r="I180" s="22">
        <f t="shared" si="17"/>
        <v>13500</v>
      </c>
      <c r="J180" s="21" t="str">
        <f t="shared" si="18"/>
        <v>k</v>
      </c>
      <c r="K180" s="23">
        <f t="shared" si="19"/>
        <v>877500</v>
      </c>
      <c r="L180" s="21">
        <v>5.3</v>
      </c>
      <c r="M180" s="22">
        <f t="shared" si="20"/>
        <v>31</v>
      </c>
      <c r="N180" s="23">
        <f t="shared" si="21"/>
        <v>28306.451612903227</v>
      </c>
      <c r="O180" s="23">
        <f t="shared" si="22"/>
        <v>435.48387096774195</v>
      </c>
      <c r="P180" s="23">
        <f t="shared" si="23"/>
        <v>65</v>
      </c>
      <c r="Q180" s="21" t="str">
        <f>IF(ISNA(_xlfn.XLOOKUP(D180,'Same Seller Hist'!H:H,'Same Seller Hist'!H:H)),"Não","Sim")</f>
        <v>Não</v>
      </c>
      <c r="R180" s="21" t="str">
        <f>_xlfn.IFNA(_xlfn.XLOOKUP(D180,'Same Seller Hist'!D:D,'Same Seller Hist'!M:M),"Não Existe")</f>
        <v>Não Existe</v>
      </c>
    </row>
    <row r="181" spans="3:18" hidden="1" x14ac:dyDescent="0.35">
      <c r="C181" s="18">
        <v>45992</v>
      </c>
      <c r="D181" s="5" t="s">
        <v>79</v>
      </c>
      <c r="E181" s="5" t="s">
        <v>924</v>
      </c>
      <c r="F181" s="5" t="s">
        <v>2034</v>
      </c>
      <c r="G181" s="5" t="s">
        <v>2223</v>
      </c>
      <c r="H181" s="21" t="str">
        <f t="shared" si="16"/>
        <v>k</v>
      </c>
      <c r="I181" s="22">
        <f t="shared" si="17"/>
        <v>13500</v>
      </c>
      <c r="J181" s="21" t="str">
        <f t="shared" si="18"/>
        <v>k</v>
      </c>
      <c r="K181" s="23">
        <f t="shared" si="19"/>
        <v>631900</v>
      </c>
      <c r="L181" s="21">
        <v>5.3</v>
      </c>
      <c r="M181" s="22">
        <f t="shared" si="20"/>
        <v>31</v>
      </c>
      <c r="N181" s="23">
        <f t="shared" si="21"/>
        <v>20383.870967741936</v>
      </c>
      <c r="O181" s="23">
        <f t="shared" si="22"/>
        <v>435.48387096774195</v>
      </c>
      <c r="P181" s="23">
        <f t="shared" si="23"/>
        <v>46.807407407407403</v>
      </c>
      <c r="Q181" s="21" t="str">
        <f>IF(ISNA(_xlfn.XLOOKUP(D181,'Same Seller Hist'!H:H,'Same Seller Hist'!H:H)),"Não","Sim")</f>
        <v>Não</v>
      </c>
      <c r="R181" s="21" t="str">
        <f>_xlfn.IFNA(_xlfn.XLOOKUP(D181,'Same Seller Hist'!D:D,'Same Seller Hist'!M:M),"Não Existe")</f>
        <v>Ativo</v>
      </c>
    </row>
    <row r="182" spans="3:18" hidden="1" x14ac:dyDescent="0.35">
      <c r="C182" s="18">
        <v>45992</v>
      </c>
      <c r="D182" s="5" t="s">
        <v>1788</v>
      </c>
      <c r="E182" s="5" t="s">
        <v>924</v>
      </c>
      <c r="F182" s="5" t="s">
        <v>2034</v>
      </c>
      <c r="G182" s="5" t="s">
        <v>2224</v>
      </c>
      <c r="H182" s="21" t="str">
        <f t="shared" si="16"/>
        <v>k</v>
      </c>
      <c r="I182" s="22">
        <f t="shared" si="17"/>
        <v>13500</v>
      </c>
      <c r="J182" s="21" t="str">
        <f t="shared" si="18"/>
        <v>k</v>
      </c>
      <c r="K182" s="23">
        <f t="shared" si="19"/>
        <v>214900</v>
      </c>
      <c r="L182" s="21">
        <v>5.3</v>
      </c>
      <c r="M182" s="22">
        <f t="shared" si="20"/>
        <v>31</v>
      </c>
      <c r="N182" s="23">
        <f t="shared" si="21"/>
        <v>6932.2580645161288</v>
      </c>
      <c r="O182" s="23">
        <f t="shared" si="22"/>
        <v>435.48387096774195</v>
      </c>
      <c r="P182" s="23">
        <f t="shared" si="23"/>
        <v>15.918518518518518</v>
      </c>
      <c r="Q182" s="21" t="str">
        <f>IF(ISNA(_xlfn.XLOOKUP(D182,'Same Seller Hist'!H:H,'Same Seller Hist'!H:H)),"Não","Sim")</f>
        <v>Não</v>
      </c>
      <c r="R182" s="21" t="str">
        <f>_xlfn.IFNA(_xlfn.XLOOKUP(D182,'Same Seller Hist'!D:D,'Same Seller Hist'!M:M),"Não Existe")</f>
        <v>Não Existe</v>
      </c>
    </row>
    <row r="183" spans="3:18" x14ac:dyDescent="0.35">
      <c r="C183" s="18">
        <v>45992</v>
      </c>
      <c r="D183" s="5" t="s">
        <v>844</v>
      </c>
      <c r="E183" s="5" t="s">
        <v>941</v>
      </c>
      <c r="F183" s="5" t="s">
        <v>2035</v>
      </c>
      <c r="G183" s="5" t="s">
        <v>2225</v>
      </c>
      <c r="H183" s="21" t="str">
        <f t="shared" si="16"/>
        <v>k</v>
      </c>
      <c r="I183" s="22">
        <f t="shared" si="17"/>
        <v>13400</v>
      </c>
      <c r="J183" s="21" t="str">
        <f t="shared" si="18"/>
        <v>k</v>
      </c>
      <c r="K183" s="23">
        <f t="shared" si="19"/>
        <v>707000</v>
      </c>
      <c r="L183" s="21">
        <v>5.3</v>
      </c>
      <c r="M183" s="22">
        <f t="shared" si="20"/>
        <v>31</v>
      </c>
      <c r="N183" s="23">
        <f t="shared" si="21"/>
        <v>22806.451612903227</v>
      </c>
      <c r="O183" s="23">
        <f t="shared" si="22"/>
        <v>432.25806451612902</v>
      </c>
      <c r="P183" s="23">
        <f t="shared" si="23"/>
        <v>52.761194029850749</v>
      </c>
      <c r="Q183" s="21" t="str">
        <f>IF(ISNA(_xlfn.XLOOKUP(D183,'Same Seller Hist'!H:H,'Same Seller Hist'!H:H)),"Não","Sim")</f>
        <v>Sim</v>
      </c>
      <c r="R183" s="21" t="str">
        <f>_xlfn.IFNA(_xlfn.XLOOKUP(D183,'Same Seller Hist'!D:D,'Same Seller Hist'!M:M),"Não Existe")</f>
        <v>Ativo</v>
      </c>
    </row>
    <row r="184" spans="3:18" hidden="1" x14ac:dyDescent="0.35">
      <c r="C184" s="18">
        <v>45992</v>
      </c>
      <c r="D184" s="5" t="s">
        <v>1789</v>
      </c>
      <c r="E184" s="5" t="s">
        <v>942</v>
      </c>
      <c r="F184" s="5" t="s">
        <v>2036</v>
      </c>
      <c r="G184" s="5" t="s">
        <v>2121</v>
      </c>
      <c r="H184" s="21" t="str">
        <f t="shared" si="16"/>
        <v>k</v>
      </c>
      <c r="I184" s="22">
        <f t="shared" si="17"/>
        <v>13300</v>
      </c>
      <c r="J184" s="21" t="str">
        <f t="shared" si="18"/>
        <v>m</v>
      </c>
      <c r="K184" s="23">
        <f t="shared" si="19"/>
        <v>1400000</v>
      </c>
      <c r="L184" s="21">
        <v>5.3</v>
      </c>
      <c r="M184" s="22">
        <f t="shared" si="20"/>
        <v>31</v>
      </c>
      <c r="N184" s="23">
        <f t="shared" si="21"/>
        <v>45161.290322580644</v>
      </c>
      <c r="O184" s="23">
        <f t="shared" si="22"/>
        <v>429.03225806451616</v>
      </c>
      <c r="P184" s="23">
        <f t="shared" si="23"/>
        <v>105.26315789473684</v>
      </c>
      <c r="Q184" s="21" t="str">
        <f>IF(ISNA(_xlfn.XLOOKUP(D184,'Same Seller Hist'!H:H,'Same Seller Hist'!H:H)),"Não","Sim")</f>
        <v>Não</v>
      </c>
      <c r="R184" s="21" t="str">
        <f>_xlfn.IFNA(_xlfn.XLOOKUP(D184,'Same Seller Hist'!D:D,'Same Seller Hist'!M:M),"Não Existe")</f>
        <v>Não Existe</v>
      </c>
    </row>
    <row r="185" spans="3:18" hidden="1" x14ac:dyDescent="0.35">
      <c r="C185" s="18">
        <v>45992</v>
      </c>
      <c r="D185" s="5" t="s">
        <v>1790</v>
      </c>
      <c r="E185" s="5" t="s">
        <v>908</v>
      </c>
      <c r="F185" s="5" t="s">
        <v>2036</v>
      </c>
      <c r="G185" s="5" t="s">
        <v>2226</v>
      </c>
      <c r="H185" s="21" t="str">
        <f t="shared" si="16"/>
        <v>k</v>
      </c>
      <c r="I185" s="22">
        <f t="shared" si="17"/>
        <v>13300</v>
      </c>
      <c r="J185" s="21" t="str">
        <f t="shared" si="18"/>
        <v>k</v>
      </c>
      <c r="K185" s="23">
        <f t="shared" si="19"/>
        <v>614100</v>
      </c>
      <c r="L185" s="21">
        <v>5.3</v>
      </c>
      <c r="M185" s="22">
        <f t="shared" si="20"/>
        <v>31</v>
      </c>
      <c r="N185" s="23">
        <f t="shared" si="21"/>
        <v>19809.677419354837</v>
      </c>
      <c r="O185" s="23">
        <f t="shared" si="22"/>
        <v>429.03225806451616</v>
      </c>
      <c r="P185" s="23">
        <f t="shared" si="23"/>
        <v>46.172932330827059</v>
      </c>
      <c r="Q185" s="21" t="str">
        <f>IF(ISNA(_xlfn.XLOOKUP(D185,'Same Seller Hist'!H:H,'Same Seller Hist'!H:H)),"Não","Sim")</f>
        <v>Não</v>
      </c>
      <c r="R185" s="21" t="str">
        <f>_xlfn.IFNA(_xlfn.XLOOKUP(D185,'Same Seller Hist'!D:D,'Same Seller Hist'!M:M),"Não Existe")</f>
        <v>Não Existe</v>
      </c>
    </row>
    <row r="186" spans="3:18" x14ac:dyDescent="0.35">
      <c r="C186" s="18">
        <v>45992</v>
      </c>
      <c r="D186" s="5" t="s">
        <v>203</v>
      </c>
      <c r="E186" s="5" t="s">
        <v>926</v>
      </c>
      <c r="F186" s="5" t="s">
        <v>2037</v>
      </c>
      <c r="G186" s="5" t="s">
        <v>2227</v>
      </c>
      <c r="H186" s="21" t="str">
        <f t="shared" si="16"/>
        <v>k</v>
      </c>
      <c r="I186" s="22">
        <f t="shared" si="17"/>
        <v>13200</v>
      </c>
      <c r="J186" s="21" t="str">
        <f t="shared" si="18"/>
        <v>k</v>
      </c>
      <c r="K186" s="23">
        <f t="shared" si="19"/>
        <v>608100</v>
      </c>
      <c r="L186" s="21">
        <v>5.3</v>
      </c>
      <c r="M186" s="22">
        <f t="shared" si="20"/>
        <v>31</v>
      </c>
      <c r="N186" s="23">
        <f t="shared" si="21"/>
        <v>19616.129032258064</v>
      </c>
      <c r="O186" s="23">
        <f t="shared" si="22"/>
        <v>425.80645161290323</v>
      </c>
      <c r="P186" s="23">
        <f t="shared" si="23"/>
        <v>46.06818181818182</v>
      </c>
      <c r="Q186" s="21" t="str">
        <f>IF(ISNA(_xlfn.XLOOKUP(D186,'Same Seller Hist'!H:H,'Same Seller Hist'!H:H)),"Não","Sim")</f>
        <v>Sim</v>
      </c>
      <c r="R186" s="21" t="str">
        <f>_xlfn.IFNA(_xlfn.XLOOKUP(D186,'Same Seller Hist'!D:D,'Same Seller Hist'!M:M),"Não Existe")</f>
        <v>Ativo</v>
      </c>
    </row>
    <row r="187" spans="3:18" x14ac:dyDescent="0.35">
      <c r="C187" s="18">
        <v>45992</v>
      </c>
      <c r="D187" s="5" t="s">
        <v>424</v>
      </c>
      <c r="E187" s="5" t="s">
        <v>911</v>
      </c>
      <c r="F187" s="5" t="s">
        <v>2037</v>
      </c>
      <c r="G187" s="5" t="s">
        <v>2228</v>
      </c>
      <c r="H187" s="21" t="str">
        <f t="shared" si="16"/>
        <v>k</v>
      </c>
      <c r="I187" s="22">
        <f t="shared" si="17"/>
        <v>13200</v>
      </c>
      <c r="J187" s="21" t="str">
        <f t="shared" si="18"/>
        <v>k</v>
      </c>
      <c r="K187" s="23">
        <f t="shared" si="19"/>
        <v>245700</v>
      </c>
      <c r="L187" s="21">
        <v>5.3</v>
      </c>
      <c r="M187" s="22">
        <f t="shared" si="20"/>
        <v>31</v>
      </c>
      <c r="N187" s="23">
        <f t="shared" si="21"/>
        <v>7925.8064516129034</v>
      </c>
      <c r="O187" s="23">
        <f t="shared" si="22"/>
        <v>425.80645161290323</v>
      </c>
      <c r="P187" s="23">
        <f t="shared" si="23"/>
        <v>18.613636363636363</v>
      </c>
      <c r="Q187" s="21" t="str">
        <f>IF(ISNA(_xlfn.XLOOKUP(D187,'Same Seller Hist'!H:H,'Same Seller Hist'!H:H)),"Não","Sim")</f>
        <v>Sim</v>
      </c>
      <c r="R187" s="21" t="str">
        <f>_xlfn.IFNA(_xlfn.XLOOKUP(D187,'Same Seller Hist'!D:D,'Same Seller Hist'!M:M),"Não Existe")</f>
        <v>Ativo</v>
      </c>
    </row>
    <row r="188" spans="3:18" x14ac:dyDescent="0.35">
      <c r="C188" s="18">
        <v>45992</v>
      </c>
      <c r="D188" s="5" t="s">
        <v>254</v>
      </c>
      <c r="E188" s="5" t="s">
        <v>911</v>
      </c>
      <c r="F188" s="5" t="s">
        <v>2037</v>
      </c>
      <c r="G188" s="5" t="s">
        <v>2229</v>
      </c>
      <c r="H188" s="21" t="str">
        <f t="shared" si="16"/>
        <v>k</v>
      </c>
      <c r="I188" s="22">
        <f t="shared" si="17"/>
        <v>13200</v>
      </c>
      <c r="J188" s="21" t="str">
        <f t="shared" si="18"/>
        <v>k</v>
      </c>
      <c r="K188" s="23">
        <f t="shared" si="19"/>
        <v>583200</v>
      </c>
      <c r="L188" s="21">
        <v>5.3</v>
      </c>
      <c r="M188" s="22">
        <f t="shared" si="20"/>
        <v>31</v>
      </c>
      <c r="N188" s="23">
        <f t="shared" si="21"/>
        <v>18812.903225806451</v>
      </c>
      <c r="O188" s="23">
        <f t="shared" si="22"/>
        <v>425.80645161290323</v>
      </c>
      <c r="P188" s="23">
        <f t="shared" si="23"/>
        <v>44.18181818181818</v>
      </c>
      <c r="Q188" s="21" t="str">
        <f>IF(ISNA(_xlfn.XLOOKUP(D188,'Same Seller Hist'!H:H,'Same Seller Hist'!H:H)),"Não","Sim")</f>
        <v>Sim</v>
      </c>
      <c r="R188" s="21" t="str">
        <f>_xlfn.IFNA(_xlfn.XLOOKUP(D188,'Same Seller Hist'!D:D,'Same Seller Hist'!M:M),"Não Existe")</f>
        <v>Ativo</v>
      </c>
    </row>
    <row r="189" spans="3:18" x14ac:dyDescent="0.35">
      <c r="C189" s="18">
        <v>45992</v>
      </c>
      <c r="D189" s="5" t="s">
        <v>803</v>
      </c>
      <c r="E189" s="5" t="s">
        <v>1275</v>
      </c>
      <c r="F189" s="5" t="s">
        <v>2038</v>
      </c>
      <c r="G189" s="5" t="s">
        <v>2230</v>
      </c>
      <c r="H189" s="21" t="str">
        <f t="shared" si="16"/>
        <v>k</v>
      </c>
      <c r="I189" s="22">
        <f t="shared" si="17"/>
        <v>13100</v>
      </c>
      <c r="J189" s="21" t="str">
        <f t="shared" si="18"/>
        <v>k</v>
      </c>
      <c r="K189" s="23">
        <f t="shared" si="19"/>
        <v>318200</v>
      </c>
      <c r="L189" s="21">
        <v>5.3</v>
      </c>
      <c r="M189" s="22">
        <f t="shared" si="20"/>
        <v>31</v>
      </c>
      <c r="N189" s="23">
        <f t="shared" si="21"/>
        <v>10264.516129032258</v>
      </c>
      <c r="O189" s="23">
        <f t="shared" si="22"/>
        <v>422.58064516129031</v>
      </c>
      <c r="P189" s="23">
        <f t="shared" si="23"/>
        <v>24.290076335877863</v>
      </c>
      <c r="Q189" s="21" t="str">
        <f>IF(ISNA(_xlfn.XLOOKUP(D189,'Same Seller Hist'!H:H,'Same Seller Hist'!H:H)),"Não","Sim")</f>
        <v>Sim</v>
      </c>
      <c r="R189" s="21" t="str">
        <f>_xlfn.IFNA(_xlfn.XLOOKUP(D189,'Same Seller Hist'!D:D,'Same Seller Hist'!M:M),"Não Existe")</f>
        <v>Ativo</v>
      </c>
    </row>
    <row r="190" spans="3:18" hidden="1" x14ac:dyDescent="0.35">
      <c r="C190" s="18">
        <v>45992</v>
      </c>
      <c r="D190" s="5" t="s">
        <v>1791</v>
      </c>
      <c r="E190" s="5" t="s">
        <v>933</v>
      </c>
      <c r="F190" s="5" t="s">
        <v>2039</v>
      </c>
      <c r="G190" s="5" t="s">
        <v>2231</v>
      </c>
      <c r="H190" s="21" t="str">
        <f t="shared" si="16"/>
        <v>k</v>
      </c>
      <c r="I190" s="22">
        <f t="shared" si="17"/>
        <v>13000</v>
      </c>
      <c r="J190" s="21" t="str">
        <f t="shared" si="18"/>
        <v>k</v>
      </c>
      <c r="K190" s="23">
        <f t="shared" si="19"/>
        <v>352300</v>
      </c>
      <c r="L190" s="21">
        <v>5.3</v>
      </c>
      <c r="M190" s="22">
        <f t="shared" si="20"/>
        <v>31</v>
      </c>
      <c r="N190" s="23">
        <f t="shared" si="21"/>
        <v>11364.516129032258</v>
      </c>
      <c r="O190" s="23">
        <f t="shared" si="22"/>
        <v>419.35483870967744</v>
      </c>
      <c r="P190" s="23">
        <f t="shared" si="23"/>
        <v>27.099999999999998</v>
      </c>
      <c r="Q190" s="21" t="str">
        <f>IF(ISNA(_xlfn.XLOOKUP(D190,'Same Seller Hist'!H:H,'Same Seller Hist'!H:H)),"Não","Sim")</f>
        <v>Não</v>
      </c>
      <c r="R190" s="21" t="str">
        <f>_xlfn.IFNA(_xlfn.XLOOKUP(D190,'Same Seller Hist'!D:D,'Same Seller Hist'!M:M),"Não Existe")</f>
        <v>Não Existe</v>
      </c>
    </row>
    <row r="191" spans="3:18" hidden="1" x14ac:dyDescent="0.35">
      <c r="C191" s="18">
        <v>45992</v>
      </c>
      <c r="D191" s="5" t="s">
        <v>1792</v>
      </c>
      <c r="E191" s="5" t="s">
        <v>908</v>
      </c>
      <c r="F191" s="5" t="s">
        <v>2039</v>
      </c>
      <c r="G191" s="5" t="s">
        <v>2232</v>
      </c>
      <c r="H191" s="21" t="str">
        <f t="shared" si="16"/>
        <v>k</v>
      </c>
      <c r="I191" s="22">
        <f t="shared" si="17"/>
        <v>13000</v>
      </c>
      <c r="J191" s="21" t="str">
        <f t="shared" si="18"/>
        <v>k</v>
      </c>
      <c r="K191" s="23">
        <f t="shared" si="19"/>
        <v>449300</v>
      </c>
      <c r="L191" s="21">
        <v>5.3</v>
      </c>
      <c r="M191" s="22">
        <f t="shared" si="20"/>
        <v>31</v>
      </c>
      <c r="N191" s="23">
        <f t="shared" si="21"/>
        <v>14493.548387096775</v>
      </c>
      <c r="O191" s="23">
        <f t="shared" si="22"/>
        <v>419.35483870967744</v>
      </c>
      <c r="P191" s="23">
        <f t="shared" si="23"/>
        <v>34.561538461538461</v>
      </c>
      <c r="Q191" s="21" t="str">
        <f>IF(ISNA(_xlfn.XLOOKUP(D191,'Same Seller Hist'!H:H,'Same Seller Hist'!H:H)),"Não","Sim")</f>
        <v>Não</v>
      </c>
      <c r="R191" s="21" t="str">
        <f>_xlfn.IFNA(_xlfn.XLOOKUP(D191,'Same Seller Hist'!D:D,'Same Seller Hist'!M:M),"Não Existe")</f>
        <v>Não Existe</v>
      </c>
    </row>
    <row r="192" spans="3:18" hidden="1" x14ac:dyDescent="0.35">
      <c r="C192" s="18">
        <v>45992</v>
      </c>
      <c r="D192" s="5" t="s">
        <v>1793</v>
      </c>
      <c r="E192" s="5" t="s">
        <v>926</v>
      </c>
      <c r="F192" s="5" t="s">
        <v>2040</v>
      </c>
      <c r="G192" s="5" t="s">
        <v>2233</v>
      </c>
      <c r="H192" s="21" t="str">
        <f t="shared" si="16"/>
        <v>k</v>
      </c>
      <c r="I192" s="22">
        <f t="shared" si="17"/>
        <v>12800</v>
      </c>
      <c r="J192" s="21" t="str">
        <f t="shared" si="18"/>
        <v>k</v>
      </c>
      <c r="K192" s="23">
        <f t="shared" si="19"/>
        <v>461600</v>
      </c>
      <c r="L192" s="21">
        <v>5.3</v>
      </c>
      <c r="M192" s="22">
        <f t="shared" si="20"/>
        <v>31</v>
      </c>
      <c r="N192" s="23">
        <f t="shared" si="21"/>
        <v>14890.322580645161</v>
      </c>
      <c r="O192" s="23">
        <f t="shared" si="22"/>
        <v>412.90322580645159</v>
      </c>
      <c r="P192" s="23">
        <f t="shared" si="23"/>
        <v>36.0625</v>
      </c>
      <c r="Q192" s="21" t="str">
        <f>IF(ISNA(_xlfn.XLOOKUP(D192,'Same Seller Hist'!H:H,'Same Seller Hist'!H:H)),"Não","Sim")</f>
        <v>Não</v>
      </c>
      <c r="R192" s="21" t="str">
        <f>_xlfn.IFNA(_xlfn.XLOOKUP(D192,'Same Seller Hist'!D:D,'Same Seller Hist'!M:M),"Não Existe")</f>
        <v>Não Existe</v>
      </c>
    </row>
    <row r="193" spans="3:18" hidden="1" x14ac:dyDescent="0.35">
      <c r="C193" s="18">
        <v>45992</v>
      </c>
      <c r="D193" s="5" t="s">
        <v>1794</v>
      </c>
      <c r="E193" s="5" t="s">
        <v>933</v>
      </c>
      <c r="F193" s="5" t="s">
        <v>2041</v>
      </c>
      <c r="G193" s="5" t="s">
        <v>2234</v>
      </c>
      <c r="H193" s="21" t="str">
        <f t="shared" si="16"/>
        <v>k</v>
      </c>
      <c r="I193" s="22">
        <f t="shared" si="17"/>
        <v>12700</v>
      </c>
      <c r="J193" s="21" t="str">
        <f t="shared" si="18"/>
        <v>k</v>
      </c>
      <c r="K193" s="23">
        <f t="shared" si="19"/>
        <v>597200</v>
      </c>
      <c r="L193" s="21">
        <v>5.3</v>
      </c>
      <c r="M193" s="22">
        <f t="shared" si="20"/>
        <v>31</v>
      </c>
      <c r="N193" s="23">
        <f t="shared" si="21"/>
        <v>19264.516129032258</v>
      </c>
      <c r="O193" s="23">
        <f t="shared" si="22"/>
        <v>409.67741935483872</v>
      </c>
      <c r="P193" s="23">
        <f t="shared" si="23"/>
        <v>47.023622047244089</v>
      </c>
      <c r="Q193" s="21" t="str">
        <f>IF(ISNA(_xlfn.XLOOKUP(D193,'Same Seller Hist'!H:H,'Same Seller Hist'!H:H)),"Não","Sim")</f>
        <v>Não</v>
      </c>
      <c r="R193" s="21" t="str">
        <f>_xlfn.IFNA(_xlfn.XLOOKUP(D193,'Same Seller Hist'!D:D,'Same Seller Hist'!M:M),"Não Existe")</f>
        <v>Não Existe</v>
      </c>
    </row>
    <row r="194" spans="3:18" hidden="1" x14ac:dyDescent="0.35">
      <c r="C194" s="18">
        <v>45992</v>
      </c>
      <c r="D194" s="5" t="s">
        <v>1795</v>
      </c>
      <c r="E194" s="5" t="s">
        <v>910</v>
      </c>
      <c r="F194" s="5" t="s">
        <v>2041</v>
      </c>
      <c r="G194" s="5" t="s">
        <v>2235</v>
      </c>
      <c r="H194" s="21" t="str">
        <f t="shared" si="16"/>
        <v>k</v>
      </c>
      <c r="I194" s="22">
        <f t="shared" si="17"/>
        <v>12700</v>
      </c>
      <c r="J194" s="21" t="str">
        <f t="shared" si="18"/>
        <v>k</v>
      </c>
      <c r="K194" s="23">
        <f t="shared" si="19"/>
        <v>498500</v>
      </c>
      <c r="L194" s="21">
        <v>5.3</v>
      </c>
      <c r="M194" s="22">
        <f t="shared" si="20"/>
        <v>31</v>
      </c>
      <c r="N194" s="23">
        <f t="shared" si="21"/>
        <v>16080.645161290322</v>
      </c>
      <c r="O194" s="23">
        <f t="shared" si="22"/>
        <v>409.67741935483872</v>
      </c>
      <c r="P194" s="23">
        <f t="shared" si="23"/>
        <v>39.251968503937007</v>
      </c>
      <c r="Q194" s="21" t="str">
        <f>IF(ISNA(_xlfn.XLOOKUP(D194,'Same Seller Hist'!H:H,'Same Seller Hist'!H:H)),"Não","Sim")</f>
        <v>Não</v>
      </c>
      <c r="R194" s="21" t="str">
        <f>_xlfn.IFNA(_xlfn.XLOOKUP(D194,'Same Seller Hist'!D:D,'Same Seller Hist'!M:M),"Não Existe")</f>
        <v>Não Existe</v>
      </c>
    </row>
    <row r="195" spans="3:18" hidden="1" x14ac:dyDescent="0.35">
      <c r="C195" s="18">
        <v>45992</v>
      </c>
      <c r="D195" s="5" t="s">
        <v>1796</v>
      </c>
      <c r="E195" s="5" t="s">
        <v>911</v>
      </c>
      <c r="F195" s="5" t="s">
        <v>2041</v>
      </c>
      <c r="G195" s="5" t="s">
        <v>2236</v>
      </c>
      <c r="H195" s="21" t="str">
        <f t="shared" si="16"/>
        <v>k</v>
      </c>
      <c r="I195" s="22">
        <f t="shared" si="17"/>
        <v>12700</v>
      </c>
      <c r="J195" s="21" t="str">
        <f t="shared" si="18"/>
        <v>k</v>
      </c>
      <c r="K195" s="23">
        <f t="shared" si="19"/>
        <v>447600</v>
      </c>
      <c r="L195" s="21">
        <v>5.3</v>
      </c>
      <c r="M195" s="22">
        <f t="shared" si="20"/>
        <v>31</v>
      </c>
      <c r="N195" s="23">
        <f t="shared" si="21"/>
        <v>14438.709677419354</v>
      </c>
      <c r="O195" s="23">
        <f t="shared" si="22"/>
        <v>409.67741935483872</v>
      </c>
      <c r="P195" s="23">
        <f t="shared" si="23"/>
        <v>35.244094488188971</v>
      </c>
      <c r="Q195" s="21" t="str">
        <f>IF(ISNA(_xlfn.XLOOKUP(D195,'Same Seller Hist'!H:H,'Same Seller Hist'!H:H)),"Não","Sim")</f>
        <v>Não</v>
      </c>
      <c r="R195" s="21" t="str">
        <f>_xlfn.IFNA(_xlfn.XLOOKUP(D195,'Same Seller Hist'!D:D,'Same Seller Hist'!M:M),"Não Existe")</f>
        <v>Não Existe</v>
      </c>
    </row>
    <row r="196" spans="3:18" hidden="1" x14ac:dyDescent="0.35">
      <c r="C196" s="18">
        <v>45992</v>
      </c>
      <c r="D196" s="5" t="s">
        <v>1797</v>
      </c>
      <c r="E196" s="5" t="s">
        <v>908</v>
      </c>
      <c r="F196" s="5" t="s">
        <v>2042</v>
      </c>
      <c r="G196" s="5" t="s">
        <v>2237</v>
      </c>
      <c r="H196" s="21" t="str">
        <f t="shared" si="16"/>
        <v>k</v>
      </c>
      <c r="I196" s="22">
        <f t="shared" si="17"/>
        <v>12600</v>
      </c>
      <c r="J196" s="21" t="str">
        <f t="shared" si="18"/>
        <v>k</v>
      </c>
      <c r="K196" s="23">
        <f t="shared" si="19"/>
        <v>415100</v>
      </c>
      <c r="L196" s="21">
        <v>5.3</v>
      </c>
      <c r="M196" s="22">
        <f t="shared" si="20"/>
        <v>31</v>
      </c>
      <c r="N196" s="23">
        <f t="shared" si="21"/>
        <v>13390.322580645161</v>
      </c>
      <c r="O196" s="23">
        <f t="shared" si="22"/>
        <v>406.45161290322579</v>
      </c>
      <c r="P196" s="23">
        <f t="shared" si="23"/>
        <v>32.944444444444443</v>
      </c>
      <c r="Q196" s="21" t="str">
        <f>IF(ISNA(_xlfn.XLOOKUP(D196,'Same Seller Hist'!H:H,'Same Seller Hist'!H:H)),"Não","Sim")</f>
        <v>Não</v>
      </c>
      <c r="R196" s="21" t="str">
        <f>_xlfn.IFNA(_xlfn.XLOOKUP(D196,'Same Seller Hist'!D:D,'Same Seller Hist'!M:M),"Não Existe")</f>
        <v>Não Existe</v>
      </c>
    </row>
    <row r="197" spans="3:18" x14ac:dyDescent="0.35">
      <c r="C197" s="18">
        <v>45992</v>
      </c>
      <c r="D197" s="5" t="s">
        <v>780</v>
      </c>
      <c r="E197" s="5" t="s">
        <v>911</v>
      </c>
      <c r="F197" s="5" t="s">
        <v>2043</v>
      </c>
      <c r="G197" s="5" t="s">
        <v>2210</v>
      </c>
      <c r="H197" s="21" t="str">
        <f t="shared" si="16"/>
        <v>k</v>
      </c>
      <c r="I197" s="22">
        <f t="shared" si="17"/>
        <v>12500</v>
      </c>
      <c r="J197" s="21" t="str">
        <f t="shared" si="18"/>
        <v>k</v>
      </c>
      <c r="K197" s="23">
        <f t="shared" si="19"/>
        <v>649700</v>
      </c>
      <c r="L197" s="21">
        <v>5.3</v>
      </c>
      <c r="M197" s="22">
        <f t="shared" si="20"/>
        <v>31</v>
      </c>
      <c r="N197" s="23">
        <f t="shared" si="21"/>
        <v>20958.064516129034</v>
      </c>
      <c r="O197" s="23">
        <f t="shared" si="22"/>
        <v>403.22580645161293</v>
      </c>
      <c r="P197" s="23">
        <f t="shared" si="23"/>
        <v>51.975999999999999</v>
      </c>
      <c r="Q197" s="21" t="str">
        <f>IF(ISNA(_xlfn.XLOOKUP(D197,'Same Seller Hist'!H:H,'Same Seller Hist'!H:H)),"Não","Sim")</f>
        <v>Sim</v>
      </c>
      <c r="R197" s="21" t="str">
        <f>_xlfn.IFNA(_xlfn.XLOOKUP(D197,'Same Seller Hist'!D:D,'Same Seller Hist'!M:M),"Não Existe")</f>
        <v>Ativo</v>
      </c>
    </row>
    <row r="198" spans="3:18" hidden="1" x14ac:dyDescent="0.35">
      <c r="C198" s="18">
        <v>45992</v>
      </c>
      <c r="D198" s="5" t="s">
        <v>1798</v>
      </c>
      <c r="E198" s="5" t="s">
        <v>964</v>
      </c>
      <c r="F198" s="5" t="s">
        <v>2044</v>
      </c>
      <c r="G198" s="5" t="s">
        <v>2238</v>
      </c>
      <c r="H198" s="21" t="str">
        <f t="shared" si="16"/>
        <v>k</v>
      </c>
      <c r="I198" s="22">
        <f t="shared" si="17"/>
        <v>12400</v>
      </c>
      <c r="J198" s="21" t="str">
        <f t="shared" si="18"/>
        <v>k</v>
      </c>
      <c r="K198" s="23">
        <f t="shared" si="19"/>
        <v>292400</v>
      </c>
      <c r="L198" s="21">
        <v>5.3</v>
      </c>
      <c r="M198" s="22">
        <f t="shared" si="20"/>
        <v>31</v>
      </c>
      <c r="N198" s="23">
        <f t="shared" si="21"/>
        <v>9432.2580645161288</v>
      </c>
      <c r="O198" s="23">
        <f t="shared" si="22"/>
        <v>400</v>
      </c>
      <c r="P198" s="23">
        <f t="shared" si="23"/>
        <v>23.58064516129032</v>
      </c>
      <c r="Q198" s="21" t="str">
        <f>IF(ISNA(_xlfn.XLOOKUP(D198,'Same Seller Hist'!H:H,'Same Seller Hist'!H:H)),"Não","Sim")</f>
        <v>Não</v>
      </c>
      <c r="R198" s="21" t="str">
        <f>_xlfn.IFNA(_xlfn.XLOOKUP(D198,'Same Seller Hist'!D:D,'Same Seller Hist'!M:M),"Não Existe")</f>
        <v>Não Existe</v>
      </c>
    </row>
    <row r="199" spans="3:18" x14ac:dyDescent="0.35">
      <c r="C199" s="18">
        <v>45992</v>
      </c>
      <c r="D199" s="5" t="s">
        <v>675</v>
      </c>
      <c r="E199" s="5" t="s">
        <v>926</v>
      </c>
      <c r="F199" s="5" t="s">
        <v>2044</v>
      </c>
      <c r="G199" s="5" t="s">
        <v>2239</v>
      </c>
      <c r="H199" s="21" t="str">
        <f t="shared" si="16"/>
        <v>k</v>
      </c>
      <c r="I199" s="22">
        <f t="shared" si="17"/>
        <v>12400</v>
      </c>
      <c r="J199" s="21" t="str">
        <f t="shared" si="18"/>
        <v>k</v>
      </c>
      <c r="K199" s="23">
        <f t="shared" si="19"/>
        <v>185800</v>
      </c>
      <c r="L199" s="21">
        <v>5.3</v>
      </c>
      <c r="M199" s="22">
        <f t="shared" si="20"/>
        <v>31</v>
      </c>
      <c r="N199" s="23">
        <f t="shared" si="21"/>
        <v>5993.5483870967746</v>
      </c>
      <c r="O199" s="23">
        <f t="shared" si="22"/>
        <v>400</v>
      </c>
      <c r="P199" s="23">
        <f t="shared" si="23"/>
        <v>14.983870967741936</v>
      </c>
      <c r="Q199" s="21" t="str">
        <f>IF(ISNA(_xlfn.XLOOKUP(D199,'Same Seller Hist'!H:H,'Same Seller Hist'!H:H)),"Não","Sim")</f>
        <v>Sim</v>
      </c>
      <c r="R199" s="21" t="str">
        <f>_xlfn.IFNA(_xlfn.XLOOKUP(D199,'Same Seller Hist'!D:D,'Same Seller Hist'!M:M),"Não Existe")</f>
        <v>Ativo</v>
      </c>
    </row>
    <row r="200" spans="3:18" hidden="1" x14ac:dyDescent="0.35">
      <c r="C200" s="18">
        <v>45992</v>
      </c>
      <c r="D200" s="5" t="s">
        <v>1799</v>
      </c>
      <c r="E200" s="5" t="s">
        <v>942</v>
      </c>
      <c r="F200" s="5" t="s">
        <v>2045</v>
      </c>
      <c r="G200" s="5" t="s">
        <v>2240</v>
      </c>
      <c r="H200" s="21" t="str">
        <f t="shared" si="16"/>
        <v>k</v>
      </c>
      <c r="I200" s="22">
        <f t="shared" si="17"/>
        <v>12300</v>
      </c>
      <c r="J200" s="21" t="str">
        <f t="shared" si="18"/>
        <v>k</v>
      </c>
      <c r="K200" s="23">
        <f t="shared" si="19"/>
        <v>515100</v>
      </c>
      <c r="L200" s="21">
        <v>5.3</v>
      </c>
      <c r="M200" s="22">
        <f t="shared" si="20"/>
        <v>31</v>
      </c>
      <c r="N200" s="23">
        <f t="shared" si="21"/>
        <v>16616.129032258064</v>
      </c>
      <c r="O200" s="23">
        <f t="shared" si="22"/>
        <v>396.77419354838707</v>
      </c>
      <c r="P200" s="23">
        <f t="shared" si="23"/>
        <v>41.878048780487809</v>
      </c>
      <c r="Q200" s="21" t="str">
        <f>IF(ISNA(_xlfn.XLOOKUP(D200,'Same Seller Hist'!H:H,'Same Seller Hist'!H:H)),"Não","Sim")</f>
        <v>Não</v>
      </c>
      <c r="R200" s="21" t="str">
        <f>_xlfn.IFNA(_xlfn.XLOOKUP(D200,'Same Seller Hist'!D:D,'Same Seller Hist'!M:M),"Não Existe")</f>
        <v>Não Existe</v>
      </c>
    </row>
    <row r="201" spans="3:18" hidden="1" x14ac:dyDescent="0.35">
      <c r="C201" s="18">
        <v>45992</v>
      </c>
      <c r="D201" s="5" t="s">
        <v>249</v>
      </c>
      <c r="E201" s="5" t="s">
        <v>913</v>
      </c>
      <c r="F201" s="5" t="s">
        <v>2045</v>
      </c>
      <c r="G201" s="5" t="s">
        <v>2241</v>
      </c>
      <c r="H201" s="21" t="str">
        <f t="shared" ref="H201:H264" si="24">RIGHT(F201,1)</f>
        <v>k</v>
      </c>
      <c r="I201" s="22">
        <f t="shared" ref="I201:I264" si="25">VALUE(SUBSTITUTE(_xlfn.REGEXREPLACE(F201,"[^0-9.]",""),".",",")) * IF(H201="m",1000000,IF(H201="k",1000,"Erro"))</f>
        <v>12300</v>
      </c>
      <c r="J201" s="21" t="str">
        <f t="shared" ref="J201:J264" si="26">RIGHT(G201,1)</f>
        <v>k</v>
      </c>
      <c r="K201" s="23">
        <f t="shared" ref="K201:K264" si="27">VALUE(SUBSTITUTE(_xlfn.REGEXREPLACE(G201,"[^0-9.]",""),".",",")) * IF(J201="m",1000000,IF(J201="k",1000,"Erro"))</f>
        <v>413500</v>
      </c>
      <c r="L201" s="21">
        <v>5.3</v>
      </c>
      <c r="M201" s="22">
        <f t="shared" ref="M201:M264" si="28">DAY(EOMONTH(C201,0))</f>
        <v>31</v>
      </c>
      <c r="N201" s="23">
        <f t="shared" ref="N201:N264" si="29">K201/M201</f>
        <v>13338.709677419354</v>
      </c>
      <c r="O201" s="23">
        <f t="shared" ref="O201:O264" si="30">I201/M201</f>
        <v>396.77419354838707</v>
      </c>
      <c r="P201" s="23">
        <f t="shared" ref="P201:P264" si="31">N201/O201</f>
        <v>33.617886178861788</v>
      </c>
      <c r="Q201" s="21" t="str">
        <f>IF(ISNA(_xlfn.XLOOKUP(D201,'Same Seller Hist'!H:H,'Same Seller Hist'!H:H)),"Não","Sim")</f>
        <v>Não</v>
      </c>
      <c r="R201" s="21" t="str">
        <f>_xlfn.IFNA(_xlfn.XLOOKUP(D201,'Same Seller Hist'!D:D,'Same Seller Hist'!M:M),"Não Existe")</f>
        <v>Ativo</v>
      </c>
    </row>
    <row r="202" spans="3:18" x14ac:dyDescent="0.35">
      <c r="C202" s="18">
        <v>45992</v>
      </c>
      <c r="D202" s="5" t="s">
        <v>750</v>
      </c>
      <c r="E202" s="5" t="s">
        <v>941</v>
      </c>
      <c r="F202" s="5" t="s">
        <v>2046</v>
      </c>
      <c r="G202" s="5" t="s">
        <v>2242</v>
      </c>
      <c r="H202" s="21" t="str">
        <f t="shared" si="24"/>
        <v>k</v>
      </c>
      <c r="I202" s="22">
        <f t="shared" si="25"/>
        <v>12200</v>
      </c>
      <c r="J202" s="21" t="str">
        <f t="shared" si="26"/>
        <v>k</v>
      </c>
      <c r="K202" s="23">
        <f t="shared" si="27"/>
        <v>292200</v>
      </c>
      <c r="L202" s="21">
        <v>5.3</v>
      </c>
      <c r="M202" s="22">
        <f t="shared" si="28"/>
        <v>31</v>
      </c>
      <c r="N202" s="23">
        <f t="shared" si="29"/>
        <v>9425.8064516129034</v>
      </c>
      <c r="O202" s="23">
        <f t="shared" si="30"/>
        <v>393.54838709677421</v>
      </c>
      <c r="P202" s="23">
        <f t="shared" si="31"/>
        <v>23.950819672131146</v>
      </c>
      <c r="Q202" s="21" t="str">
        <f>IF(ISNA(_xlfn.XLOOKUP(D202,'Same Seller Hist'!H:H,'Same Seller Hist'!H:H)),"Não","Sim")</f>
        <v>Sim</v>
      </c>
      <c r="R202" s="21" t="str">
        <f>_xlfn.IFNA(_xlfn.XLOOKUP(D202,'Same Seller Hist'!D:D,'Same Seller Hist'!M:M),"Não Existe")</f>
        <v>Ativo</v>
      </c>
    </row>
    <row r="203" spans="3:18" hidden="1" x14ac:dyDescent="0.35">
      <c r="C203" s="18">
        <v>45992</v>
      </c>
      <c r="D203" s="5" t="s">
        <v>193</v>
      </c>
      <c r="E203" s="5" t="s">
        <v>908</v>
      </c>
      <c r="F203" s="5" t="s">
        <v>2046</v>
      </c>
      <c r="G203" s="5" t="s">
        <v>2243</v>
      </c>
      <c r="H203" s="21" t="str">
        <f t="shared" si="24"/>
        <v>k</v>
      </c>
      <c r="I203" s="22">
        <f t="shared" si="25"/>
        <v>12200</v>
      </c>
      <c r="J203" s="21" t="str">
        <f t="shared" si="26"/>
        <v>k</v>
      </c>
      <c r="K203" s="23">
        <f t="shared" si="27"/>
        <v>989300</v>
      </c>
      <c r="L203" s="21">
        <v>5.3</v>
      </c>
      <c r="M203" s="22">
        <f t="shared" si="28"/>
        <v>31</v>
      </c>
      <c r="N203" s="23">
        <f t="shared" si="29"/>
        <v>31912.903225806451</v>
      </c>
      <c r="O203" s="23">
        <f t="shared" si="30"/>
        <v>393.54838709677421</v>
      </c>
      <c r="P203" s="23">
        <f t="shared" si="31"/>
        <v>81.090163934426229</v>
      </c>
      <c r="Q203" s="21" t="str">
        <f>IF(ISNA(_xlfn.XLOOKUP(D203,'Same Seller Hist'!H:H,'Same Seller Hist'!H:H)),"Não","Sim")</f>
        <v>Não</v>
      </c>
      <c r="R203" s="21" t="str">
        <f>_xlfn.IFNA(_xlfn.XLOOKUP(D203,'Same Seller Hist'!D:D,'Same Seller Hist'!M:M),"Não Existe")</f>
        <v>Ativo</v>
      </c>
    </row>
    <row r="204" spans="3:18" x14ac:dyDescent="0.35">
      <c r="C204" s="18">
        <v>45992</v>
      </c>
      <c r="D204" s="5" t="s">
        <v>849</v>
      </c>
      <c r="E204" s="5" t="s">
        <v>913</v>
      </c>
      <c r="F204" s="5" t="s">
        <v>2046</v>
      </c>
      <c r="G204" s="5" t="s">
        <v>2244</v>
      </c>
      <c r="H204" s="21" t="str">
        <f t="shared" si="24"/>
        <v>k</v>
      </c>
      <c r="I204" s="22">
        <f t="shared" si="25"/>
        <v>12200</v>
      </c>
      <c r="J204" s="21" t="str">
        <f t="shared" si="26"/>
        <v>k</v>
      </c>
      <c r="K204" s="23">
        <f t="shared" si="27"/>
        <v>666000</v>
      </c>
      <c r="L204" s="21">
        <v>5.3</v>
      </c>
      <c r="M204" s="22">
        <f t="shared" si="28"/>
        <v>31</v>
      </c>
      <c r="N204" s="23">
        <f t="shared" si="29"/>
        <v>21483.870967741936</v>
      </c>
      <c r="O204" s="23">
        <f t="shared" si="30"/>
        <v>393.54838709677421</v>
      </c>
      <c r="P204" s="23">
        <f t="shared" si="31"/>
        <v>54.590163934426229</v>
      </c>
      <c r="Q204" s="21" t="str">
        <f>IF(ISNA(_xlfn.XLOOKUP(D204,'Same Seller Hist'!H:H,'Same Seller Hist'!H:H)),"Não","Sim")</f>
        <v>Sim</v>
      </c>
      <c r="R204" s="21" t="str">
        <f>_xlfn.IFNA(_xlfn.XLOOKUP(D204,'Same Seller Hist'!D:D,'Same Seller Hist'!M:M),"Não Existe")</f>
        <v>Ativo</v>
      </c>
    </row>
    <row r="205" spans="3:18" x14ac:dyDescent="0.35">
      <c r="C205" s="18">
        <v>45992</v>
      </c>
      <c r="D205" s="5" t="s">
        <v>397</v>
      </c>
      <c r="E205" s="5" t="s">
        <v>916</v>
      </c>
      <c r="F205" s="5" t="s">
        <v>2047</v>
      </c>
      <c r="G205" s="5" t="s">
        <v>2245</v>
      </c>
      <c r="H205" s="21" t="str">
        <f t="shared" si="24"/>
        <v>k</v>
      </c>
      <c r="I205" s="22">
        <f t="shared" si="25"/>
        <v>12100</v>
      </c>
      <c r="J205" s="21" t="str">
        <f t="shared" si="26"/>
        <v>k</v>
      </c>
      <c r="K205" s="23">
        <f t="shared" si="27"/>
        <v>393400</v>
      </c>
      <c r="L205" s="21">
        <v>5.3</v>
      </c>
      <c r="M205" s="22">
        <f t="shared" si="28"/>
        <v>31</v>
      </c>
      <c r="N205" s="23">
        <f t="shared" si="29"/>
        <v>12690.322580645161</v>
      </c>
      <c r="O205" s="23">
        <f t="shared" si="30"/>
        <v>390.32258064516128</v>
      </c>
      <c r="P205" s="23">
        <f t="shared" si="31"/>
        <v>32.512396694214878</v>
      </c>
      <c r="Q205" s="21" t="str">
        <f>IF(ISNA(_xlfn.XLOOKUP(D205,'Same Seller Hist'!H:H,'Same Seller Hist'!H:H)),"Não","Sim")</f>
        <v>Sim</v>
      </c>
      <c r="R205" s="21" t="str">
        <f>_xlfn.IFNA(_xlfn.XLOOKUP(D205,'Same Seller Hist'!D:D,'Same Seller Hist'!M:M),"Não Existe")</f>
        <v>Ativo</v>
      </c>
    </row>
    <row r="206" spans="3:18" hidden="1" x14ac:dyDescent="0.35">
      <c r="C206" s="18">
        <v>45992</v>
      </c>
      <c r="D206" s="5" t="s">
        <v>1800</v>
      </c>
      <c r="E206" s="5" t="s">
        <v>908</v>
      </c>
      <c r="F206" s="5" t="s">
        <v>2047</v>
      </c>
      <c r="G206" s="5" t="s">
        <v>2246</v>
      </c>
      <c r="H206" s="21" t="str">
        <f t="shared" si="24"/>
        <v>k</v>
      </c>
      <c r="I206" s="22">
        <f t="shared" si="25"/>
        <v>12100</v>
      </c>
      <c r="J206" s="21" t="str">
        <f t="shared" si="26"/>
        <v>k</v>
      </c>
      <c r="K206" s="23">
        <f t="shared" si="27"/>
        <v>560900</v>
      </c>
      <c r="L206" s="21">
        <v>5.3</v>
      </c>
      <c r="M206" s="22">
        <f t="shared" si="28"/>
        <v>31</v>
      </c>
      <c r="N206" s="23">
        <f t="shared" si="29"/>
        <v>18093.548387096773</v>
      </c>
      <c r="O206" s="23">
        <f t="shared" si="30"/>
        <v>390.32258064516128</v>
      </c>
      <c r="P206" s="23">
        <f t="shared" si="31"/>
        <v>46.355371900826441</v>
      </c>
      <c r="Q206" s="21" t="str">
        <f>IF(ISNA(_xlfn.XLOOKUP(D206,'Same Seller Hist'!H:H,'Same Seller Hist'!H:H)),"Não","Sim")</f>
        <v>Não</v>
      </c>
      <c r="R206" s="21" t="str">
        <f>_xlfn.IFNA(_xlfn.XLOOKUP(D206,'Same Seller Hist'!D:D,'Same Seller Hist'!M:M),"Não Existe")</f>
        <v>Não Existe</v>
      </c>
    </row>
    <row r="207" spans="3:18" hidden="1" x14ac:dyDescent="0.35">
      <c r="C207" s="18">
        <v>45992</v>
      </c>
      <c r="D207" s="5" t="s">
        <v>188</v>
      </c>
      <c r="E207" s="5" t="s">
        <v>936</v>
      </c>
      <c r="F207" s="5" t="s">
        <v>2047</v>
      </c>
      <c r="G207" s="5" t="s">
        <v>2247</v>
      </c>
      <c r="H207" s="21" t="str">
        <f t="shared" si="24"/>
        <v>k</v>
      </c>
      <c r="I207" s="22">
        <f t="shared" si="25"/>
        <v>12100</v>
      </c>
      <c r="J207" s="21" t="str">
        <f t="shared" si="26"/>
        <v>k</v>
      </c>
      <c r="K207" s="23">
        <f t="shared" si="27"/>
        <v>403100</v>
      </c>
      <c r="L207" s="21">
        <v>5.3</v>
      </c>
      <c r="M207" s="22">
        <f t="shared" si="28"/>
        <v>31</v>
      </c>
      <c r="N207" s="23">
        <f t="shared" si="29"/>
        <v>13003.225806451614</v>
      </c>
      <c r="O207" s="23">
        <f t="shared" si="30"/>
        <v>390.32258064516128</v>
      </c>
      <c r="P207" s="23">
        <f t="shared" si="31"/>
        <v>33.314049586776861</v>
      </c>
      <c r="Q207" s="21" t="str">
        <f>IF(ISNA(_xlfn.XLOOKUP(D207,'Same Seller Hist'!H:H,'Same Seller Hist'!H:H)),"Não","Sim")</f>
        <v>Não</v>
      </c>
      <c r="R207" s="21" t="str">
        <f>_xlfn.IFNA(_xlfn.XLOOKUP(D207,'Same Seller Hist'!D:D,'Same Seller Hist'!M:M),"Não Existe")</f>
        <v>Ativo</v>
      </c>
    </row>
    <row r="208" spans="3:18" hidden="1" x14ac:dyDescent="0.35">
      <c r="C208" s="18">
        <v>45992</v>
      </c>
      <c r="D208" s="5" t="s">
        <v>1801</v>
      </c>
      <c r="E208" s="5" t="s">
        <v>910</v>
      </c>
      <c r="F208" s="5" t="s">
        <v>2048</v>
      </c>
      <c r="G208" s="5" t="s">
        <v>2248</v>
      </c>
      <c r="H208" s="21" t="str">
        <f t="shared" si="24"/>
        <v>k</v>
      </c>
      <c r="I208" s="22">
        <f t="shared" si="25"/>
        <v>12000</v>
      </c>
      <c r="J208" s="21" t="str">
        <f t="shared" si="26"/>
        <v>k</v>
      </c>
      <c r="K208" s="23">
        <f t="shared" si="27"/>
        <v>787400</v>
      </c>
      <c r="L208" s="21">
        <v>5.3</v>
      </c>
      <c r="M208" s="22">
        <f t="shared" si="28"/>
        <v>31</v>
      </c>
      <c r="N208" s="23">
        <f t="shared" si="29"/>
        <v>25400</v>
      </c>
      <c r="O208" s="23">
        <f t="shared" si="30"/>
        <v>387.09677419354841</v>
      </c>
      <c r="P208" s="23">
        <f t="shared" si="31"/>
        <v>65.61666666666666</v>
      </c>
      <c r="Q208" s="21" t="str">
        <f>IF(ISNA(_xlfn.XLOOKUP(D208,'Same Seller Hist'!H:H,'Same Seller Hist'!H:H)),"Não","Sim")</f>
        <v>Não</v>
      </c>
      <c r="R208" s="21" t="str">
        <f>_xlfn.IFNA(_xlfn.XLOOKUP(D208,'Same Seller Hist'!D:D,'Same Seller Hist'!M:M),"Não Existe")</f>
        <v>Não Existe</v>
      </c>
    </row>
    <row r="209" spans="3:18" x14ac:dyDescent="0.35">
      <c r="C209" s="18">
        <v>45992</v>
      </c>
      <c r="D209" s="5" t="s">
        <v>292</v>
      </c>
      <c r="E209" s="5" t="s">
        <v>916</v>
      </c>
      <c r="F209" s="5" t="s">
        <v>2048</v>
      </c>
      <c r="G209" s="5" t="s">
        <v>2249</v>
      </c>
      <c r="H209" s="21" t="str">
        <f t="shared" si="24"/>
        <v>k</v>
      </c>
      <c r="I209" s="22">
        <f t="shared" si="25"/>
        <v>12000</v>
      </c>
      <c r="J209" s="21" t="str">
        <f t="shared" si="26"/>
        <v>k</v>
      </c>
      <c r="K209" s="23">
        <f t="shared" si="27"/>
        <v>381800</v>
      </c>
      <c r="L209" s="21">
        <v>5.3</v>
      </c>
      <c r="M209" s="22">
        <f t="shared" si="28"/>
        <v>31</v>
      </c>
      <c r="N209" s="23">
        <f t="shared" si="29"/>
        <v>12316.129032258064</v>
      </c>
      <c r="O209" s="23">
        <f t="shared" si="30"/>
        <v>387.09677419354841</v>
      </c>
      <c r="P209" s="23">
        <f t="shared" si="31"/>
        <v>31.816666666666663</v>
      </c>
      <c r="Q209" s="21" t="str">
        <f>IF(ISNA(_xlfn.XLOOKUP(D209,'Same Seller Hist'!H:H,'Same Seller Hist'!H:H)),"Não","Sim")</f>
        <v>Sim</v>
      </c>
      <c r="R209" s="21" t="str">
        <f>_xlfn.IFNA(_xlfn.XLOOKUP(D209,'Same Seller Hist'!D:D,'Same Seller Hist'!M:M),"Não Existe")</f>
        <v>Ativo</v>
      </c>
    </row>
    <row r="210" spans="3:18" x14ac:dyDescent="0.35">
      <c r="C210" s="18">
        <v>45992</v>
      </c>
      <c r="D210" s="5" t="s">
        <v>91</v>
      </c>
      <c r="E210" s="5" t="s">
        <v>908</v>
      </c>
      <c r="F210" s="5" t="s">
        <v>2049</v>
      </c>
      <c r="G210" s="5" t="s">
        <v>2250</v>
      </c>
      <c r="H210" s="21" t="str">
        <f t="shared" si="24"/>
        <v>k</v>
      </c>
      <c r="I210" s="22">
        <f t="shared" si="25"/>
        <v>11900</v>
      </c>
      <c r="J210" s="21" t="str">
        <f t="shared" si="26"/>
        <v>k</v>
      </c>
      <c r="K210" s="23">
        <f t="shared" si="27"/>
        <v>294400</v>
      </c>
      <c r="L210" s="21">
        <v>5.3</v>
      </c>
      <c r="M210" s="22">
        <f t="shared" si="28"/>
        <v>31</v>
      </c>
      <c r="N210" s="23">
        <f t="shared" si="29"/>
        <v>9496.7741935483864</v>
      </c>
      <c r="O210" s="23">
        <f t="shared" si="30"/>
        <v>383.87096774193549</v>
      </c>
      <c r="P210" s="23">
        <f t="shared" si="31"/>
        <v>24.739495798319325</v>
      </c>
      <c r="Q210" s="21" t="str">
        <f>IF(ISNA(_xlfn.XLOOKUP(D210,'Same Seller Hist'!H:H,'Same Seller Hist'!H:H)),"Não","Sim")</f>
        <v>Sim</v>
      </c>
      <c r="R210" s="21" t="str">
        <f>_xlfn.IFNA(_xlfn.XLOOKUP(D210,'Same Seller Hist'!D:D,'Same Seller Hist'!M:M),"Não Existe")</f>
        <v>Ativo</v>
      </c>
    </row>
    <row r="211" spans="3:18" hidden="1" x14ac:dyDescent="0.35">
      <c r="C211" s="18">
        <v>45992</v>
      </c>
      <c r="D211" s="5" t="s">
        <v>1802</v>
      </c>
      <c r="E211" s="5" t="s">
        <v>941</v>
      </c>
      <c r="F211" s="5" t="s">
        <v>2049</v>
      </c>
      <c r="G211" s="5" t="s">
        <v>2251</v>
      </c>
      <c r="H211" s="21" t="str">
        <f t="shared" si="24"/>
        <v>k</v>
      </c>
      <c r="I211" s="22">
        <f t="shared" si="25"/>
        <v>11900</v>
      </c>
      <c r="J211" s="21" t="str">
        <f t="shared" si="26"/>
        <v>k</v>
      </c>
      <c r="K211" s="23">
        <f t="shared" si="27"/>
        <v>521299.99999999994</v>
      </c>
      <c r="L211" s="21">
        <v>5.3</v>
      </c>
      <c r="M211" s="22">
        <f t="shared" si="28"/>
        <v>31</v>
      </c>
      <c r="N211" s="23">
        <f t="shared" si="29"/>
        <v>16816.129032258064</v>
      </c>
      <c r="O211" s="23">
        <f t="shared" si="30"/>
        <v>383.87096774193549</v>
      </c>
      <c r="P211" s="23">
        <f t="shared" si="31"/>
        <v>43.806722689075627</v>
      </c>
      <c r="Q211" s="21" t="str">
        <f>IF(ISNA(_xlfn.XLOOKUP(D211,'Same Seller Hist'!H:H,'Same Seller Hist'!H:H)),"Não","Sim")</f>
        <v>Não</v>
      </c>
      <c r="R211" s="21" t="str">
        <f>_xlfn.IFNA(_xlfn.XLOOKUP(D211,'Same Seller Hist'!D:D,'Same Seller Hist'!M:M),"Não Existe")</f>
        <v>Não Existe</v>
      </c>
    </row>
    <row r="212" spans="3:18" x14ac:dyDescent="0.35">
      <c r="C212" s="18">
        <v>45992</v>
      </c>
      <c r="D212" s="5" t="s">
        <v>405</v>
      </c>
      <c r="E212" s="5" t="s">
        <v>928</v>
      </c>
      <c r="F212" s="5" t="s">
        <v>2049</v>
      </c>
      <c r="G212" s="5" t="s">
        <v>2252</v>
      </c>
      <c r="H212" s="21" t="str">
        <f t="shared" si="24"/>
        <v>k</v>
      </c>
      <c r="I212" s="22">
        <f t="shared" si="25"/>
        <v>11900</v>
      </c>
      <c r="J212" s="21" t="str">
        <f t="shared" si="26"/>
        <v>k</v>
      </c>
      <c r="K212" s="23">
        <f t="shared" si="27"/>
        <v>309400</v>
      </c>
      <c r="L212" s="21">
        <v>5.3</v>
      </c>
      <c r="M212" s="22">
        <f t="shared" si="28"/>
        <v>31</v>
      </c>
      <c r="N212" s="23">
        <f t="shared" si="29"/>
        <v>9980.645161290322</v>
      </c>
      <c r="O212" s="23">
        <f t="shared" si="30"/>
        <v>383.87096774193549</v>
      </c>
      <c r="P212" s="23">
        <f t="shared" si="31"/>
        <v>26</v>
      </c>
      <c r="Q212" s="21" t="str">
        <f>IF(ISNA(_xlfn.XLOOKUP(D212,'Same Seller Hist'!H:H,'Same Seller Hist'!H:H)),"Não","Sim")</f>
        <v>Sim</v>
      </c>
      <c r="R212" s="21" t="str">
        <f>_xlfn.IFNA(_xlfn.XLOOKUP(D212,'Same Seller Hist'!D:D,'Same Seller Hist'!M:M),"Não Existe")</f>
        <v>Ativo</v>
      </c>
    </row>
    <row r="213" spans="3:18" x14ac:dyDescent="0.35">
      <c r="C213" s="18">
        <v>45992</v>
      </c>
      <c r="D213" s="5" t="s">
        <v>155</v>
      </c>
      <c r="E213" s="5" t="s">
        <v>1037</v>
      </c>
      <c r="F213" s="5" t="s">
        <v>2050</v>
      </c>
      <c r="G213" s="5" t="s">
        <v>2253</v>
      </c>
      <c r="H213" s="21" t="str">
        <f t="shared" si="24"/>
        <v>k</v>
      </c>
      <c r="I213" s="22">
        <f t="shared" si="25"/>
        <v>11800</v>
      </c>
      <c r="J213" s="21" t="str">
        <f t="shared" si="26"/>
        <v>k</v>
      </c>
      <c r="K213" s="23">
        <f t="shared" si="27"/>
        <v>886200</v>
      </c>
      <c r="L213" s="21">
        <v>5.3</v>
      </c>
      <c r="M213" s="22">
        <f t="shared" si="28"/>
        <v>31</v>
      </c>
      <c r="N213" s="23">
        <f t="shared" si="29"/>
        <v>28587.096774193549</v>
      </c>
      <c r="O213" s="23">
        <f t="shared" si="30"/>
        <v>380.64516129032256</v>
      </c>
      <c r="P213" s="23">
        <f t="shared" si="31"/>
        <v>75.101694915254242</v>
      </c>
      <c r="Q213" s="21" t="str">
        <f>IF(ISNA(_xlfn.XLOOKUP(D213,'Same Seller Hist'!H:H,'Same Seller Hist'!H:H)),"Não","Sim")</f>
        <v>Sim</v>
      </c>
      <c r="R213" s="21" t="str">
        <f>_xlfn.IFNA(_xlfn.XLOOKUP(D213,'Same Seller Hist'!D:D,'Same Seller Hist'!M:M),"Não Existe")</f>
        <v>Ativo</v>
      </c>
    </row>
    <row r="214" spans="3:18" hidden="1" x14ac:dyDescent="0.35">
      <c r="C214" s="18">
        <v>45992</v>
      </c>
      <c r="D214" s="5" t="s">
        <v>1803</v>
      </c>
      <c r="E214" s="5" t="s">
        <v>908</v>
      </c>
      <c r="F214" s="5" t="s">
        <v>2050</v>
      </c>
      <c r="G214" s="5" t="s">
        <v>2127</v>
      </c>
      <c r="H214" s="21" t="str">
        <f t="shared" si="24"/>
        <v>k</v>
      </c>
      <c r="I214" s="22">
        <f t="shared" si="25"/>
        <v>11800</v>
      </c>
      <c r="J214" s="21" t="str">
        <f t="shared" si="26"/>
        <v>m</v>
      </c>
      <c r="K214" s="23">
        <f t="shared" si="27"/>
        <v>2600000</v>
      </c>
      <c r="L214" s="21">
        <v>5.3</v>
      </c>
      <c r="M214" s="22">
        <f t="shared" si="28"/>
        <v>31</v>
      </c>
      <c r="N214" s="23">
        <f t="shared" si="29"/>
        <v>83870.967741935485</v>
      </c>
      <c r="O214" s="23">
        <f t="shared" si="30"/>
        <v>380.64516129032256</v>
      </c>
      <c r="P214" s="23">
        <f t="shared" si="31"/>
        <v>220.33898305084747</v>
      </c>
      <c r="Q214" s="21" t="str">
        <f>IF(ISNA(_xlfn.XLOOKUP(D214,'Same Seller Hist'!H:H,'Same Seller Hist'!H:H)),"Não","Sim")</f>
        <v>Não</v>
      </c>
      <c r="R214" s="21" t="str">
        <f>_xlfn.IFNA(_xlfn.XLOOKUP(D214,'Same Seller Hist'!D:D,'Same Seller Hist'!M:M),"Não Existe")</f>
        <v>Não Existe</v>
      </c>
    </row>
    <row r="215" spans="3:18" hidden="1" x14ac:dyDescent="0.35">
      <c r="C215" s="18">
        <v>45992</v>
      </c>
      <c r="D215" s="5" t="s">
        <v>1804</v>
      </c>
      <c r="E215" s="5" t="s">
        <v>942</v>
      </c>
      <c r="F215" s="5" t="s">
        <v>2051</v>
      </c>
      <c r="G215" s="5" t="s">
        <v>2254</v>
      </c>
      <c r="H215" s="21" t="str">
        <f t="shared" si="24"/>
        <v>k</v>
      </c>
      <c r="I215" s="22">
        <f t="shared" si="25"/>
        <v>11700</v>
      </c>
      <c r="J215" s="21" t="str">
        <f t="shared" si="26"/>
        <v>k</v>
      </c>
      <c r="K215" s="23">
        <f t="shared" si="27"/>
        <v>487600</v>
      </c>
      <c r="L215" s="21">
        <v>5.3</v>
      </c>
      <c r="M215" s="22">
        <f t="shared" si="28"/>
        <v>31</v>
      </c>
      <c r="N215" s="23">
        <f t="shared" si="29"/>
        <v>15729.032258064517</v>
      </c>
      <c r="O215" s="23">
        <f t="shared" si="30"/>
        <v>377.41935483870969</v>
      </c>
      <c r="P215" s="23">
        <f t="shared" si="31"/>
        <v>41.675213675213676</v>
      </c>
      <c r="Q215" s="21" t="str">
        <f>IF(ISNA(_xlfn.XLOOKUP(D215,'Same Seller Hist'!H:H,'Same Seller Hist'!H:H)),"Não","Sim")</f>
        <v>Não</v>
      </c>
      <c r="R215" s="21" t="str">
        <f>_xlfn.IFNA(_xlfn.XLOOKUP(D215,'Same Seller Hist'!D:D,'Same Seller Hist'!M:M),"Não Existe")</f>
        <v>Não Existe</v>
      </c>
    </row>
    <row r="216" spans="3:18" x14ac:dyDescent="0.35">
      <c r="C216" s="18">
        <v>45992</v>
      </c>
      <c r="D216" s="5" t="s">
        <v>860</v>
      </c>
      <c r="E216" s="5" t="s">
        <v>908</v>
      </c>
      <c r="F216" s="5" t="s">
        <v>2051</v>
      </c>
      <c r="G216" s="5" t="s">
        <v>2255</v>
      </c>
      <c r="H216" s="21" t="str">
        <f t="shared" si="24"/>
        <v>k</v>
      </c>
      <c r="I216" s="22">
        <f t="shared" si="25"/>
        <v>11700</v>
      </c>
      <c r="J216" s="21" t="str">
        <f t="shared" si="26"/>
        <v>k</v>
      </c>
      <c r="K216" s="23">
        <f t="shared" si="27"/>
        <v>516299.99999999994</v>
      </c>
      <c r="L216" s="21">
        <v>5.3</v>
      </c>
      <c r="M216" s="22">
        <f t="shared" si="28"/>
        <v>31</v>
      </c>
      <c r="N216" s="23">
        <f t="shared" si="29"/>
        <v>16654.838709677417</v>
      </c>
      <c r="O216" s="23">
        <f t="shared" si="30"/>
        <v>377.41935483870969</v>
      </c>
      <c r="P216" s="23">
        <f t="shared" si="31"/>
        <v>44.128205128205117</v>
      </c>
      <c r="Q216" s="21" t="str">
        <f>IF(ISNA(_xlfn.XLOOKUP(D216,'Same Seller Hist'!H:H,'Same Seller Hist'!H:H)),"Não","Sim")</f>
        <v>Sim</v>
      </c>
      <c r="R216" s="21" t="str">
        <f>_xlfn.IFNA(_xlfn.XLOOKUP(D216,'Same Seller Hist'!D:D,'Same Seller Hist'!M:M),"Não Existe")</f>
        <v>Ativo</v>
      </c>
    </row>
    <row r="217" spans="3:18" x14ac:dyDescent="0.35">
      <c r="C217" s="18">
        <v>45992</v>
      </c>
      <c r="D217" s="5" t="s">
        <v>660</v>
      </c>
      <c r="E217" s="5" t="s">
        <v>908</v>
      </c>
      <c r="F217" s="5" t="s">
        <v>2051</v>
      </c>
      <c r="G217" s="5" t="s">
        <v>2256</v>
      </c>
      <c r="H217" s="21" t="str">
        <f t="shared" si="24"/>
        <v>k</v>
      </c>
      <c r="I217" s="22">
        <f t="shared" si="25"/>
        <v>11700</v>
      </c>
      <c r="J217" s="21" t="str">
        <f t="shared" si="26"/>
        <v>k</v>
      </c>
      <c r="K217" s="23">
        <f t="shared" si="27"/>
        <v>551200</v>
      </c>
      <c r="L217" s="21">
        <v>5.3</v>
      </c>
      <c r="M217" s="22">
        <f t="shared" si="28"/>
        <v>31</v>
      </c>
      <c r="N217" s="23">
        <f t="shared" si="29"/>
        <v>17780.645161290322</v>
      </c>
      <c r="O217" s="23">
        <f t="shared" si="30"/>
        <v>377.41935483870969</v>
      </c>
      <c r="P217" s="23">
        <f t="shared" si="31"/>
        <v>47.111111111111107</v>
      </c>
      <c r="Q217" s="21" t="str">
        <f>IF(ISNA(_xlfn.XLOOKUP(D217,'Same Seller Hist'!H:H,'Same Seller Hist'!H:H)),"Não","Sim")</f>
        <v>Sim</v>
      </c>
      <c r="R217" s="21" t="str">
        <f>_xlfn.IFNA(_xlfn.XLOOKUP(D217,'Same Seller Hist'!D:D,'Same Seller Hist'!M:M),"Não Existe")</f>
        <v>Ativo</v>
      </c>
    </row>
    <row r="218" spans="3:18" x14ac:dyDescent="0.35">
      <c r="C218" s="18">
        <v>45992</v>
      </c>
      <c r="D218" s="5" t="s">
        <v>865</v>
      </c>
      <c r="E218" s="5" t="s">
        <v>926</v>
      </c>
      <c r="F218" s="5" t="s">
        <v>2051</v>
      </c>
      <c r="G218" s="5" t="s">
        <v>2118</v>
      </c>
      <c r="H218" s="21" t="str">
        <f t="shared" si="24"/>
        <v>k</v>
      </c>
      <c r="I218" s="22">
        <f t="shared" si="25"/>
        <v>11700</v>
      </c>
      <c r="J218" s="21" t="str">
        <f t="shared" si="26"/>
        <v>m</v>
      </c>
      <c r="K218" s="23">
        <f t="shared" si="27"/>
        <v>1100000</v>
      </c>
      <c r="L218" s="21">
        <v>5.3</v>
      </c>
      <c r="M218" s="22">
        <f t="shared" si="28"/>
        <v>31</v>
      </c>
      <c r="N218" s="23">
        <f t="shared" si="29"/>
        <v>35483.870967741932</v>
      </c>
      <c r="O218" s="23">
        <f t="shared" si="30"/>
        <v>377.41935483870969</v>
      </c>
      <c r="P218" s="23">
        <f t="shared" si="31"/>
        <v>94.01709401709401</v>
      </c>
      <c r="Q218" s="21" t="str">
        <f>IF(ISNA(_xlfn.XLOOKUP(D218,'Same Seller Hist'!H:H,'Same Seller Hist'!H:H)),"Não","Sim")</f>
        <v>Sim</v>
      </c>
      <c r="R218" s="21" t="str">
        <f>_xlfn.IFNA(_xlfn.XLOOKUP(D218,'Same Seller Hist'!D:D,'Same Seller Hist'!M:M),"Não Existe")</f>
        <v>Ativo</v>
      </c>
    </row>
    <row r="219" spans="3:18" x14ac:dyDescent="0.35">
      <c r="C219" s="18">
        <v>45992</v>
      </c>
      <c r="D219" s="5" t="s">
        <v>667</v>
      </c>
      <c r="E219" s="5" t="s">
        <v>939</v>
      </c>
      <c r="F219" s="5" t="s">
        <v>2052</v>
      </c>
      <c r="G219" s="5" t="s">
        <v>2257</v>
      </c>
      <c r="H219" s="21" t="str">
        <f t="shared" si="24"/>
        <v>k</v>
      </c>
      <c r="I219" s="22">
        <f t="shared" si="25"/>
        <v>11600</v>
      </c>
      <c r="J219" s="21" t="str">
        <f t="shared" si="26"/>
        <v>k</v>
      </c>
      <c r="K219" s="23">
        <f t="shared" si="27"/>
        <v>784500</v>
      </c>
      <c r="L219" s="21">
        <v>5.3</v>
      </c>
      <c r="M219" s="22">
        <f t="shared" si="28"/>
        <v>31</v>
      </c>
      <c r="N219" s="23">
        <f t="shared" si="29"/>
        <v>25306.451612903227</v>
      </c>
      <c r="O219" s="23">
        <f t="shared" si="30"/>
        <v>374.19354838709677</v>
      </c>
      <c r="P219" s="23">
        <f t="shared" si="31"/>
        <v>67.629310344827587</v>
      </c>
      <c r="Q219" s="21" t="str">
        <f>IF(ISNA(_xlfn.XLOOKUP(D219,'Same Seller Hist'!H:H,'Same Seller Hist'!H:H)),"Não","Sim")</f>
        <v>Sim</v>
      </c>
      <c r="R219" s="21" t="str">
        <f>_xlfn.IFNA(_xlfn.XLOOKUP(D219,'Same Seller Hist'!D:D,'Same Seller Hist'!M:M),"Não Existe")</f>
        <v>Ativo</v>
      </c>
    </row>
    <row r="220" spans="3:18" x14ac:dyDescent="0.35">
      <c r="C220" s="18">
        <v>45992</v>
      </c>
      <c r="D220" s="5" t="s">
        <v>727</v>
      </c>
      <c r="E220" s="5" t="s">
        <v>913</v>
      </c>
      <c r="F220" s="5" t="s">
        <v>2052</v>
      </c>
      <c r="G220" s="5" t="s">
        <v>2258</v>
      </c>
      <c r="H220" s="21" t="str">
        <f t="shared" si="24"/>
        <v>k</v>
      </c>
      <c r="I220" s="22">
        <f t="shared" si="25"/>
        <v>11600</v>
      </c>
      <c r="J220" s="21" t="str">
        <f t="shared" si="26"/>
        <v>k</v>
      </c>
      <c r="K220" s="23">
        <f t="shared" si="27"/>
        <v>458200</v>
      </c>
      <c r="L220" s="21">
        <v>5.3</v>
      </c>
      <c r="M220" s="22">
        <f t="shared" si="28"/>
        <v>31</v>
      </c>
      <c r="N220" s="23">
        <f t="shared" si="29"/>
        <v>14780.645161290322</v>
      </c>
      <c r="O220" s="23">
        <f t="shared" si="30"/>
        <v>374.19354838709677</v>
      </c>
      <c r="P220" s="23">
        <f t="shared" si="31"/>
        <v>39.5</v>
      </c>
      <c r="Q220" s="21" t="str">
        <f>IF(ISNA(_xlfn.XLOOKUP(D220,'Same Seller Hist'!H:H,'Same Seller Hist'!H:H)),"Não","Sim")</f>
        <v>Sim</v>
      </c>
      <c r="R220" s="21" t="str">
        <f>_xlfn.IFNA(_xlfn.XLOOKUP(D220,'Same Seller Hist'!D:D,'Same Seller Hist'!M:M),"Não Existe")</f>
        <v>Ativo</v>
      </c>
    </row>
    <row r="221" spans="3:18" hidden="1" x14ac:dyDescent="0.35">
      <c r="C221" s="18">
        <v>45992</v>
      </c>
      <c r="D221" s="5" t="s">
        <v>580</v>
      </c>
      <c r="E221" s="5" t="s">
        <v>924</v>
      </c>
      <c r="F221" s="5" t="s">
        <v>2052</v>
      </c>
      <c r="G221" s="5" t="s">
        <v>2259</v>
      </c>
      <c r="H221" s="21" t="str">
        <f t="shared" si="24"/>
        <v>k</v>
      </c>
      <c r="I221" s="22">
        <f t="shared" si="25"/>
        <v>11600</v>
      </c>
      <c r="J221" s="21" t="str">
        <f t="shared" si="26"/>
        <v>k</v>
      </c>
      <c r="K221" s="23">
        <f t="shared" si="27"/>
        <v>253500</v>
      </c>
      <c r="L221" s="21">
        <v>5.3</v>
      </c>
      <c r="M221" s="22">
        <f t="shared" si="28"/>
        <v>31</v>
      </c>
      <c r="N221" s="23">
        <f t="shared" si="29"/>
        <v>8177.4193548387093</v>
      </c>
      <c r="O221" s="23">
        <f t="shared" si="30"/>
        <v>374.19354838709677</v>
      </c>
      <c r="P221" s="23">
        <f t="shared" si="31"/>
        <v>21.853448275862068</v>
      </c>
      <c r="Q221" s="21" t="str">
        <f>IF(ISNA(_xlfn.XLOOKUP(D221,'Same Seller Hist'!H:H,'Same Seller Hist'!H:H)),"Não","Sim")</f>
        <v>Não</v>
      </c>
      <c r="R221" s="21" t="str">
        <f>_xlfn.IFNA(_xlfn.XLOOKUP(D221,'Same Seller Hist'!D:D,'Same Seller Hist'!M:M),"Não Existe")</f>
        <v>Ativo</v>
      </c>
    </row>
    <row r="222" spans="3:18" x14ac:dyDescent="0.35">
      <c r="C222" s="18">
        <v>45992</v>
      </c>
      <c r="D222" s="5" t="s">
        <v>847</v>
      </c>
      <c r="E222" s="5" t="s">
        <v>908</v>
      </c>
      <c r="F222" s="5" t="s">
        <v>2052</v>
      </c>
      <c r="G222" s="5" t="s">
        <v>2260</v>
      </c>
      <c r="H222" s="21" t="str">
        <f t="shared" si="24"/>
        <v>k</v>
      </c>
      <c r="I222" s="22">
        <f t="shared" si="25"/>
        <v>11600</v>
      </c>
      <c r="J222" s="21" t="str">
        <f t="shared" si="26"/>
        <v>k</v>
      </c>
      <c r="K222" s="23">
        <f t="shared" si="27"/>
        <v>172300</v>
      </c>
      <c r="L222" s="21">
        <v>5.3</v>
      </c>
      <c r="M222" s="22">
        <f t="shared" si="28"/>
        <v>31</v>
      </c>
      <c r="N222" s="23">
        <f t="shared" si="29"/>
        <v>5558.0645161290322</v>
      </c>
      <c r="O222" s="23">
        <f t="shared" si="30"/>
        <v>374.19354838709677</v>
      </c>
      <c r="P222" s="23">
        <f t="shared" si="31"/>
        <v>14.853448275862069</v>
      </c>
      <c r="Q222" s="21" t="str">
        <f>IF(ISNA(_xlfn.XLOOKUP(D222,'Same Seller Hist'!H:H,'Same Seller Hist'!H:H)),"Não","Sim")</f>
        <v>Sim</v>
      </c>
      <c r="R222" s="21" t="str">
        <f>_xlfn.IFNA(_xlfn.XLOOKUP(D222,'Same Seller Hist'!D:D,'Same Seller Hist'!M:M),"Não Existe")</f>
        <v>Ativo</v>
      </c>
    </row>
    <row r="223" spans="3:18" hidden="1" x14ac:dyDescent="0.35">
      <c r="C223" s="18">
        <v>45992</v>
      </c>
      <c r="D223" s="5" t="s">
        <v>1805</v>
      </c>
      <c r="E223" s="5" t="s">
        <v>975</v>
      </c>
      <c r="F223" s="5" t="s">
        <v>2052</v>
      </c>
      <c r="G223" s="5" t="s">
        <v>2132</v>
      </c>
      <c r="H223" s="21" t="str">
        <f t="shared" si="24"/>
        <v>k</v>
      </c>
      <c r="I223" s="22">
        <f t="shared" si="25"/>
        <v>11600</v>
      </c>
      <c r="J223" s="21" t="str">
        <f t="shared" si="26"/>
        <v>m</v>
      </c>
      <c r="K223" s="23">
        <f t="shared" si="27"/>
        <v>1200000</v>
      </c>
      <c r="L223" s="21">
        <v>5.3</v>
      </c>
      <c r="M223" s="22">
        <f t="shared" si="28"/>
        <v>31</v>
      </c>
      <c r="N223" s="23">
        <f t="shared" si="29"/>
        <v>38709.677419354841</v>
      </c>
      <c r="O223" s="23">
        <f t="shared" si="30"/>
        <v>374.19354838709677</v>
      </c>
      <c r="P223" s="23">
        <f t="shared" si="31"/>
        <v>103.44827586206897</v>
      </c>
      <c r="Q223" s="21" t="str">
        <f>IF(ISNA(_xlfn.XLOOKUP(D223,'Same Seller Hist'!H:H,'Same Seller Hist'!H:H)),"Não","Sim")</f>
        <v>Não</v>
      </c>
      <c r="R223" s="21" t="str">
        <f>_xlfn.IFNA(_xlfn.XLOOKUP(D223,'Same Seller Hist'!D:D,'Same Seller Hist'!M:M),"Não Existe")</f>
        <v>Não Existe</v>
      </c>
    </row>
    <row r="224" spans="3:18" hidden="1" x14ac:dyDescent="0.35">
      <c r="C224" s="18">
        <v>45992</v>
      </c>
      <c r="D224" s="5" t="s">
        <v>327</v>
      </c>
      <c r="E224" s="5" t="s">
        <v>942</v>
      </c>
      <c r="F224" s="5" t="s">
        <v>2052</v>
      </c>
      <c r="G224" s="5" t="s">
        <v>2261</v>
      </c>
      <c r="H224" s="21" t="str">
        <f t="shared" si="24"/>
        <v>k</v>
      </c>
      <c r="I224" s="22">
        <f t="shared" si="25"/>
        <v>11600</v>
      </c>
      <c r="J224" s="21" t="str">
        <f t="shared" si="26"/>
        <v>k</v>
      </c>
      <c r="K224" s="23">
        <f t="shared" si="27"/>
        <v>980700</v>
      </c>
      <c r="L224" s="21">
        <v>5.3</v>
      </c>
      <c r="M224" s="22">
        <f t="shared" si="28"/>
        <v>31</v>
      </c>
      <c r="N224" s="23">
        <f t="shared" si="29"/>
        <v>31635.483870967742</v>
      </c>
      <c r="O224" s="23">
        <f t="shared" si="30"/>
        <v>374.19354838709677</v>
      </c>
      <c r="P224" s="23">
        <f t="shared" si="31"/>
        <v>84.543103448275858</v>
      </c>
      <c r="Q224" s="21" t="str">
        <f>IF(ISNA(_xlfn.XLOOKUP(D224,'Same Seller Hist'!H:H,'Same Seller Hist'!H:H)),"Não","Sim")</f>
        <v>Não</v>
      </c>
      <c r="R224" s="21" t="str">
        <f>_xlfn.IFNA(_xlfn.XLOOKUP(D224,'Same Seller Hist'!D:D,'Same Seller Hist'!M:M),"Não Existe")</f>
        <v>Ativo</v>
      </c>
    </row>
    <row r="225" spans="3:18" hidden="1" x14ac:dyDescent="0.35">
      <c r="C225" s="18">
        <v>45992</v>
      </c>
      <c r="D225" s="5" t="s">
        <v>1806</v>
      </c>
      <c r="E225" s="5" t="s">
        <v>908</v>
      </c>
      <c r="F225" s="5" t="s">
        <v>2053</v>
      </c>
      <c r="G225" s="5" t="s">
        <v>2262</v>
      </c>
      <c r="H225" s="21" t="str">
        <f t="shared" si="24"/>
        <v>k</v>
      </c>
      <c r="I225" s="22">
        <f t="shared" si="25"/>
        <v>11500</v>
      </c>
      <c r="J225" s="21" t="str">
        <f t="shared" si="26"/>
        <v>k</v>
      </c>
      <c r="K225" s="23">
        <f t="shared" si="27"/>
        <v>229500</v>
      </c>
      <c r="L225" s="21">
        <v>5.3</v>
      </c>
      <c r="M225" s="22">
        <f t="shared" si="28"/>
        <v>31</v>
      </c>
      <c r="N225" s="23">
        <f t="shared" si="29"/>
        <v>7403.2258064516127</v>
      </c>
      <c r="O225" s="23">
        <f t="shared" si="30"/>
        <v>370.96774193548384</v>
      </c>
      <c r="P225" s="23">
        <f t="shared" si="31"/>
        <v>19.956521739130437</v>
      </c>
      <c r="Q225" s="21" t="str">
        <f>IF(ISNA(_xlfn.XLOOKUP(D225,'Same Seller Hist'!H:H,'Same Seller Hist'!H:H)),"Não","Sim")</f>
        <v>Não</v>
      </c>
      <c r="R225" s="21" t="str">
        <f>_xlfn.IFNA(_xlfn.XLOOKUP(D225,'Same Seller Hist'!D:D,'Same Seller Hist'!M:M),"Não Existe")</f>
        <v>Não Existe</v>
      </c>
    </row>
    <row r="226" spans="3:18" hidden="1" x14ac:dyDescent="0.35">
      <c r="C226" s="18">
        <v>45992</v>
      </c>
      <c r="D226" s="5" t="s">
        <v>1807</v>
      </c>
      <c r="E226" s="5" t="s">
        <v>969</v>
      </c>
      <c r="F226" s="5" t="s">
        <v>2053</v>
      </c>
      <c r="G226" s="5" t="s">
        <v>2263</v>
      </c>
      <c r="H226" s="21" t="str">
        <f t="shared" si="24"/>
        <v>k</v>
      </c>
      <c r="I226" s="22">
        <f t="shared" si="25"/>
        <v>11500</v>
      </c>
      <c r="J226" s="21" t="str">
        <f t="shared" si="26"/>
        <v>k</v>
      </c>
      <c r="K226" s="23">
        <f t="shared" si="27"/>
        <v>504300</v>
      </c>
      <c r="L226" s="21">
        <v>5.3</v>
      </c>
      <c r="M226" s="22">
        <f t="shared" si="28"/>
        <v>31</v>
      </c>
      <c r="N226" s="23">
        <f t="shared" si="29"/>
        <v>16267.741935483871</v>
      </c>
      <c r="O226" s="23">
        <f t="shared" si="30"/>
        <v>370.96774193548384</v>
      </c>
      <c r="P226" s="23">
        <f t="shared" si="31"/>
        <v>43.85217391304348</v>
      </c>
      <c r="Q226" s="21" t="str">
        <f>IF(ISNA(_xlfn.XLOOKUP(D226,'Same Seller Hist'!H:H,'Same Seller Hist'!H:H)),"Não","Sim")</f>
        <v>Não</v>
      </c>
      <c r="R226" s="21" t="str">
        <f>_xlfn.IFNA(_xlfn.XLOOKUP(D226,'Same Seller Hist'!D:D,'Same Seller Hist'!M:M),"Não Existe")</f>
        <v>Não Existe</v>
      </c>
    </row>
    <row r="227" spans="3:18" hidden="1" x14ac:dyDescent="0.35">
      <c r="C227" s="18">
        <v>45992</v>
      </c>
      <c r="D227" s="5" t="s">
        <v>1808</v>
      </c>
      <c r="E227" s="5" t="s">
        <v>926</v>
      </c>
      <c r="F227" s="5" t="s">
        <v>2053</v>
      </c>
      <c r="G227" s="5" t="s">
        <v>2264</v>
      </c>
      <c r="H227" s="21" t="str">
        <f t="shared" si="24"/>
        <v>k</v>
      </c>
      <c r="I227" s="22">
        <f t="shared" si="25"/>
        <v>11500</v>
      </c>
      <c r="J227" s="21" t="str">
        <f t="shared" si="26"/>
        <v>k</v>
      </c>
      <c r="K227" s="23">
        <f t="shared" si="27"/>
        <v>563600</v>
      </c>
      <c r="L227" s="21">
        <v>5.3</v>
      </c>
      <c r="M227" s="22">
        <f t="shared" si="28"/>
        <v>31</v>
      </c>
      <c r="N227" s="23">
        <f t="shared" si="29"/>
        <v>18180.645161290322</v>
      </c>
      <c r="O227" s="23">
        <f t="shared" si="30"/>
        <v>370.96774193548384</v>
      </c>
      <c r="P227" s="23">
        <f t="shared" si="31"/>
        <v>49.008695652173913</v>
      </c>
      <c r="Q227" s="21" t="str">
        <f>IF(ISNA(_xlfn.XLOOKUP(D227,'Same Seller Hist'!H:H,'Same Seller Hist'!H:H)),"Não","Sim")</f>
        <v>Não</v>
      </c>
      <c r="R227" s="21" t="str">
        <f>_xlfn.IFNA(_xlfn.XLOOKUP(D227,'Same Seller Hist'!D:D,'Same Seller Hist'!M:M),"Não Existe")</f>
        <v>Não Existe</v>
      </c>
    </row>
    <row r="228" spans="3:18" x14ac:dyDescent="0.35">
      <c r="C228" s="18">
        <v>45992</v>
      </c>
      <c r="D228" s="5" t="s">
        <v>297</v>
      </c>
      <c r="E228" s="5" t="s">
        <v>908</v>
      </c>
      <c r="F228" s="5" t="s">
        <v>2054</v>
      </c>
      <c r="G228" s="5" t="s">
        <v>2119</v>
      </c>
      <c r="H228" s="21" t="str">
        <f t="shared" si="24"/>
        <v>k</v>
      </c>
      <c r="I228" s="22">
        <f t="shared" si="25"/>
        <v>11400</v>
      </c>
      <c r="J228" s="21" t="str">
        <f t="shared" si="26"/>
        <v>m</v>
      </c>
      <c r="K228" s="23">
        <f t="shared" si="27"/>
        <v>1500000</v>
      </c>
      <c r="L228" s="21">
        <v>5.3</v>
      </c>
      <c r="M228" s="22">
        <f t="shared" si="28"/>
        <v>31</v>
      </c>
      <c r="N228" s="23">
        <f t="shared" si="29"/>
        <v>48387.096774193546</v>
      </c>
      <c r="O228" s="23">
        <f t="shared" si="30"/>
        <v>367.74193548387098</v>
      </c>
      <c r="P228" s="23">
        <f t="shared" si="31"/>
        <v>131.57894736842104</v>
      </c>
      <c r="Q228" s="21" t="str">
        <f>IF(ISNA(_xlfn.XLOOKUP(D228,'Same Seller Hist'!H:H,'Same Seller Hist'!H:H)),"Não","Sim")</f>
        <v>Sim</v>
      </c>
      <c r="R228" s="21" t="str">
        <f>_xlfn.IFNA(_xlfn.XLOOKUP(D228,'Same Seller Hist'!D:D,'Same Seller Hist'!M:M),"Não Existe")</f>
        <v>Ativo</v>
      </c>
    </row>
    <row r="229" spans="3:18" x14ac:dyDescent="0.35">
      <c r="C229" s="18">
        <v>45992</v>
      </c>
      <c r="D229" s="5" t="s">
        <v>377</v>
      </c>
      <c r="E229" s="5" t="s">
        <v>913</v>
      </c>
      <c r="F229" s="5" t="s">
        <v>2055</v>
      </c>
      <c r="G229" s="5" t="s">
        <v>2265</v>
      </c>
      <c r="H229" s="21" t="str">
        <f t="shared" si="24"/>
        <v>k</v>
      </c>
      <c r="I229" s="22">
        <f t="shared" si="25"/>
        <v>11300</v>
      </c>
      <c r="J229" s="21" t="str">
        <f t="shared" si="26"/>
        <v>k</v>
      </c>
      <c r="K229" s="23">
        <f t="shared" si="27"/>
        <v>429100</v>
      </c>
      <c r="L229" s="21">
        <v>5.3</v>
      </c>
      <c r="M229" s="22">
        <f t="shared" si="28"/>
        <v>31</v>
      </c>
      <c r="N229" s="23">
        <f t="shared" si="29"/>
        <v>13841.935483870968</v>
      </c>
      <c r="O229" s="23">
        <f t="shared" si="30"/>
        <v>364.51612903225805</v>
      </c>
      <c r="P229" s="23">
        <f t="shared" si="31"/>
        <v>37.973451327433629</v>
      </c>
      <c r="Q229" s="21" t="str">
        <f>IF(ISNA(_xlfn.XLOOKUP(D229,'Same Seller Hist'!H:H,'Same Seller Hist'!H:H)),"Não","Sim")</f>
        <v>Sim</v>
      </c>
      <c r="R229" s="21" t="str">
        <f>_xlfn.IFNA(_xlfn.XLOOKUP(D229,'Same Seller Hist'!D:D,'Same Seller Hist'!M:M),"Não Existe")</f>
        <v>Ativo</v>
      </c>
    </row>
    <row r="230" spans="3:18" hidden="1" x14ac:dyDescent="0.35">
      <c r="C230" s="18">
        <v>45992</v>
      </c>
      <c r="D230" s="5" t="s">
        <v>1809</v>
      </c>
      <c r="E230" s="5" t="s">
        <v>913</v>
      </c>
      <c r="F230" s="5" t="s">
        <v>2055</v>
      </c>
      <c r="G230" s="5" t="s">
        <v>2266</v>
      </c>
      <c r="H230" s="21" t="str">
        <f t="shared" si="24"/>
        <v>k</v>
      </c>
      <c r="I230" s="22">
        <f t="shared" si="25"/>
        <v>11300</v>
      </c>
      <c r="J230" s="21" t="str">
        <f t="shared" si="26"/>
        <v>k</v>
      </c>
      <c r="K230" s="23">
        <f t="shared" si="27"/>
        <v>493100</v>
      </c>
      <c r="L230" s="21">
        <v>5.3</v>
      </c>
      <c r="M230" s="22">
        <f t="shared" si="28"/>
        <v>31</v>
      </c>
      <c r="N230" s="23">
        <f t="shared" si="29"/>
        <v>15906.451612903225</v>
      </c>
      <c r="O230" s="23">
        <f t="shared" si="30"/>
        <v>364.51612903225805</v>
      </c>
      <c r="P230" s="23">
        <f t="shared" si="31"/>
        <v>43.637168141592923</v>
      </c>
      <c r="Q230" s="21" t="str">
        <f>IF(ISNA(_xlfn.XLOOKUP(D230,'Same Seller Hist'!H:H,'Same Seller Hist'!H:H)),"Não","Sim")</f>
        <v>Não</v>
      </c>
      <c r="R230" s="21" t="str">
        <f>_xlfn.IFNA(_xlfn.XLOOKUP(D230,'Same Seller Hist'!D:D,'Same Seller Hist'!M:M),"Não Existe")</f>
        <v>Não Existe</v>
      </c>
    </row>
    <row r="231" spans="3:18" hidden="1" x14ac:dyDescent="0.35">
      <c r="C231" s="18">
        <v>45992</v>
      </c>
      <c r="D231" s="5" t="s">
        <v>217</v>
      </c>
      <c r="E231" s="5" t="s">
        <v>913</v>
      </c>
      <c r="F231" s="5" t="s">
        <v>2055</v>
      </c>
      <c r="G231" s="5" t="s">
        <v>2267</v>
      </c>
      <c r="H231" s="21" t="str">
        <f t="shared" si="24"/>
        <v>k</v>
      </c>
      <c r="I231" s="22">
        <f t="shared" si="25"/>
        <v>11300</v>
      </c>
      <c r="J231" s="21" t="str">
        <f t="shared" si="26"/>
        <v>k</v>
      </c>
      <c r="K231" s="23">
        <f t="shared" si="27"/>
        <v>462100</v>
      </c>
      <c r="L231" s="21">
        <v>5.3</v>
      </c>
      <c r="M231" s="22">
        <f t="shared" si="28"/>
        <v>31</v>
      </c>
      <c r="N231" s="23">
        <f t="shared" si="29"/>
        <v>14906.451612903225</v>
      </c>
      <c r="O231" s="23">
        <f t="shared" si="30"/>
        <v>364.51612903225805</v>
      </c>
      <c r="P231" s="23">
        <f t="shared" si="31"/>
        <v>40.89380530973451</v>
      </c>
      <c r="Q231" s="21" t="str">
        <f>IF(ISNA(_xlfn.XLOOKUP(D231,'Same Seller Hist'!H:H,'Same Seller Hist'!H:H)),"Não","Sim")</f>
        <v>Não</v>
      </c>
      <c r="R231" s="21" t="str">
        <f>_xlfn.IFNA(_xlfn.XLOOKUP(D231,'Same Seller Hist'!D:D,'Same Seller Hist'!M:M),"Não Existe")</f>
        <v>Ativo</v>
      </c>
    </row>
    <row r="232" spans="3:18" hidden="1" x14ac:dyDescent="0.35">
      <c r="C232" s="18">
        <v>45992</v>
      </c>
      <c r="D232" s="5" t="s">
        <v>1810</v>
      </c>
      <c r="E232" s="5" t="s">
        <v>913</v>
      </c>
      <c r="F232" s="5" t="s">
        <v>2056</v>
      </c>
      <c r="G232" s="5" t="s">
        <v>2268</v>
      </c>
      <c r="H232" s="21" t="str">
        <f t="shared" si="24"/>
        <v>k</v>
      </c>
      <c r="I232" s="22">
        <f t="shared" si="25"/>
        <v>11200</v>
      </c>
      <c r="J232" s="21" t="str">
        <f t="shared" si="26"/>
        <v>k</v>
      </c>
      <c r="K232" s="23">
        <f t="shared" si="27"/>
        <v>483900</v>
      </c>
      <c r="L232" s="21">
        <v>5.3</v>
      </c>
      <c r="M232" s="22">
        <f t="shared" si="28"/>
        <v>31</v>
      </c>
      <c r="N232" s="23">
        <f t="shared" si="29"/>
        <v>15609.677419354839</v>
      </c>
      <c r="O232" s="23">
        <f t="shared" si="30"/>
        <v>361.29032258064518</v>
      </c>
      <c r="P232" s="23">
        <f t="shared" si="31"/>
        <v>43.205357142857139</v>
      </c>
      <c r="Q232" s="21" t="str">
        <f>IF(ISNA(_xlfn.XLOOKUP(D232,'Same Seller Hist'!H:H,'Same Seller Hist'!H:H)),"Não","Sim")</f>
        <v>Não</v>
      </c>
      <c r="R232" s="21" t="str">
        <f>_xlfn.IFNA(_xlfn.XLOOKUP(D232,'Same Seller Hist'!D:D,'Same Seller Hist'!M:M),"Não Existe")</f>
        <v>Não Existe</v>
      </c>
    </row>
    <row r="233" spans="3:18" x14ac:dyDescent="0.35">
      <c r="C233" s="18">
        <v>45992</v>
      </c>
      <c r="D233" s="5" t="s">
        <v>537</v>
      </c>
      <c r="E233" s="5" t="s">
        <v>964</v>
      </c>
      <c r="F233" s="5" t="s">
        <v>2056</v>
      </c>
      <c r="G233" s="5" t="s">
        <v>2269</v>
      </c>
      <c r="H233" s="21" t="str">
        <f t="shared" si="24"/>
        <v>k</v>
      </c>
      <c r="I233" s="22">
        <f t="shared" si="25"/>
        <v>11200</v>
      </c>
      <c r="J233" s="21" t="str">
        <f t="shared" si="26"/>
        <v>k</v>
      </c>
      <c r="K233" s="23">
        <f t="shared" si="27"/>
        <v>375500</v>
      </c>
      <c r="L233" s="21">
        <v>5.3</v>
      </c>
      <c r="M233" s="22">
        <f t="shared" si="28"/>
        <v>31</v>
      </c>
      <c r="N233" s="23">
        <f t="shared" si="29"/>
        <v>12112.903225806451</v>
      </c>
      <c r="O233" s="23">
        <f t="shared" si="30"/>
        <v>361.29032258064518</v>
      </c>
      <c r="P233" s="23">
        <f t="shared" si="31"/>
        <v>33.526785714285708</v>
      </c>
      <c r="Q233" s="21" t="str">
        <f>IF(ISNA(_xlfn.XLOOKUP(D233,'Same Seller Hist'!H:H,'Same Seller Hist'!H:H)),"Não","Sim")</f>
        <v>Sim</v>
      </c>
      <c r="R233" s="21" t="str">
        <f>_xlfn.IFNA(_xlfn.XLOOKUP(D233,'Same Seller Hist'!D:D,'Same Seller Hist'!M:M),"Não Existe")</f>
        <v>Ativo</v>
      </c>
    </row>
    <row r="234" spans="3:18" hidden="1" x14ac:dyDescent="0.35">
      <c r="C234" s="18">
        <v>45992</v>
      </c>
      <c r="D234" s="5" t="s">
        <v>1811</v>
      </c>
      <c r="E234" s="5" t="s">
        <v>933</v>
      </c>
      <c r="F234" s="5" t="s">
        <v>2057</v>
      </c>
      <c r="G234" s="5" t="s">
        <v>2270</v>
      </c>
      <c r="H234" s="21" t="str">
        <f t="shared" si="24"/>
        <v>k</v>
      </c>
      <c r="I234" s="22">
        <f t="shared" si="25"/>
        <v>11100</v>
      </c>
      <c r="J234" s="21" t="str">
        <f t="shared" si="26"/>
        <v>k</v>
      </c>
      <c r="K234" s="23">
        <f t="shared" si="27"/>
        <v>610700</v>
      </c>
      <c r="L234" s="21">
        <v>5.3</v>
      </c>
      <c r="M234" s="22">
        <f t="shared" si="28"/>
        <v>31</v>
      </c>
      <c r="N234" s="23">
        <f t="shared" si="29"/>
        <v>19700</v>
      </c>
      <c r="O234" s="23">
        <f t="shared" si="30"/>
        <v>358.06451612903226</v>
      </c>
      <c r="P234" s="23">
        <f t="shared" si="31"/>
        <v>55.018018018018019</v>
      </c>
      <c r="Q234" s="21" t="str">
        <f>IF(ISNA(_xlfn.XLOOKUP(D234,'Same Seller Hist'!H:H,'Same Seller Hist'!H:H)),"Não","Sim")</f>
        <v>Não</v>
      </c>
      <c r="R234" s="21" t="str">
        <f>_xlfn.IFNA(_xlfn.XLOOKUP(D234,'Same Seller Hist'!D:D,'Same Seller Hist'!M:M),"Não Existe")</f>
        <v>Não Existe</v>
      </c>
    </row>
    <row r="235" spans="3:18" hidden="1" x14ac:dyDescent="0.35">
      <c r="C235" s="18">
        <v>45992</v>
      </c>
      <c r="D235" s="5" t="s">
        <v>1812</v>
      </c>
      <c r="E235" s="5" t="s">
        <v>913</v>
      </c>
      <c r="F235" s="5" t="s">
        <v>2057</v>
      </c>
      <c r="G235" s="5" t="s">
        <v>2271</v>
      </c>
      <c r="H235" s="21" t="str">
        <f t="shared" si="24"/>
        <v>k</v>
      </c>
      <c r="I235" s="22">
        <f t="shared" si="25"/>
        <v>11100</v>
      </c>
      <c r="J235" s="21" t="str">
        <f t="shared" si="26"/>
        <v>k</v>
      </c>
      <c r="K235" s="23">
        <f t="shared" si="27"/>
        <v>463500</v>
      </c>
      <c r="L235" s="21">
        <v>5.3</v>
      </c>
      <c r="M235" s="22">
        <f t="shared" si="28"/>
        <v>31</v>
      </c>
      <c r="N235" s="23">
        <f t="shared" si="29"/>
        <v>14951.612903225807</v>
      </c>
      <c r="O235" s="23">
        <f t="shared" si="30"/>
        <v>358.06451612903226</v>
      </c>
      <c r="P235" s="23">
        <f t="shared" si="31"/>
        <v>41.756756756756758</v>
      </c>
      <c r="Q235" s="21" t="str">
        <f>IF(ISNA(_xlfn.XLOOKUP(D235,'Same Seller Hist'!H:H,'Same Seller Hist'!H:H)),"Não","Sim")</f>
        <v>Não</v>
      </c>
      <c r="R235" s="21" t="str">
        <f>_xlfn.IFNA(_xlfn.XLOOKUP(D235,'Same Seller Hist'!D:D,'Same Seller Hist'!M:M),"Não Existe")</f>
        <v>Não Existe</v>
      </c>
    </row>
    <row r="236" spans="3:18" hidden="1" x14ac:dyDescent="0.35">
      <c r="C236" s="18">
        <v>45992</v>
      </c>
      <c r="D236" s="5" t="s">
        <v>1813</v>
      </c>
      <c r="E236" s="5" t="s">
        <v>913</v>
      </c>
      <c r="F236" s="5" t="s">
        <v>2058</v>
      </c>
      <c r="G236" s="5" t="s">
        <v>2272</v>
      </c>
      <c r="H236" s="21" t="str">
        <f t="shared" si="24"/>
        <v>k</v>
      </c>
      <c r="I236" s="22">
        <f t="shared" si="25"/>
        <v>11000</v>
      </c>
      <c r="J236" s="21" t="str">
        <f t="shared" si="26"/>
        <v>k</v>
      </c>
      <c r="K236" s="23">
        <f t="shared" si="27"/>
        <v>989500</v>
      </c>
      <c r="L236" s="21">
        <v>5.3</v>
      </c>
      <c r="M236" s="22">
        <f t="shared" si="28"/>
        <v>31</v>
      </c>
      <c r="N236" s="23">
        <f t="shared" si="29"/>
        <v>31919.354838709678</v>
      </c>
      <c r="O236" s="23">
        <f t="shared" si="30"/>
        <v>354.83870967741933</v>
      </c>
      <c r="P236" s="23">
        <f t="shared" si="31"/>
        <v>89.954545454545467</v>
      </c>
      <c r="Q236" s="21" t="str">
        <f>IF(ISNA(_xlfn.XLOOKUP(D236,'Same Seller Hist'!H:H,'Same Seller Hist'!H:H)),"Não","Sim")</f>
        <v>Não</v>
      </c>
      <c r="R236" s="21" t="str">
        <f>_xlfn.IFNA(_xlfn.XLOOKUP(D236,'Same Seller Hist'!D:D,'Same Seller Hist'!M:M),"Não Existe")</f>
        <v>Não Existe</v>
      </c>
    </row>
    <row r="237" spans="3:18" x14ac:dyDescent="0.35">
      <c r="C237" s="18">
        <v>45992</v>
      </c>
      <c r="D237" s="5" t="s">
        <v>771</v>
      </c>
      <c r="E237" s="5" t="s">
        <v>926</v>
      </c>
      <c r="F237" s="5" t="s">
        <v>2058</v>
      </c>
      <c r="G237" s="5" t="s">
        <v>2273</v>
      </c>
      <c r="H237" s="21" t="str">
        <f t="shared" si="24"/>
        <v>k</v>
      </c>
      <c r="I237" s="22">
        <f t="shared" si="25"/>
        <v>11000</v>
      </c>
      <c r="J237" s="21" t="str">
        <f t="shared" si="26"/>
        <v>k</v>
      </c>
      <c r="K237" s="23">
        <f t="shared" si="27"/>
        <v>628900</v>
      </c>
      <c r="L237" s="21">
        <v>5.3</v>
      </c>
      <c r="M237" s="22">
        <f t="shared" si="28"/>
        <v>31</v>
      </c>
      <c r="N237" s="23">
        <f t="shared" si="29"/>
        <v>20287.096774193549</v>
      </c>
      <c r="O237" s="23">
        <f t="shared" si="30"/>
        <v>354.83870967741933</v>
      </c>
      <c r="P237" s="23">
        <f t="shared" si="31"/>
        <v>57.172727272727279</v>
      </c>
      <c r="Q237" s="21" t="str">
        <f>IF(ISNA(_xlfn.XLOOKUP(D237,'Same Seller Hist'!H:H,'Same Seller Hist'!H:H)),"Não","Sim")</f>
        <v>Sim</v>
      </c>
      <c r="R237" s="21" t="str">
        <f>_xlfn.IFNA(_xlfn.XLOOKUP(D237,'Same Seller Hist'!D:D,'Same Seller Hist'!M:M),"Não Existe")</f>
        <v>Ativo</v>
      </c>
    </row>
    <row r="238" spans="3:18" hidden="1" x14ac:dyDescent="0.35">
      <c r="C238" s="18">
        <v>45992</v>
      </c>
      <c r="D238" s="5" t="s">
        <v>721</v>
      </c>
      <c r="E238" s="5" t="s">
        <v>933</v>
      </c>
      <c r="F238" s="5" t="s">
        <v>2058</v>
      </c>
      <c r="G238" s="5" t="s">
        <v>2274</v>
      </c>
      <c r="H238" s="21" t="str">
        <f t="shared" si="24"/>
        <v>k</v>
      </c>
      <c r="I238" s="22">
        <f t="shared" si="25"/>
        <v>11000</v>
      </c>
      <c r="J238" s="21" t="str">
        <f t="shared" si="26"/>
        <v>k</v>
      </c>
      <c r="K238" s="23">
        <f t="shared" si="27"/>
        <v>390100</v>
      </c>
      <c r="L238" s="21">
        <v>5.3</v>
      </c>
      <c r="M238" s="22">
        <f t="shared" si="28"/>
        <v>31</v>
      </c>
      <c r="N238" s="23">
        <f t="shared" si="29"/>
        <v>12583.870967741936</v>
      </c>
      <c r="O238" s="23">
        <f t="shared" si="30"/>
        <v>354.83870967741933</v>
      </c>
      <c r="P238" s="23">
        <f t="shared" si="31"/>
        <v>35.463636363636368</v>
      </c>
      <c r="Q238" s="21" t="str">
        <f>IF(ISNA(_xlfn.XLOOKUP(D238,'Same Seller Hist'!H:H,'Same Seller Hist'!H:H)),"Não","Sim")</f>
        <v>Não</v>
      </c>
      <c r="R238" s="21" t="str">
        <f>_xlfn.IFNA(_xlfn.XLOOKUP(D238,'Same Seller Hist'!D:D,'Same Seller Hist'!M:M),"Não Existe")</f>
        <v>Ativo</v>
      </c>
    </row>
    <row r="239" spans="3:18" hidden="1" x14ac:dyDescent="0.35">
      <c r="C239" s="18">
        <v>45992</v>
      </c>
      <c r="D239" s="5" t="s">
        <v>1814</v>
      </c>
      <c r="E239" s="5" t="s">
        <v>926</v>
      </c>
      <c r="F239" s="5" t="s">
        <v>2058</v>
      </c>
      <c r="G239" s="5" t="s">
        <v>2275</v>
      </c>
      <c r="H239" s="21" t="str">
        <f t="shared" si="24"/>
        <v>k</v>
      </c>
      <c r="I239" s="22">
        <f t="shared" si="25"/>
        <v>11000</v>
      </c>
      <c r="J239" s="21" t="str">
        <f t="shared" si="26"/>
        <v>k</v>
      </c>
      <c r="K239" s="23">
        <f t="shared" si="27"/>
        <v>687700</v>
      </c>
      <c r="L239" s="21">
        <v>5.3</v>
      </c>
      <c r="M239" s="22">
        <f t="shared" si="28"/>
        <v>31</v>
      </c>
      <c r="N239" s="23">
        <f t="shared" si="29"/>
        <v>22183.870967741936</v>
      </c>
      <c r="O239" s="23">
        <f t="shared" si="30"/>
        <v>354.83870967741933</v>
      </c>
      <c r="P239" s="23">
        <f t="shared" si="31"/>
        <v>62.518181818181823</v>
      </c>
      <c r="Q239" s="21" t="str">
        <f>IF(ISNA(_xlfn.XLOOKUP(D239,'Same Seller Hist'!H:H,'Same Seller Hist'!H:H)),"Não","Sim")</f>
        <v>Não</v>
      </c>
      <c r="R239" s="21" t="str">
        <f>_xlfn.IFNA(_xlfn.XLOOKUP(D239,'Same Seller Hist'!D:D,'Same Seller Hist'!M:M),"Não Existe")</f>
        <v>Não Existe</v>
      </c>
    </row>
    <row r="240" spans="3:18" hidden="1" x14ac:dyDescent="0.35">
      <c r="C240" s="18">
        <v>45992</v>
      </c>
      <c r="D240" s="5" t="s">
        <v>1815</v>
      </c>
      <c r="E240" s="5" t="s">
        <v>984</v>
      </c>
      <c r="F240" s="5" t="s">
        <v>2058</v>
      </c>
      <c r="G240" s="5" t="s">
        <v>2276</v>
      </c>
      <c r="H240" s="21" t="str">
        <f t="shared" si="24"/>
        <v>k</v>
      </c>
      <c r="I240" s="22">
        <f t="shared" si="25"/>
        <v>11000</v>
      </c>
      <c r="J240" s="21" t="str">
        <f t="shared" si="26"/>
        <v>k</v>
      </c>
      <c r="K240" s="23">
        <f t="shared" si="27"/>
        <v>502000</v>
      </c>
      <c r="L240" s="21">
        <v>5.3</v>
      </c>
      <c r="M240" s="22">
        <f t="shared" si="28"/>
        <v>31</v>
      </c>
      <c r="N240" s="23">
        <f t="shared" si="29"/>
        <v>16193.548387096775</v>
      </c>
      <c r="O240" s="23">
        <f t="shared" si="30"/>
        <v>354.83870967741933</v>
      </c>
      <c r="P240" s="23">
        <f t="shared" si="31"/>
        <v>45.63636363636364</v>
      </c>
      <c r="Q240" s="21" t="str">
        <f>IF(ISNA(_xlfn.XLOOKUP(D240,'Same Seller Hist'!H:H,'Same Seller Hist'!H:H)),"Não","Sim")</f>
        <v>Não</v>
      </c>
      <c r="R240" s="21" t="str">
        <f>_xlfn.IFNA(_xlfn.XLOOKUP(D240,'Same Seller Hist'!D:D,'Same Seller Hist'!M:M),"Não Existe")</f>
        <v>Não Existe</v>
      </c>
    </row>
    <row r="241" spans="3:18" x14ac:dyDescent="0.35">
      <c r="C241" s="18">
        <v>45992</v>
      </c>
      <c r="D241" s="5" t="s">
        <v>363</v>
      </c>
      <c r="E241" s="5" t="s">
        <v>939</v>
      </c>
      <c r="F241" s="5" t="s">
        <v>2059</v>
      </c>
      <c r="G241" s="5" t="s">
        <v>2277</v>
      </c>
      <c r="H241" s="21" t="str">
        <f t="shared" si="24"/>
        <v>k</v>
      </c>
      <c r="I241" s="22">
        <f t="shared" si="25"/>
        <v>10900</v>
      </c>
      <c r="J241" s="21" t="str">
        <f t="shared" si="26"/>
        <v>k</v>
      </c>
      <c r="K241" s="23">
        <f t="shared" si="27"/>
        <v>347400</v>
      </c>
      <c r="L241" s="21">
        <v>5.3</v>
      </c>
      <c r="M241" s="22">
        <f t="shared" si="28"/>
        <v>31</v>
      </c>
      <c r="N241" s="23">
        <f t="shared" si="29"/>
        <v>11206.451612903225</v>
      </c>
      <c r="O241" s="23">
        <f t="shared" si="30"/>
        <v>351.61290322580646</v>
      </c>
      <c r="P241" s="23">
        <f t="shared" si="31"/>
        <v>31.87155963302752</v>
      </c>
      <c r="Q241" s="21" t="str">
        <f>IF(ISNA(_xlfn.XLOOKUP(D241,'Same Seller Hist'!H:H,'Same Seller Hist'!H:H)),"Não","Sim")</f>
        <v>Sim</v>
      </c>
      <c r="R241" s="21" t="str">
        <f>_xlfn.IFNA(_xlfn.XLOOKUP(D241,'Same Seller Hist'!D:D,'Same Seller Hist'!M:M),"Não Existe")</f>
        <v>Ativo</v>
      </c>
    </row>
    <row r="242" spans="3:18" x14ac:dyDescent="0.35">
      <c r="C242" s="18">
        <v>45992</v>
      </c>
      <c r="D242" s="5" t="s">
        <v>562</v>
      </c>
      <c r="E242" s="5" t="s">
        <v>913</v>
      </c>
      <c r="F242" s="5" t="s">
        <v>2060</v>
      </c>
      <c r="G242" s="5" t="s">
        <v>2156</v>
      </c>
      <c r="H242" s="21" t="str">
        <f t="shared" si="24"/>
        <v>k</v>
      </c>
      <c r="I242" s="22">
        <f t="shared" si="25"/>
        <v>10800</v>
      </c>
      <c r="J242" s="21" t="str">
        <f t="shared" si="26"/>
        <v>k</v>
      </c>
      <c r="K242" s="23">
        <f t="shared" si="27"/>
        <v>383500</v>
      </c>
      <c r="L242" s="21">
        <v>5.3</v>
      </c>
      <c r="M242" s="22">
        <f t="shared" si="28"/>
        <v>31</v>
      </c>
      <c r="N242" s="23">
        <f t="shared" si="29"/>
        <v>12370.967741935483</v>
      </c>
      <c r="O242" s="23">
        <f t="shared" si="30"/>
        <v>348.38709677419354</v>
      </c>
      <c r="P242" s="23">
        <f t="shared" si="31"/>
        <v>35.50925925925926</v>
      </c>
      <c r="Q242" s="21" t="str">
        <f>IF(ISNA(_xlfn.XLOOKUP(D242,'Same Seller Hist'!H:H,'Same Seller Hist'!H:H)),"Não","Sim")</f>
        <v>Sim</v>
      </c>
      <c r="R242" s="21" t="str">
        <f>_xlfn.IFNA(_xlfn.XLOOKUP(D242,'Same Seller Hist'!D:D,'Same Seller Hist'!M:M),"Não Existe")</f>
        <v>Ativo</v>
      </c>
    </row>
    <row r="243" spans="3:18" x14ac:dyDescent="0.35">
      <c r="C243" s="18">
        <v>45992</v>
      </c>
      <c r="D243" s="5" t="s">
        <v>527</v>
      </c>
      <c r="E243" s="5" t="s">
        <v>926</v>
      </c>
      <c r="F243" s="5" t="s">
        <v>2060</v>
      </c>
      <c r="G243" s="5" t="s">
        <v>2278</v>
      </c>
      <c r="H243" s="21" t="str">
        <f t="shared" si="24"/>
        <v>k</v>
      </c>
      <c r="I243" s="22">
        <f t="shared" si="25"/>
        <v>10800</v>
      </c>
      <c r="J243" s="21" t="str">
        <f t="shared" si="26"/>
        <v>k</v>
      </c>
      <c r="K243" s="23">
        <f t="shared" si="27"/>
        <v>513299.99999999994</v>
      </c>
      <c r="L243" s="21">
        <v>5.3</v>
      </c>
      <c r="M243" s="22">
        <f t="shared" si="28"/>
        <v>31</v>
      </c>
      <c r="N243" s="23">
        <f t="shared" si="29"/>
        <v>16558.06451612903</v>
      </c>
      <c r="O243" s="23">
        <f t="shared" si="30"/>
        <v>348.38709677419354</v>
      </c>
      <c r="P243" s="23">
        <f t="shared" si="31"/>
        <v>47.527777777777771</v>
      </c>
      <c r="Q243" s="21" t="str">
        <f>IF(ISNA(_xlfn.XLOOKUP(D243,'Same Seller Hist'!H:H,'Same Seller Hist'!H:H)),"Não","Sim")</f>
        <v>Sim</v>
      </c>
      <c r="R243" s="21" t="str">
        <f>_xlfn.IFNA(_xlfn.XLOOKUP(D243,'Same Seller Hist'!D:D,'Same Seller Hist'!M:M),"Não Existe")</f>
        <v>Ativo</v>
      </c>
    </row>
    <row r="244" spans="3:18" hidden="1" x14ac:dyDescent="0.35">
      <c r="C244" s="18">
        <v>45992</v>
      </c>
      <c r="D244" s="5" t="s">
        <v>521</v>
      </c>
      <c r="E244" s="5" t="s">
        <v>913</v>
      </c>
      <c r="F244" s="5" t="s">
        <v>2060</v>
      </c>
      <c r="G244" s="5" t="s">
        <v>2279</v>
      </c>
      <c r="H244" s="21" t="str">
        <f t="shared" si="24"/>
        <v>k</v>
      </c>
      <c r="I244" s="22">
        <f t="shared" si="25"/>
        <v>10800</v>
      </c>
      <c r="J244" s="21" t="str">
        <f t="shared" si="26"/>
        <v>k</v>
      </c>
      <c r="K244" s="23">
        <f t="shared" si="27"/>
        <v>333200</v>
      </c>
      <c r="L244" s="21">
        <v>5.3</v>
      </c>
      <c r="M244" s="22">
        <f t="shared" si="28"/>
        <v>31</v>
      </c>
      <c r="N244" s="23">
        <f t="shared" si="29"/>
        <v>10748.387096774193</v>
      </c>
      <c r="O244" s="23">
        <f t="shared" si="30"/>
        <v>348.38709677419354</v>
      </c>
      <c r="P244" s="23">
        <f t="shared" si="31"/>
        <v>30.851851851851851</v>
      </c>
      <c r="Q244" s="21" t="str">
        <f>IF(ISNA(_xlfn.XLOOKUP(D244,'Same Seller Hist'!H:H,'Same Seller Hist'!H:H)),"Não","Sim")</f>
        <v>Não</v>
      </c>
      <c r="R244" s="21" t="str">
        <f>_xlfn.IFNA(_xlfn.XLOOKUP(D244,'Same Seller Hist'!D:D,'Same Seller Hist'!M:M),"Não Existe")</f>
        <v>Ativo</v>
      </c>
    </row>
    <row r="245" spans="3:18" x14ac:dyDescent="0.35">
      <c r="C245" s="18">
        <v>45992</v>
      </c>
      <c r="D245" s="5" t="s">
        <v>55</v>
      </c>
      <c r="E245" s="5" t="s">
        <v>911</v>
      </c>
      <c r="F245" s="5" t="s">
        <v>2060</v>
      </c>
      <c r="G245" s="5" t="s">
        <v>2280</v>
      </c>
      <c r="H245" s="21" t="str">
        <f t="shared" si="24"/>
        <v>k</v>
      </c>
      <c r="I245" s="22">
        <f t="shared" si="25"/>
        <v>10800</v>
      </c>
      <c r="J245" s="21" t="str">
        <f t="shared" si="26"/>
        <v>k</v>
      </c>
      <c r="K245" s="23">
        <f t="shared" si="27"/>
        <v>378200</v>
      </c>
      <c r="L245" s="21">
        <v>5.3</v>
      </c>
      <c r="M245" s="22">
        <f t="shared" si="28"/>
        <v>31</v>
      </c>
      <c r="N245" s="23">
        <f t="shared" si="29"/>
        <v>12200</v>
      </c>
      <c r="O245" s="23">
        <f t="shared" si="30"/>
        <v>348.38709677419354</v>
      </c>
      <c r="P245" s="23">
        <f t="shared" si="31"/>
        <v>35.018518518518519</v>
      </c>
      <c r="Q245" s="21" t="str">
        <f>IF(ISNA(_xlfn.XLOOKUP(D245,'Same Seller Hist'!H:H,'Same Seller Hist'!H:H)),"Não","Sim")</f>
        <v>Sim</v>
      </c>
      <c r="R245" s="21" t="str">
        <f>_xlfn.IFNA(_xlfn.XLOOKUP(D245,'Same Seller Hist'!D:D,'Same Seller Hist'!M:M),"Não Existe")</f>
        <v>Ativo</v>
      </c>
    </row>
    <row r="246" spans="3:18" hidden="1" x14ac:dyDescent="0.35">
      <c r="C246" s="18">
        <v>45992</v>
      </c>
      <c r="D246" s="5" t="s">
        <v>1816</v>
      </c>
      <c r="E246" s="5" t="s">
        <v>926</v>
      </c>
      <c r="F246" s="5" t="s">
        <v>2061</v>
      </c>
      <c r="G246" s="5" t="s">
        <v>2281</v>
      </c>
      <c r="H246" s="21" t="str">
        <f t="shared" si="24"/>
        <v>k</v>
      </c>
      <c r="I246" s="22">
        <f t="shared" si="25"/>
        <v>10700</v>
      </c>
      <c r="J246" s="21" t="str">
        <f t="shared" si="26"/>
        <v>k</v>
      </c>
      <c r="K246" s="23">
        <f t="shared" si="27"/>
        <v>473800</v>
      </c>
      <c r="L246" s="21">
        <v>5.3</v>
      </c>
      <c r="M246" s="22">
        <f t="shared" si="28"/>
        <v>31</v>
      </c>
      <c r="N246" s="23">
        <f t="shared" si="29"/>
        <v>15283.870967741936</v>
      </c>
      <c r="O246" s="23">
        <f t="shared" si="30"/>
        <v>345.16129032258067</v>
      </c>
      <c r="P246" s="23">
        <f t="shared" si="31"/>
        <v>44.280373831775698</v>
      </c>
      <c r="Q246" s="21" t="str">
        <f>IF(ISNA(_xlfn.XLOOKUP(D246,'Same Seller Hist'!H:H,'Same Seller Hist'!H:H)),"Não","Sim")</f>
        <v>Não</v>
      </c>
      <c r="R246" s="21" t="str">
        <f>_xlfn.IFNA(_xlfn.XLOOKUP(D246,'Same Seller Hist'!D:D,'Same Seller Hist'!M:M),"Não Existe")</f>
        <v>Não Existe</v>
      </c>
    </row>
    <row r="247" spans="3:18" hidden="1" x14ac:dyDescent="0.35">
      <c r="C247" s="18">
        <v>45992</v>
      </c>
      <c r="D247" s="5" t="s">
        <v>1817</v>
      </c>
      <c r="E247" s="5" t="s">
        <v>926</v>
      </c>
      <c r="F247" s="5" t="s">
        <v>2061</v>
      </c>
      <c r="G247" s="5" t="s">
        <v>2282</v>
      </c>
      <c r="H247" s="21" t="str">
        <f t="shared" si="24"/>
        <v>k</v>
      </c>
      <c r="I247" s="22">
        <f t="shared" si="25"/>
        <v>10700</v>
      </c>
      <c r="J247" s="21" t="str">
        <f t="shared" si="26"/>
        <v>k</v>
      </c>
      <c r="K247" s="23">
        <f t="shared" si="27"/>
        <v>534900</v>
      </c>
      <c r="L247" s="21">
        <v>5.3</v>
      </c>
      <c r="M247" s="22">
        <f t="shared" si="28"/>
        <v>31</v>
      </c>
      <c r="N247" s="23">
        <f t="shared" si="29"/>
        <v>17254.83870967742</v>
      </c>
      <c r="O247" s="23">
        <f t="shared" si="30"/>
        <v>345.16129032258067</v>
      </c>
      <c r="P247" s="23">
        <f t="shared" si="31"/>
        <v>49.990654205607477</v>
      </c>
      <c r="Q247" s="21" t="str">
        <f>IF(ISNA(_xlfn.XLOOKUP(D247,'Same Seller Hist'!H:H,'Same Seller Hist'!H:H)),"Não","Sim")</f>
        <v>Não</v>
      </c>
      <c r="R247" s="21" t="str">
        <f>_xlfn.IFNA(_xlfn.XLOOKUP(D247,'Same Seller Hist'!D:D,'Same Seller Hist'!M:M),"Não Existe")</f>
        <v>Não Existe</v>
      </c>
    </row>
    <row r="248" spans="3:18" hidden="1" x14ac:dyDescent="0.35">
      <c r="C248" s="18">
        <v>45992</v>
      </c>
      <c r="D248" s="5" t="s">
        <v>1818</v>
      </c>
      <c r="E248" s="5" t="s">
        <v>975</v>
      </c>
      <c r="F248" s="5" t="s">
        <v>2061</v>
      </c>
      <c r="G248" s="5" t="s">
        <v>2283</v>
      </c>
      <c r="H248" s="21" t="str">
        <f t="shared" si="24"/>
        <v>k</v>
      </c>
      <c r="I248" s="22">
        <f t="shared" si="25"/>
        <v>10700</v>
      </c>
      <c r="J248" s="21" t="str">
        <f t="shared" si="26"/>
        <v>k</v>
      </c>
      <c r="K248" s="23">
        <f t="shared" si="27"/>
        <v>694000</v>
      </c>
      <c r="L248" s="21">
        <v>5.3</v>
      </c>
      <c r="M248" s="22">
        <f t="shared" si="28"/>
        <v>31</v>
      </c>
      <c r="N248" s="23">
        <f t="shared" si="29"/>
        <v>22387.096774193549</v>
      </c>
      <c r="O248" s="23">
        <f t="shared" si="30"/>
        <v>345.16129032258067</v>
      </c>
      <c r="P248" s="23">
        <f t="shared" si="31"/>
        <v>64.859813084112147</v>
      </c>
      <c r="Q248" s="21" t="str">
        <f>IF(ISNA(_xlfn.XLOOKUP(D248,'Same Seller Hist'!H:H,'Same Seller Hist'!H:H)),"Não","Sim")</f>
        <v>Não</v>
      </c>
      <c r="R248" s="21" t="str">
        <f>_xlfn.IFNA(_xlfn.XLOOKUP(D248,'Same Seller Hist'!D:D,'Same Seller Hist'!M:M),"Não Existe")</f>
        <v>Não Existe</v>
      </c>
    </row>
    <row r="249" spans="3:18" hidden="1" x14ac:dyDescent="0.35">
      <c r="C249" s="18">
        <v>45992</v>
      </c>
      <c r="D249" s="5" t="s">
        <v>1819</v>
      </c>
      <c r="E249" s="5" t="s">
        <v>908</v>
      </c>
      <c r="F249" s="5" t="s">
        <v>2062</v>
      </c>
      <c r="G249" s="5" t="s">
        <v>2284</v>
      </c>
      <c r="H249" s="21" t="str">
        <f t="shared" si="24"/>
        <v>k</v>
      </c>
      <c r="I249" s="22">
        <f t="shared" si="25"/>
        <v>10600</v>
      </c>
      <c r="J249" s="21" t="str">
        <f t="shared" si="26"/>
        <v>k</v>
      </c>
      <c r="K249" s="23">
        <f t="shared" si="27"/>
        <v>386200</v>
      </c>
      <c r="L249" s="21">
        <v>5.3</v>
      </c>
      <c r="M249" s="22">
        <f t="shared" si="28"/>
        <v>31</v>
      </c>
      <c r="N249" s="23">
        <f t="shared" si="29"/>
        <v>12458.064516129032</v>
      </c>
      <c r="O249" s="23">
        <f t="shared" si="30"/>
        <v>341.93548387096774</v>
      </c>
      <c r="P249" s="23">
        <f t="shared" si="31"/>
        <v>36.433962264150942</v>
      </c>
      <c r="Q249" s="21" t="str">
        <f>IF(ISNA(_xlfn.XLOOKUP(D249,'Same Seller Hist'!H:H,'Same Seller Hist'!H:H)),"Não","Sim")</f>
        <v>Não</v>
      </c>
      <c r="R249" s="21" t="str">
        <f>_xlfn.IFNA(_xlfn.XLOOKUP(D249,'Same Seller Hist'!D:D,'Same Seller Hist'!M:M),"Não Existe")</f>
        <v>Não Existe</v>
      </c>
    </row>
    <row r="250" spans="3:18" hidden="1" x14ac:dyDescent="0.35">
      <c r="C250" s="18">
        <v>45992</v>
      </c>
      <c r="D250" s="5" t="s">
        <v>1820</v>
      </c>
      <c r="E250" s="5" t="s">
        <v>933</v>
      </c>
      <c r="F250" s="5" t="s">
        <v>2062</v>
      </c>
      <c r="G250" s="5" t="s">
        <v>2285</v>
      </c>
      <c r="H250" s="21" t="str">
        <f t="shared" si="24"/>
        <v>k</v>
      </c>
      <c r="I250" s="22">
        <f t="shared" si="25"/>
        <v>10600</v>
      </c>
      <c r="J250" s="21" t="str">
        <f t="shared" si="26"/>
        <v>k</v>
      </c>
      <c r="K250" s="23">
        <f t="shared" si="27"/>
        <v>678400</v>
      </c>
      <c r="L250" s="21">
        <v>5.3</v>
      </c>
      <c r="M250" s="22">
        <f t="shared" si="28"/>
        <v>31</v>
      </c>
      <c r="N250" s="23">
        <f t="shared" si="29"/>
        <v>21883.870967741936</v>
      </c>
      <c r="O250" s="23">
        <f t="shared" si="30"/>
        <v>341.93548387096774</v>
      </c>
      <c r="P250" s="23">
        <f t="shared" si="31"/>
        <v>64</v>
      </c>
      <c r="Q250" s="21" t="str">
        <f>IF(ISNA(_xlfn.XLOOKUP(D250,'Same Seller Hist'!H:H,'Same Seller Hist'!H:H)),"Não","Sim")</f>
        <v>Não</v>
      </c>
      <c r="R250" s="21" t="str">
        <f>_xlfn.IFNA(_xlfn.XLOOKUP(D250,'Same Seller Hist'!D:D,'Same Seller Hist'!M:M),"Não Existe")</f>
        <v>Não Existe</v>
      </c>
    </row>
    <row r="251" spans="3:18" hidden="1" x14ac:dyDescent="0.35">
      <c r="C251" s="18">
        <v>45992</v>
      </c>
      <c r="D251" s="5" t="s">
        <v>1821</v>
      </c>
      <c r="E251" s="5" t="s">
        <v>939</v>
      </c>
      <c r="F251" s="5" t="s">
        <v>2063</v>
      </c>
      <c r="G251" s="5" t="s">
        <v>2286</v>
      </c>
      <c r="H251" s="21" t="str">
        <f t="shared" si="24"/>
        <v>k</v>
      </c>
      <c r="I251" s="22">
        <f t="shared" si="25"/>
        <v>10500</v>
      </c>
      <c r="J251" s="21" t="str">
        <f t="shared" si="26"/>
        <v>k</v>
      </c>
      <c r="K251" s="23">
        <f t="shared" si="27"/>
        <v>449100</v>
      </c>
      <c r="L251" s="21">
        <v>5.3</v>
      </c>
      <c r="M251" s="22">
        <f t="shared" si="28"/>
        <v>31</v>
      </c>
      <c r="N251" s="23">
        <f t="shared" si="29"/>
        <v>14487.096774193549</v>
      </c>
      <c r="O251" s="23">
        <f t="shared" si="30"/>
        <v>338.70967741935482</v>
      </c>
      <c r="P251" s="23">
        <f t="shared" si="31"/>
        <v>42.771428571428579</v>
      </c>
      <c r="Q251" s="21" t="str">
        <f>IF(ISNA(_xlfn.XLOOKUP(D251,'Same Seller Hist'!H:H,'Same Seller Hist'!H:H)),"Não","Sim")</f>
        <v>Não</v>
      </c>
      <c r="R251" s="21" t="str">
        <f>_xlfn.IFNA(_xlfn.XLOOKUP(D251,'Same Seller Hist'!D:D,'Same Seller Hist'!M:M),"Não Existe")</f>
        <v>Não Existe</v>
      </c>
    </row>
    <row r="252" spans="3:18" hidden="1" x14ac:dyDescent="0.35">
      <c r="C252" s="18">
        <v>45992</v>
      </c>
      <c r="D252" s="5" t="s">
        <v>80</v>
      </c>
      <c r="E252" s="5" t="s">
        <v>916</v>
      </c>
      <c r="F252" s="5" t="s">
        <v>2063</v>
      </c>
      <c r="G252" s="5" t="s">
        <v>2132</v>
      </c>
      <c r="H252" s="21" t="str">
        <f t="shared" si="24"/>
        <v>k</v>
      </c>
      <c r="I252" s="22">
        <f t="shared" si="25"/>
        <v>10500</v>
      </c>
      <c r="J252" s="21" t="str">
        <f t="shared" si="26"/>
        <v>m</v>
      </c>
      <c r="K252" s="23">
        <f t="shared" si="27"/>
        <v>1200000</v>
      </c>
      <c r="L252" s="21">
        <v>5.3</v>
      </c>
      <c r="M252" s="22">
        <f t="shared" si="28"/>
        <v>31</v>
      </c>
      <c r="N252" s="23">
        <f t="shared" si="29"/>
        <v>38709.677419354841</v>
      </c>
      <c r="O252" s="23">
        <f t="shared" si="30"/>
        <v>338.70967741935482</v>
      </c>
      <c r="P252" s="23">
        <f t="shared" si="31"/>
        <v>114.28571428571429</v>
      </c>
      <c r="Q252" s="21" t="str">
        <f>IF(ISNA(_xlfn.XLOOKUP(D252,'Same Seller Hist'!H:H,'Same Seller Hist'!H:H)),"Não","Sim")</f>
        <v>Não</v>
      </c>
      <c r="R252" s="21" t="str">
        <f>_xlfn.IFNA(_xlfn.XLOOKUP(D252,'Same Seller Hist'!D:D,'Same Seller Hist'!M:M),"Não Existe")</f>
        <v>Ativo</v>
      </c>
    </row>
    <row r="253" spans="3:18" hidden="1" x14ac:dyDescent="0.35">
      <c r="C253" s="18">
        <v>45992</v>
      </c>
      <c r="D253" s="5" t="s">
        <v>747</v>
      </c>
      <c r="E253" s="5" t="s">
        <v>910</v>
      </c>
      <c r="F253" s="5" t="s">
        <v>2063</v>
      </c>
      <c r="G253" s="5" t="s">
        <v>2287</v>
      </c>
      <c r="H253" s="21" t="str">
        <f t="shared" si="24"/>
        <v>k</v>
      </c>
      <c r="I253" s="22">
        <f t="shared" si="25"/>
        <v>10500</v>
      </c>
      <c r="J253" s="21" t="str">
        <f t="shared" si="26"/>
        <v>k</v>
      </c>
      <c r="K253" s="23">
        <f t="shared" si="27"/>
        <v>461800</v>
      </c>
      <c r="L253" s="21">
        <v>5.3</v>
      </c>
      <c r="M253" s="22">
        <f t="shared" si="28"/>
        <v>31</v>
      </c>
      <c r="N253" s="23">
        <f t="shared" si="29"/>
        <v>14896.774193548386</v>
      </c>
      <c r="O253" s="23">
        <f t="shared" si="30"/>
        <v>338.70967741935482</v>
      </c>
      <c r="P253" s="23">
        <f t="shared" si="31"/>
        <v>43.980952380952381</v>
      </c>
      <c r="Q253" s="21" t="str">
        <f>IF(ISNA(_xlfn.XLOOKUP(D253,'Same Seller Hist'!H:H,'Same Seller Hist'!H:H)),"Não","Sim")</f>
        <v>Não</v>
      </c>
      <c r="R253" s="21" t="str">
        <f>_xlfn.IFNA(_xlfn.XLOOKUP(D253,'Same Seller Hist'!D:D,'Same Seller Hist'!M:M),"Não Existe")</f>
        <v>Ativo</v>
      </c>
    </row>
    <row r="254" spans="3:18" x14ac:dyDescent="0.35">
      <c r="C254" s="18">
        <v>45992</v>
      </c>
      <c r="D254" s="5" t="s">
        <v>151</v>
      </c>
      <c r="E254" s="5" t="s">
        <v>926</v>
      </c>
      <c r="F254" s="5" t="s">
        <v>2063</v>
      </c>
      <c r="G254" s="5" t="s">
        <v>2288</v>
      </c>
      <c r="H254" s="21" t="str">
        <f t="shared" si="24"/>
        <v>k</v>
      </c>
      <c r="I254" s="22">
        <f t="shared" si="25"/>
        <v>10500</v>
      </c>
      <c r="J254" s="21" t="str">
        <f t="shared" si="26"/>
        <v>k</v>
      </c>
      <c r="K254" s="23">
        <f t="shared" si="27"/>
        <v>230100</v>
      </c>
      <c r="L254" s="21">
        <v>5.3</v>
      </c>
      <c r="M254" s="22">
        <f t="shared" si="28"/>
        <v>31</v>
      </c>
      <c r="N254" s="23">
        <f t="shared" si="29"/>
        <v>7422.5806451612907</v>
      </c>
      <c r="O254" s="23">
        <f t="shared" si="30"/>
        <v>338.70967741935482</v>
      </c>
      <c r="P254" s="23">
        <f t="shared" si="31"/>
        <v>21.914285714285718</v>
      </c>
      <c r="Q254" s="21" t="str">
        <f>IF(ISNA(_xlfn.XLOOKUP(D254,'Same Seller Hist'!H:H,'Same Seller Hist'!H:H)),"Não","Sim")</f>
        <v>Sim</v>
      </c>
      <c r="R254" s="21" t="str">
        <f>_xlfn.IFNA(_xlfn.XLOOKUP(D254,'Same Seller Hist'!D:D,'Same Seller Hist'!M:M),"Não Existe")</f>
        <v>Ativo</v>
      </c>
    </row>
    <row r="255" spans="3:18" x14ac:dyDescent="0.35">
      <c r="C255" s="18">
        <v>45992</v>
      </c>
      <c r="D255" s="5" t="s">
        <v>769</v>
      </c>
      <c r="E255" s="5" t="s">
        <v>908</v>
      </c>
      <c r="F255" s="5" t="s">
        <v>2064</v>
      </c>
      <c r="G255" s="5" t="s">
        <v>2289</v>
      </c>
      <c r="H255" s="21" t="str">
        <f t="shared" si="24"/>
        <v>k</v>
      </c>
      <c r="I255" s="22">
        <f t="shared" si="25"/>
        <v>10400</v>
      </c>
      <c r="J255" s="21" t="str">
        <f t="shared" si="26"/>
        <v>k</v>
      </c>
      <c r="K255" s="23">
        <f t="shared" si="27"/>
        <v>174300</v>
      </c>
      <c r="L255" s="21">
        <v>5.3</v>
      </c>
      <c r="M255" s="22">
        <f t="shared" si="28"/>
        <v>31</v>
      </c>
      <c r="N255" s="23">
        <f t="shared" si="29"/>
        <v>5622.5806451612907</v>
      </c>
      <c r="O255" s="23">
        <f t="shared" si="30"/>
        <v>335.48387096774195</v>
      </c>
      <c r="P255" s="23">
        <f t="shared" si="31"/>
        <v>16.759615384615383</v>
      </c>
      <c r="Q255" s="21" t="str">
        <f>IF(ISNA(_xlfn.XLOOKUP(D255,'Same Seller Hist'!H:H,'Same Seller Hist'!H:H)),"Não","Sim")</f>
        <v>Sim</v>
      </c>
      <c r="R255" s="21" t="str">
        <f>_xlfn.IFNA(_xlfn.XLOOKUP(D255,'Same Seller Hist'!D:D,'Same Seller Hist'!M:M),"Não Existe")</f>
        <v>Ativo</v>
      </c>
    </row>
    <row r="256" spans="3:18" hidden="1" x14ac:dyDescent="0.35">
      <c r="C256" s="18">
        <v>45992</v>
      </c>
      <c r="D256" s="5" t="s">
        <v>1822</v>
      </c>
      <c r="E256" s="5" t="s">
        <v>933</v>
      </c>
      <c r="F256" s="5" t="s">
        <v>2064</v>
      </c>
      <c r="G256" s="5" t="s">
        <v>2290</v>
      </c>
      <c r="H256" s="21" t="str">
        <f t="shared" si="24"/>
        <v>k</v>
      </c>
      <c r="I256" s="22">
        <f t="shared" si="25"/>
        <v>10400</v>
      </c>
      <c r="J256" s="21" t="str">
        <f t="shared" si="26"/>
        <v>k</v>
      </c>
      <c r="K256" s="23">
        <f t="shared" si="27"/>
        <v>794300</v>
      </c>
      <c r="L256" s="21">
        <v>5.3</v>
      </c>
      <c r="M256" s="22">
        <f t="shared" si="28"/>
        <v>31</v>
      </c>
      <c r="N256" s="23">
        <f t="shared" si="29"/>
        <v>25622.580645161292</v>
      </c>
      <c r="O256" s="23">
        <f t="shared" si="30"/>
        <v>335.48387096774195</v>
      </c>
      <c r="P256" s="23">
        <f t="shared" si="31"/>
        <v>76.375</v>
      </c>
      <c r="Q256" s="21" t="str">
        <f>IF(ISNA(_xlfn.XLOOKUP(D256,'Same Seller Hist'!H:H,'Same Seller Hist'!H:H)),"Não","Sim")</f>
        <v>Não</v>
      </c>
      <c r="R256" s="21" t="str">
        <f>_xlfn.IFNA(_xlfn.XLOOKUP(D256,'Same Seller Hist'!D:D,'Same Seller Hist'!M:M),"Não Existe")</f>
        <v>Não Existe</v>
      </c>
    </row>
    <row r="257" spans="3:18" hidden="1" x14ac:dyDescent="0.35">
      <c r="C257" s="18">
        <v>45992</v>
      </c>
      <c r="D257" s="5" t="s">
        <v>606</v>
      </c>
      <c r="E257" s="5" t="s">
        <v>916</v>
      </c>
      <c r="F257" s="5" t="s">
        <v>2064</v>
      </c>
      <c r="G257" s="5" t="s">
        <v>2291</v>
      </c>
      <c r="H257" s="21" t="str">
        <f t="shared" si="24"/>
        <v>k</v>
      </c>
      <c r="I257" s="22">
        <f t="shared" si="25"/>
        <v>10400</v>
      </c>
      <c r="J257" s="21" t="str">
        <f t="shared" si="26"/>
        <v>k</v>
      </c>
      <c r="K257" s="23">
        <f t="shared" si="27"/>
        <v>847700</v>
      </c>
      <c r="L257" s="21">
        <v>5.3</v>
      </c>
      <c r="M257" s="22">
        <f t="shared" si="28"/>
        <v>31</v>
      </c>
      <c r="N257" s="23">
        <f t="shared" si="29"/>
        <v>27345.16129032258</v>
      </c>
      <c r="O257" s="23">
        <f t="shared" si="30"/>
        <v>335.48387096774195</v>
      </c>
      <c r="P257" s="23">
        <f t="shared" si="31"/>
        <v>81.509615384615373</v>
      </c>
      <c r="Q257" s="21" t="str">
        <f>IF(ISNA(_xlfn.XLOOKUP(D257,'Same Seller Hist'!H:H,'Same Seller Hist'!H:H)),"Não","Sim")</f>
        <v>Não</v>
      </c>
      <c r="R257" s="21" t="str">
        <f>_xlfn.IFNA(_xlfn.XLOOKUP(D257,'Same Seller Hist'!D:D,'Same Seller Hist'!M:M),"Não Existe")</f>
        <v>Ativo</v>
      </c>
    </row>
    <row r="258" spans="3:18" x14ac:dyDescent="0.35">
      <c r="C258" s="18">
        <v>45992</v>
      </c>
      <c r="D258" s="5" t="s">
        <v>442</v>
      </c>
      <c r="E258" s="5" t="s">
        <v>984</v>
      </c>
      <c r="F258" s="5" t="s">
        <v>2065</v>
      </c>
      <c r="G258" s="5" t="s">
        <v>2292</v>
      </c>
      <c r="H258" s="21" t="str">
        <f t="shared" si="24"/>
        <v>k</v>
      </c>
      <c r="I258" s="22">
        <f t="shared" si="25"/>
        <v>10300</v>
      </c>
      <c r="J258" s="21" t="str">
        <f t="shared" si="26"/>
        <v>k</v>
      </c>
      <c r="K258" s="23">
        <f t="shared" si="27"/>
        <v>392400</v>
      </c>
      <c r="L258" s="21">
        <v>5.3</v>
      </c>
      <c r="M258" s="22">
        <f t="shared" si="28"/>
        <v>31</v>
      </c>
      <c r="N258" s="23">
        <f t="shared" si="29"/>
        <v>12658.064516129032</v>
      </c>
      <c r="O258" s="23">
        <f t="shared" si="30"/>
        <v>332.25806451612902</v>
      </c>
      <c r="P258" s="23">
        <f t="shared" si="31"/>
        <v>38.097087378640779</v>
      </c>
      <c r="Q258" s="21" t="str">
        <f>IF(ISNA(_xlfn.XLOOKUP(D258,'Same Seller Hist'!H:H,'Same Seller Hist'!H:H)),"Não","Sim")</f>
        <v>Sim</v>
      </c>
      <c r="R258" s="21" t="str">
        <f>_xlfn.IFNA(_xlfn.XLOOKUP(D258,'Same Seller Hist'!D:D,'Same Seller Hist'!M:M),"Não Existe")</f>
        <v>Ativo</v>
      </c>
    </row>
    <row r="259" spans="3:18" x14ac:dyDescent="0.35">
      <c r="C259" s="18">
        <v>45992</v>
      </c>
      <c r="D259" s="5" t="s">
        <v>673</v>
      </c>
      <c r="E259" s="5" t="s">
        <v>908</v>
      </c>
      <c r="F259" s="5" t="s">
        <v>2065</v>
      </c>
      <c r="G259" s="5" t="s">
        <v>2118</v>
      </c>
      <c r="H259" s="21" t="str">
        <f t="shared" si="24"/>
        <v>k</v>
      </c>
      <c r="I259" s="22">
        <f t="shared" si="25"/>
        <v>10300</v>
      </c>
      <c r="J259" s="21" t="str">
        <f t="shared" si="26"/>
        <v>m</v>
      </c>
      <c r="K259" s="23">
        <f t="shared" si="27"/>
        <v>1100000</v>
      </c>
      <c r="L259" s="21">
        <v>5.3</v>
      </c>
      <c r="M259" s="22">
        <f t="shared" si="28"/>
        <v>31</v>
      </c>
      <c r="N259" s="23">
        <f t="shared" si="29"/>
        <v>35483.870967741932</v>
      </c>
      <c r="O259" s="23">
        <f t="shared" si="30"/>
        <v>332.25806451612902</v>
      </c>
      <c r="P259" s="23">
        <f t="shared" si="31"/>
        <v>106.79611650485437</v>
      </c>
      <c r="Q259" s="21" t="str">
        <f>IF(ISNA(_xlfn.XLOOKUP(D259,'Same Seller Hist'!H:H,'Same Seller Hist'!H:H)),"Não","Sim")</f>
        <v>Sim</v>
      </c>
      <c r="R259" s="21" t="str">
        <f>_xlfn.IFNA(_xlfn.XLOOKUP(D259,'Same Seller Hist'!D:D,'Same Seller Hist'!M:M),"Não Existe")</f>
        <v>Ativo</v>
      </c>
    </row>
    <row r="260" spans="3:18" hidden="1" x14ac:dyDescent="0.35">
      <c r="C260" s="18">
        <v>45992</v>
      </c>
      <c r="D260" s="5" t="s">
        <v>1823</v>
      </c>
      <c r="E260" s="5" t="s">
        <v>975</v>
      </c>
      <c r="F260" s="5" t="s">
        <v>2065</v>
      </c>
      <c r="G260" s="5" t="s">
        <v>2293</v>
      </c>
      <c r="H260" s="21" t="str">
        <f t="shared" si="24"/>
        <v>k</v>
      </c>
      <c r="I260" s="22">
        <f t="shared" si="25"/>
        <v>10300</v>
      </c>
      <c r="J260" s="21" t="str">
        <f t="shared" si="26"/>
        <v>k</v>
      </c>
      <c r="K260" s="23">
        <f t="shared" si="27"/>
        <v>596900</v>
      </c>
      <c r="L260" s="21">
        <v>5.3</v>
      </c>
      <c r="M260" s="22">
        <f t="shared" si="28"/>
        <v>31</v>
      </c>
      <c r="N260" s="23">
        <f t="shared" si="29"/>
        <v>19254.83870967742</v>
      </c>
      <c r="O260" s="23">
        <f t="shared" si="30"/>
        <v>332.25806451612902</v>
      </c>
      <c r="P260" s="23">
        <f t="shared" si="31"/>
        <v>57.951456310679617</v>
      </c>
      <c r="Q260" s="21" t="str">
        <f>IF(ISNA(_xlfn.XLOOKUP(D260,'Same Seller Hist'!H:H,'Same Seller Hist'!H:H)),"Não","Sim")</f>
        <v>Não</v>
      </c>
      <c r="R260" s="21" t="str">
        <f>_xlfn.IFNA(_xlfn.XLOOKUP(D260,'Same Seller Hist'!D:D,'Same Seller Hist'!M:M),"Não Existe")</f>
        <v>Não Existe</v>
      </c>
    </row>
    <row r="261" spans="3:18" hidden="1" x14ac:dyDescent="0.35">
      <c r="C261" s="18">
        <v>45992</v>
      </c>
      <c r="D261" s="5" t="s">
        <v>1824</v>
      </c>
      <c r="E261" s="5" t="s">
        <v>908</v>
      </c>
      <c r="F261" s="5" t="s">
        <v>2065</v>
      </c>
      <c r="G261" s="5" t="s">
        <v>2294</v>
      </c>
      <c r="H261" s="21" t="str">
        <f t="shared" si="24"/>
        <v>k</v>
      </c>
      <c r="I261" s="22">
        <f t="shared" si="25"/>
        <v>10300</v>
      </c>
      <c r="J261" s="21" t="str">
        <f t="shared" si="26"/>
        <v>k</v>
      </c>
      <c r="K261" s="23">
        <f t="shared" si="27"/>
        <v>422600</v>
      </c>
      <c r="L261" s="21">
        <v>5.3</v>
      </c>
      <c r="M261" s="22">
        <f t="shared" si="28"/>
        <v>31</v>
      </c>
      <c r="N261" s="23">
        <f t="shared" si="29"/>
        <v>13632.258064516129</v>
      </c>
      <c r="O261" s="23">
        <f t="shared" si="30"/>
        <v>332.25806451612902</v>
      </c>
      <c r="P261" s="23">
        <f t="shared" si="31"/>
        <v>41.029126213592235</v>
      </c>
      <c r="Q261" s="21" t="str">
        <f>IF(ISNA(_xlfn.XLOOKUP(D261,'Same Seller Hist'!H:H,'Same Seller Hist'!H:H)),"Não","Sim")</f>
        <v>Não</v>
      </c>
      <c r="R261" s="21" t="str">
        <f>_xlfn.IFNA(_xlfn.XLOOKUP(D261,'Same Seller Hist'!D:D,'Same Seller Hist'!M:M),"Não Existe")</f>
        <v>Não Existe</v>
      </c>
    </row>
    <row r="262" spans="3:18" x14ac:dyDescent="0.35">
      <c r="C262" s="18">
        <v>45992</v>
      </c>
      <c r="D262" s="5" t="s">
        <v>466</v>
      </c>
      <c r="E262" s="5" t="s">
        <v>1037</v>
      </c>
      <c r="F262" s="5" t="s">
        <v>2065</v>
      </c>
      <c r="G262" s="5" t="s">
        <v>2295</v>
      </c>
      <c r="H262" s="21" t="str">
        <f t="shared" si="24"/>
        <v>k</v>
      </c>
      <c r="I262" s="22">
        <f t="shared" si="25"/>
        <v>10300</v>
      </c>
      <c r="J262" s="21" t="str">
        <f t="shared" si="26"/>
        <v>k</v>
      </c>
      <c r="K262" s="23">
        <f t="shared" si="27"/>
        <v>558800</v>
      </c>
      <c r="L262" s="21">
        <v>5.3</v>
      </c>
      <c r="M262" s="22">
        <f t="shared" si="28"/>
        <v>31</v>
      </c>
      <c r="N262" s="23">
        <f t="shared" si="29"/>
        <v>18025.806451612902</v>
      </c>
      <c r="O262" s="23">
        <f t="shared" si="30"/>
        <v>332.25806451612902</v>
      </c>
      <c r="P262" s="23">
        <f t="shared" si="31"/>
        <v>54.252427184466015</v>
      </c>
      <c r="Q262" s="21" t="str">
        <f>IF(ISNA(_xlfn.XLOOKUP(D262,'Same Seller Hist'!H:H,'Same Seller Hist'!H:H)),"Não","Sim")</f>
        <v>Sim</v>
      </c>
      <c r="R262" s="21" t="str">
        <f>_xlfn.IFNA(_xlfn.XLOOKUP(D262,'Same Seller Hist'!D:D,'Same Seller Hist'!M:M),"Não Existe")</f>
        <v>Ativo</v>
      </c>
    </row>
    <row r="263" spans="3:18" x14ac:dyDescent="0.35">
      <c r="C263" s="18">
        <v>45992</v>
      </c>
      <c r="D263" s="5" t="s">
        <v>351</v>
      </c>
      <c r="E263" s="5" t="s">
        <v>913</v>
      </c>
      <c r="F263" s="5" t="s">
        <v>2066</v>
      </c>
      <c r="G263" s="5" t="s">
        <v>2296</v>
      </c>
      <c r="H263" s="21" t="str">
        <f t="shared" si="24"/>
        <v>k</v>
      </c>
      <c r="I263" s="22">
        <f t="shared" si="25"/>
        <v>10200</v>
      </c>
      <c r="J263" s="21" t="str">
        <f t="shared" si="26"/>
        <v>k</v>
      </c>
      <c r="K263" s="23">
        <f t="shared" si="27"/>
        <v>352400</v>
      </c>
      <c r="L263" s="21">
        <v>5.3</v>
      </c>
      <c r="M263" s="22">
        <f t="shared" si="28"/>
        <v>31</v>
      </c>
      <c r="N263" s="23">
        <f t="shared" si="29"/>
        <v>11367.741935483871</v>
      </c>
      <c r="O263" s="23">
        <f t="shared" si="30"/>
        <v>329.03225806451616</v>
      </c>
      <c r="P263" s="23">
        <f t="shared" si="31"/>
        <v>34.549019607843135</v>
      </c>
      <c r="Q263" s="21" t="str">
        <f>IF(ISNA(_xlfn.XLOOKUP(D263,'Same Seller Hist'!H:H,'Same Seller Hist'!H:H)),"Não","Sim")</f>
        <v>Sim</v>
      </c>
      <c r="R263" s="21" t="str">
        <f>_xlfn.IFNA(_xlfn.XLOOKUP(D263,'Same Seller Hist'!D:D,'Same Seller Hist'!M:M),"Não Existe")</f>
        <v>Ativo</v>
      </c>
    </row>
    <row r="264" spans="3:18" hidden="1" x14ac:dyDescent="0.35">
      <c r="C264" s="18">
        <v>45992</v>
      </c>
      <c r="D264" s="5" t="s">
        <v>1825</v>
      </c>
      <c r="E264" s="5" t="s">
        <v>910</v>
      </c>
      <c r="F264" s="5" t="s">
        <v>2066</v>
      </c>
      <c r="G264" s="5" t="s">
        <v>2121</v>
      </c>
      <c r="H264" s="21" t="str">
        <f t="shared" si="24"/>
        <v>k</v>
      </c>
      <c r="I264" s="22">
        <f t="shared" si="25"/>
        <v>10200</v>
      </c>
      <c r="J264" s="21" t="str">
        <f t="shared" si="26"/>
        <v>m</v>
      </c>
      <c r="K264" s="23">
        <f t="shared" si="27"/>
        <v>1400000</v>
      </c>
      <c r="L264" s="21">
        <v>5.3</v>
      </c>
      <c r="M264" s="22">
        <f t="shared" si="28"/>
        <v>31</v>
      </c>
      <c r="N264" s="23">
        <f t="shared" si="29"/>
        <v>45161.290322580644</v>
      </c>
      <c r="O264" s="23">
        <f t="shared" si="30"/>
        <v>329.03225806451616</v>
      </c>
      <c r="P264" s="23">
        <f t="shared" si="31"/>
        <v>137.25490196078431</v>
      </c>
      <c r="Q264" s="21" t="str">
        <f>IF(ISNA(_xlfn.XLOOKUP(D264,'Same Seller Hist'!H:H,'Same Seller Hist'!H:H)),"Não","Sim")</f>
        <v>Não</v>
      </c>
      <c r="R264" s="21" t="str">
        <f>_xlfn.IFNA(_xlfn.XLOOKUP(D264,'Same Seller Hist'!D:D,'Same Seller Hist'!M:M),"Não Existe")</f>
        <v>Não Existe</v>
      </c>
    </row>
    <row r="265" spans="3:18" x14ac:dyDescent="0.35">
      <c r="C265" s="18">
        <v>45992</v>
      </c>
      <c r="D265" s="5" t="s">
        <v>588</v>
      </c>
      <c r="E265" s="5" t="s">
        <v>908</v>
      </c>
      <c r="F265" s="5" t="s">
        <v>2066</v>
      </c>
      <c r="G265" s="5" t="s">
        <v>2297</v>
      </c>
      <c r="H265" s="21" t="str">
        <f t="shared" ref="H265:H328" si="32">RIGHT(F265,1)</f>
        <v>k</v>
      </c>
      <c r="I265" s="22">
        <f t="shared" ref="I265:I328" si="33">VALUE(SUBSTITUTE(_xlfn.REGEXREPLACE(F265,"[^0-9.]",""),".",",")) * IF(H265="m",1000000,IF(H265="k",1000,"Erro"))</f>
        <v>10200</v>
      </c>
      <c r="J265" s="21" t="str">
        <f t="shared" ref="J265:J328" si="34">RIGHT(G265,1)</f>
        <v>k</v>
      </c>
      <c r="K265" s="23">
        <f t="shared" ref="K265:K328" si="35">VALUE(SUBSTITUTE(_xlfn.REGEXREPLACE(G265,"[^0-9.]",""),".",",")) * IF(J265="m",1000000,IF(J265="k",1000,"Erro"))</f>
        <v>265900</v>
      </c>
      <c r="L265" s="21">
        <v>5.3</v>
      </c>
      <c r="M265" s="22">
        <f t="shared" ref="M265:M328" si="36">DAY(EOMONTH(C265,0))</f>
        <v>31</v>
      </c>
      <c r="N265" s="23">
        <f t="shared" ref="N265:N328" si="37">K265/M265</f>
        <v>8577.4193548387102</v>
      </c>
      <c r="O265" s="23">
        <f t="shared" ref="O265:O328" si="38">I265/M265</f>
        <v>329.03225806451616</v>
      </c>
      <c r="P265" s="23">
        <f t="shared" ref="P265:P328" si="39">N265/O265</f>
        <v>26.06862745098039</v>
      </c>
      <c r="Q265" s="21" t="str">
        <f>IF(ISNA(_xlfn.XLOOKUP(D265,'Same Seller Hist'!H:H,'Same Seller Hist'!H:H)),"Não","Sim")</f>
        <v>Sim</v>
      </c>
      <c r="R265" s="21" t="str">
        <f>_xlfn.IFNA(_xlfn.XLOOKUP(D265,'Same Seller Hist'!D:D,'Same Seller Hist'!M:M),"Não Existe")</f>
        <v>Ativo</v>
      </c>
    </row>
    <row r="266" spans="3:18" hidden="1" x14ac:dyDescent="0.35">
      <c r="C266" s="18">
        <v>45992</v>
      </c>
      <c r="D266" s="5" t="s">
        <v>216</v>
      </c>
      <c r="E266" s="5" t="s">
        <v>913</v>
      </c>
      <c r="F266" s="5" t="s">
        <v>2066</v>
      </c>
      <c r="G266" s="5" t="s">
        <v>2298</v>
      </c>
      <c r="H266" s="21" t="str">
        <f t="shared" si="32"/>
        <v>k</v>
      </c>
      <c r="I266" s="22">
        <f t="shared" si="33"/>
        <v>10200</v>
      </c>
      <c r="J266" s="21" t="str">
        <f t="shared" si="34"/>
        <v>k</v>
      </c>
      <c r="K266" s="23">
        <f t="shared" si="35"/>
        <v>260300</v>
      </c>
      <c r="L266" s="21">
        <v>5.3</v>
      </c>
      <c r="M266" s="22">
        <f t="shared" si="36"/>
        <v>31</v>
      </c>
      <c r="N266" s="23">
        <f t="shared" si="37"/>
        <v>8396.7741935483864</v>
      </c>
      <c r="O266" s="23">
        <f t="shared" si="38"/>
        <v>329.03225806451616</v>
      </c>
      <c r="P266" s="23">
        <f t="shared" si="39"/>
        <v>25.519607843137251</v>
      </c>
      <c r="Q266" s="21" t="str">
        <f>IF(ISNA(_xlfn.XLOOKUP(D266,'Same Seller Hist'!H:H,'Same Seller Hist'!H:H)),"Não","Sim")</f>
        <v>Não</v>
      </c>
      <c r="R266" s="21" t="str">
        <f>_xlfn.IFNA(_xlfn.XLOOKUP(D266,'Same Seller Hist'!D:D,'Same Seller Hist'!M:M),"Não Existe")</f>
        <v>Ativo</v>
      </c>
    </row>
    <row r="267" spans="3:18" hidden="1" x14ac:dyDescent="0.35">
      <c r="C267" s="18">
        <v>45992</v>
      </c>
      <c r="D267" s="5" t="s">
        <v>280</v>
      </c>
      <c r="E267" s="5" t="s">
        <v>908</v>
      </c>
      <c r="F267" s="5" t="s">
        <v>2066</v>
      </c>
      <c r="G267" s="5" t="s">
        <v>2299</v>
      </c>
      <c r="H267" s="21" t="str">
        <f t="shared" si="32"/>
        <v>k</v>
      </c>
      <c r="I267" s="22">
        <f t="shared" si="33"/>
        <v>10200</v>
      </c>
      <c r="J267" s="21" t="str">
        <f t="shared" si="34"/>
        <v>k</v>
      </c>
      <c r="K267" s="23">
        <f t="shared" si="35"/>
        <v>412300</v>
      </c>
      <c r="L267" s="21">
        <v>5.3</v>
      </c>
      <c r="M267" s="22">
        <f t="shared" si="36"/>
        <v>31</v>
      </c>
      <c r="N267" s="23">
        <f t="shared" si="37"/>
        <v>13300</v>
      </c>
      <c r="O267" s="23">
        <f t="shared" si="38"/>
        <v>329.03225806451616</v>
      </c>
      <c r="P267" s="23">
        <f t="shared" si="39"/>
        <v>40.421568627450974</v>
      </c>
      <c r="Q267" s="21" t="str">
        <f>IF(ISNA(_xlfn.XLOOKUP(D267,'Same Seller Hist'!H:H,'Same Seller Hist'!H:H)),"Não","Sim")</f>
        <v>Não</v>
      </c>
      <c r="R267" s="21" t="str">
        <f>_xlfn.IFNA(_xlfn.XLOOKUP(D267,'Same Seller Hist'!D:D,'Same Seller Hist'!M:M),"Não Existe")</f>
        <v>Ativo</v>
      </c>
    </row>
    <row r="268" spans="3:18" x14ac:dyDescent="0.35">
      <c r="C268" s="18">
        <v>45992</v>
      </c>
      <c r="D268" s="5" t="s">
        <v>454</v>
      </c>
      <c r="E268" s="5" t="s">
        <v>926</v>
      </c>
      <c r="F268" s="5" t="s">
        <v>2067</v>
      </c>
      <c r="G268" s="5" t="s">
        <v>2300</v>
      </c>
      <c r="H268" s="21" t="str">
        <f t="shared" si="32"/>
        <v>k</v>
      </c>
      <c r="I268" s="22">
        <f t="shared" si="33"/>
        <v>10100</v>
      </c>
      <c r="J268" s="21" t="str">
        <f t="shared" si="34"/>
        <v>k</v>
      </c>
      <c r="K268" s="23">
        <f t="shared" si="35"/>
        <v>109000</v>
      </c>
      <c r="L268" s="21">
        <v>5.3</v>
      </c>
      <c r="M268" s="22">
        <f t="shared" si="36"/>
        <v>31</v>
      </c>
      <c r="N268" s="23">
        <f t="shared" si="37"/>
        <v>3516.1290322580644</v>
      </c>
      <c r="O268" s="23">
        <f t="shared" si="38"/>
        <v>325.80645161290323</v>
      </c>
      <c r="P268" s="23">
        <f t="shared" si="39"/>
        <v>10.792079207920791</v>
      </c>
      <c r="Q268" s="21" t="str">
        <f>IF(ISNA(_xlfn.XLOOKUP(D268,'Same Seller Hist'!H:H,'Same Seller Hist'!H:H)),"Não","Sim")</f>
        <v>Sim</v>
      </c>
      <c r="R268" s="21" t="str">
        <f>_xlfn.IFNA(_xlfn.XLOOKUP(D268,'Same Seller Hist'!D:D,'Same Seller Hist'!M:M),"Não Existe")</f>
        <v>Ativo</v>
      </c>
    </row>
    <row r="269" spans="3:18" x14ac:dyDescent="0.35">
      <c r="C269" s="18">
        <v>45992</v>
      </c>
      <c r="D269" s="5" t="s">
        <v>273</v>
      </c>
      <c r="E269" s="5" t="s">
        <v>942</v>
      </c>
      <c r="F269" s="5" t="s">
        <v>2067</v>
      </c>
      <c r="G269" s="5" t="s">
        <v>2301</v>
      </c>
      <c r="H269" s="21" t="str">
        <f t="shared" si="32"/>
        <v>k</v>
      </c>
      <c r="I269" s="22">
        <f t="shared" si="33"/>
        <v>10100</v>
      </c>
      <c r="J269" s="21" t="str">
        <f t="shared" si="34"/>
        <v>k</v>
      </c>
      <c r="K269" s="23">
        <f t="shared" si="35"/>
        <v>380900</v>
      </c>
      <c r="L269" s="21">
        <v>5.3</v>
      </c>
      <c r="M269" s="22">
        <f t="shared" si="36"/>
        <v>31</v>
      </c>
      <c r="N269" s="23">
        <f t="shared" si="37"/>
        <v>12287.096774193549</v>
      </c>
      <c r="O269" s="23">
        <f t="shared" si="38"/>
        <v>325.80645161290323</v>
      </c>
      <c r="P269" s="23">
        <f t="shared" si="39"/>
        <v>37.712871287128714</v>
      </c>
      <c r="Q269" s="21" t="str">
        <f>IF(ISNA(_xlfn.XLOOKUP(D269,'Same Seller Hist'!H:H,'Same Seller Hist'!H:H)),"Não","Sim")</f>
        <v>Sim</v>
      </c>
      <c r="R269" s="21" t="str">
        <f>_xlfn.IFNA(_xlfn.XLOOKUP(D269,'Same Seller Hist'!D:D,'Same Seller Hist'!M:M),"Não Existe")</f>
        <v>Ativo</v>
      </c>
    </row>
    <row r="270" spans="3:18" hidden="1" x14ac:dyDescent="0.35">
      <c r="C270" s="18">
        <v>45992</v>
      </c>
      <c r="D270" s="5" t="s">
        <v>215</v>
      </c>
      <c r="E270" s="5" t="s">
        <v>939</v>
      </c>
      <c r="F270" s="5" t="s">
        <v>2067</v>
      </c>
      <c r="G270" s="5" t="s">
        <v>2302</v>
      </c>
      <c r="H270" s="21" t="str">
        <f t="shared" si="32"/>
        <v>k</v>
      </c>
      <c r="I270" s="22">
        <f t="shared" si="33"/>
        <v>10100</v>
      </c>
      <c r="J270" s="21" t="str">
        <f t="shared" si="34"/>
        <v>k</v>
      </c>
      <c r="K270" s="23">
        <f t="shared" si="35"/>
        <v>285200</v>
      </c>
      <c r="L270" s="21">
        <v>5.3</v>
      </c>
      <c r="M270" s="22">
        <f t="shared" si="36"/>
        <v>31</v>
      </c>
      <c r="N270" s="23">
        <f t="shared" si="37"/>
        <v>9200</v>
      </c>
      <c r="O270" s="23">
        <f t="shared" si="38"/>
        <v>325.80645161290323</v>
      </c>
      <c r="P270" s="23">
        <f t="shared" si="39"/>
        <v>28.237623762376238</v>
      </c>
      <c r="Q270" s="21" t="str">
        <f>IF(ISNA(_xlfn.XLOOKUP(D270,'Same Seller Hist'!H:H,'Same Seller Hist'!H:H)),"Não","Sim")</f>
        <v>Não</v>
      </c>
      <c r="R270" s="21" t="str">
        <f>_xlfn.IFNA(_xlfn.XLOOKUP(D270,'Same Seller Hist'!D:D,'Same Seller Hist'!M:M),"Não Existe")</f>
        <v>Ativo</v>
      </c>
    </row>
    <row r="271" spans="3:18" x14ac:dyDescent="0.35">
      <c r="C271" s="18">
        <v>45992</v>
      </c>
      <c r="D271" s="5" t="s">
        <v>671</v>
      </c>
      <c r="E271" s="5" t="s">
        <v>918</v>
      </c>
      <c r="F271" s="5" t="s">
        <v>2067</v>
      </c>
      <c r="G271" s="5" t="s">
        <v>2303</v>
      </c>
      <c r="H271" s="21" t="str">
        <f t="shared" si="32"/>
        <v>k</v>
      </c>
      <c r="I271" s="22">
        <f t="shared" si="33"/>
        <v>10100</v>
      </c>
      <c r="J271" s="21" t="str">
        <f t="shared" si="34"/>
        <v>k</v>
      </c>
      <c r="K271" s="23">
        <f t="shared" si="35"/>
        <v>651300</v>
      </c>
      <c r="L271" s="21">
        <v>5.3</v>
      </c>
      <c r="M271" s="22">
        <f t="shared" si="36"/>
        <v>31</v>
      </c>
      <c r="N271" s="23">
        <f t="shared" si="37"/>
        <v>21009.677419354837</v>
      </c>
      <c r="O271" s="23">
        <f t="shared" si="38"/>
        <v>325.80645161290323</v>
      </c>
      <c r="P271" s="23">
        <f t="shared" si="39"/>
        <v>64.485148514851474</v>
      </c>
      <c r="Q271" s="21" t="str">
        <f>IF(ISNA(_xlfn.XLOOKUP(D271,'Same Seller Hist'!H:H,'Same Seller Hist'!H:H)),"Não","Sim")</f>
        <v>Sim</v>
      </c>
      <c r="R271" s="21" t="str">
        <f>_xlfn.IFNA(_xlfn.XLOOKUP(D271,'Same Seller Hist'!D:D,'Same Seller Hist'!M:M),"Não Existe")</f>
        <v>Ativo</v>
      </c>
    </row>
    <row r="272" spans="3:18" hidden="1" x14ac:dyDescent="0.35">
      <c r="C272" s="18">
        <v>45992</v>
      </c>
      <c r="D272" s="5" t="s">
        <v>498</v>
      </c>
      <c r="E272" s="5" t="s">
        <v>910</v>
      </c>
      <c r="F272" s="5" t="s">
        <v>2068</v>
      </c>
      <c r="G272" s="5" t="s">
        <v>2304</v>
      </c>
      <c r="H272" s="21" t="str">
        <f t="shared" si="32"/>
        <v>k</v>
      </c>
      <c r="I272" s="22">
        <f t="shared" si="33"/>
        <v>10000</v>
      </c>
      <c r="J272" s="21" t="str">
        <f t="shared" si="34"/>
        <v>k</v>
      </c>
      <c r="K272" s="23">
        <f t="shared" si="35"/>
        <v>172700</v>
      </c>
      <c r="L272" s="21">
        <v>5.3</v>
      </c>
      <c r="M272" s="22">
        <f t="shared" si="36"/>
        <v>31</v>
      </c>
      <c r="N272" s="23">
        <f t="shared" si="37"/>
        <v>5570.9677419354839</v>
      </c>
      <c r="O272" s="23">
        <f t="shared" si="38"/>
        <v>322.58064516129031</v>
      </c>
      <c r="P272" s="23">
        <f t="shared" si="39"/>
        <v>17.27</v>
      </c>
      <c r="Q272" s="21" t="str">
        <f>IF(ISNA(_xlfn.XLOOKUP(D272,'Same Seller Hist'!H:H,'Same Seller Hist'!H:H)),"Não","Sim")</f>
        <v>Não</v>
      </c>
      <c r="R272" s="21" t="str">
        <f>_xlfn.IFNA(_xlfn.XLOOKUP(D272,'Same Seller Hist'!D:D,'Same Seller Hist'!M:M),"Não Existe")</f>
        <v>Ativo</v>
      </c>
    </row>
    <row r="273" spans="3:18" x14ac:dyDescent="0.35">
      <c r="C273" s="18">
        <v>45992</v>
      </c>
      <c r="D273" s="5" t="s">
        <v>77</v>
      </c>
      <c r="E273" s="5" t="s">
        <v>933</v>
      </c>
      <c r="F273" s="5" t="s">
        <v>2068</v>
      </c>
      <c r="G273" s="5" t="s">
        <v>2305</v>
      </c>
      <c r="H273" s="21" t="str">
        <f t="shared" si="32"/>
        <v>k</v>
      </c>
      <c r="I273" s="22">
        <f t="shared" si="33"/>
        <v>10000</v>
      </c>
      <c r="J273" s="21" t="str">
        <f t="shared" si="34"/>
        <v>k</v>
      </c>
      <c r="K273" s="23">
        <f t="shared" si="35"/>
        <v>525700</v>
      </c>
      <c r="L273" s="21">
        <v>5.3</v>
      </c>
      <c r="M273" s="22">
        <f t="shared" si="36"/>
        <v>31</v>
      </c>
      <c r="N273" s="23">
        <f t="shared" si="37"/>
        <v>16958.064516129034</v>
      </c>
      <c r="O273" s="23">
        <f t="shared" si="38"/>
        <v>322.58064516129031</v>
      </c>
      <c r="P273" s="23">
        <f t="shared" si="39"/>
        <v>52.570000000000007</v>
      </c>
      <c r="Q273" s="21" t="str">
        <f>IF(ISNA(_xlfn.XLOOKUP(D273,'Same Seller Hist'!H:H,'Same Seller Hist'!H:H)),"Não","Sim")</f>
        <v>Sim</v>
      </c>
      <c r="R273" s="21" t="str">
        <f>_xlfn.IFNA(_xlfn.XLOOKUP(D273,'Same Seller Hist'!D:D,'Same Seller Hist'!M:M),"Não Existe")</f>
        <v>Ativo</v>
      </c>
    </row>
    <row r="274" spans="3:18" hidden="1" x14ac:dyDescent="0.35">
      <c r="C274" s="18">
        <v>45992</v>
      </c>
      <c r="D274" s="5" t="s">
        <v>1826</v>
      </c>
      <c r="E274" s="5" t="s">
        <v>924</v>
      </c>
      <c r="F274" s="5" t="s">
        <v>2068</v>
      </c>
      <c r="G274" s="5" t="s">
        <v>2306</v>
      </c>
      <c r="H274" s="21" t="str">
        <f t="shared" si="32"/>
        <v>k</v>
      </c>
      <c r="I274" s="22">
        <f t="shared" si="33"/>
        <v>10000</v>
      </c>
      <c r="J274" s="21" t="str">
        <f t="shared" si="34"/>
        <v>k</v>
      </c>
      <c r="K274" s="23">
        <f t="shared" si="35"/>
        <v>131900</v>
      </c>
      <c r="L274" s="21">
        <v>5.3</v>
      </c>
      <c r="M274" s="22">
        <f t="shared" si="36"/>
        <v>31</v>
      </c>
      <c r="N274" s="23">
        <f t="shared" si="37"/>
        <v>4254.8387096774195</v>
      </c>
      <c r="O274" s="23">
        <f t="shared" si="38"/>
        <v>322.58064516129031</v>
      </c>
      <c r="P274" s="23">
        <f t="shared" si="39"/>
        <v>13.190000000000001</v>
      </c>
      <c r="Q274" s="21" t="str">
        <f>IF(ISNA(_xlfn.XLOOKUP(D274,'Same Seller Hist'!H:H,'Same Seller Hist'!H:H)),"Não","Sim")</f>
        <v>Não</v>
      </c>
      <c r="R274" s="21" t="str">
        <f>_xlfn.IFNA(_xlfn.XLOOKUP(D274,'Same Seller Hist'!D:D,'Same Seller Hist'!M:M),"Não Existe")</f>
        <v>Não Existe</v>
      </c>
    </row>
    <row r="275" spans="3:18" x14ac:dyDescent="0.35">
      <c r="C275" s="18">
        <v>45992</v>
      </c>
      <c r="D275" s="5" t="s">
        <v>154</v>
      </c>
      <c r="E275" s="5" t="s">
        <v>941</v>
      </c>
      <c r="F275" s="5" t="s">
        <v>2068</v>
      </c>
      <c r="G275" s="5" t="s">
        <v>2307</v>
      </c>
      <c r="H275" s="21" t="str">
        <f t="shared" si="32"/>
        <v>k</v>
      </c>
      <c r="I275" s="22">
        <f t="shared" si="33"/>
        <v>10000</v>
      </c>
      <c r="J275" s="21" t="str">
        <f t="shared" si="34"/>
        <v>k</v>
      </c>
      <c r="K275" s="23">
        <f t="shared" si="35"/>
        <v>509900</v>
      </c>
      <c r="L275" s="21">
        <v>5.3</v>
      </c>
      <c r="M275" s="22">
        <f t="shared" si="36"/>
        <v>31</v>
      </c>
      <c r="N275" s="23">
        <f t="shared" si="37"/>
        <v>16448.387096774193</v>
      </c>
      <c r="O275" s="23">
        <f t="shared" si="38"/>
        <v>322.58064516129031</v>
      </c>
      <c r="P275" s="23">
        <f t="shared" si="39"/>
        <v>50.99</v>
      </c>
      <c r="Q275" s="21" t="str">
        <f>IF(ISNA(_xlfn.XLOOKUP(D275,'Same Seller Hist'!H:H,'Same Seller Hist'!H:H)),"Não","Sim")</f>
        <v>Sim</v>
      </c>
      <c r="R275" s="21" t="str">
        <f>_xlfn.IFNA(_xlfn.XLOOKUP(D275,'Same Seller Hist'!D:D,'Same Seller Hist'!M:M),"Não Existe")</f>
        <v>Ativo</v>
      </c>
    </row>
    <row r="276" spans="3:18" x14ac:dyDescent="0.35">
      <c r="C276" s="18">
        <v>45992</v>
      </c>
      <c r="D276" s="5" t="s">
        <v>281</v>
      </c>
      <c r="E276" s="5" t="s">
        <v>908</v>
      </c>
      <c r="F276" s="5" t="s">
        <v>2069</v>
      </c>
      <c r="G276" s="5" t="s">
        <v>2308</v>
      </c>
      <c r="H276" s="21" t="str">
        <f t="shared" si="32"/>
        <v>k</v>
      </c>
      <c r="I276" s="22">
        <f t="shared" si="33"/>
        <v>9900</v>
      </c>
      <c r="J276" s="21" t="str">
        <f t="shared" si="34"/>
        <v>k</v>
      </c>
      <c r="K276" s="23">
        <f t="shared" si="35"/>
        <v>428700</v>
      </c>
      <c r="L276" s="21">
        <v>5.3</v>
      </c>
      <c r="M276" s="22">
        <f t="shared" si="36"/>
        <v>31</v>
      </c>
      <c r="N276" s="23">
        <f t="shared" si="37"/>
        <v>13829.032258064517</v>
      </c>
      <c r="O276" s="23">
        <f t="shared" si="38"/>
        <v>319.35483870967744</v>
      </c>
      <c r="P276" s="23">
        <f t="shared" si="39"/>
        <v>43.303030303030305</v>
      </c>
      <c r="Q276" s="21" t="str">
        <f>IF(ISNA(_xlfn.XLOOKUP(D276,'Same Seller Hist'!H:H,'Same Seller Hist'!H:H)),"Não","Sim")</f>
        <v>Sim</v>
      </c>
      <c r="R276" s="21" t="str">
        <f>_xlfn.IFNA(_xlfn.XLOOKUP(D276,'Same Seller Hist'!D:D,'Same Seller Hist'!M:M),"Não Existe")</f>
        <v>Ativo</v>
      </c>
    </row>
    <row r="277" spans="3:18" hidden="1" x14ac:dyDescent="0.35">
      <c r="C277" s="18">
        <v>45992</v>
      </c>
      <c r="D277" s="5" t="s">
        <v>1827</v>
      </c>
      <c r="E277" s="5" t="s">
        <v>918</v>
      </c>
      <c r="F277" s="5" t="s">
        <v>2069</v>
      </c>
      <c r="G277" s="5" t="s">
        <v>2309</v>
      </c>
      <c r="H277" s="21" t="str">
        <f t="shared" si="32"/>
        <v>k</v>
      </c>
      <c r="I277" s="22">
        <f t="shared" si="33"/>
        <v>9900</v>
      </c>
      <c r="J277" s="21" t="str">
        <f t="shared" si="34"/>
        <v>k</v>
      </c>
      <c r="K277" s="23">
        <f t="shared" si="35"/>
        <v>811000</v>
      </c>
      <c r="L277" s="21">
        <v>5.3</v>
      </c>
      <c r="M277" s="22">
        <f t="shared" si="36"/>
        <v>31</v>
      </c>
      <c r="N277" s="23">
        <f t="shared" si="37"/>
        <v>26161.290322580644</v>
      </c>
      <c r="O277" s="23">
        <f t="shared" si="38"/>
        <v>319.35483870967744</v>
      </c>
      <c r="P277" s="23">
        <f t="shared" si="39"/>
        <v>81.919191919191917</v>
      </c>
      <c r="Q277" s="21" t="str">
        <f>IF(ISNA(_xlfn.XLOOKUP(D277,'Same Seller Hist'!H:H,'Same Seller Hist'!H:H)),"Não","Sim")</f>
        <v>Não</v>
      </c>
      <c r="R277" s="21" t="str">
        <f>_xlfn.IFNA(_xlfn.XLOOKUP(D277,'Same Seller Hist'!D:D,'Same Seller Hist'!M:M),"Não Existe")</f>
        <v>Não Existe</v>
      </c>
    </row>
    <row r="278" spans="3:18" x14ac:dyDescent="0.35">
      <c r="C278" s="18">
        <v>45992</v>
      </c>
      <c r="D278" s="5" t="s">
        <v>533</v>
      </c>
      <c r="E278" s="5" t="s">
        <v>908</v>
      </c>
      <c r="F278" s="5" t="s">
        <v>2069</v>
      </c>
      <c r="G278" s="5" t="s">
        <v>2310</v>
      </c>
      <c r="H278" s="21" t="str">
        <f t="shared" si="32"/>
        <v>k</v>
      </c>
      <c r="I278" s="22">
        <f t="shared" si="33"/>
        <v>9900</v>
      </c>
      <c r="J278" s="21" t="str">
        <f t="shared" si="34"/>
        <v>k</v>
      </c>
      <c r="K278" s="23">
        <f t="shared" si="35"/>
        <v>268100</v>
      </c>
      <c r="L278" s="21">
        <v>5.3</v>
      </c>
      <c r="M278" s="22">
        <f t="shared" si="36"/>
        <v>31</v>
      </c>
      <c r="N278" s="23">
        <f t="shared" si="37"/>
        <v>8648.3870967741932</v>
      </c>
      <c r="O278" s="23">
        <f t="shared" si="38"/>
        <v>319.35483870967744</v>
      </c>
      <c r="P278" s="23">
        <f t="shared" si="39"/>
        <v>27.08080808080808</v>
      </c>
      <c r="Q278" s="21" t="str">
        <f>IF(ISNA(_xlfn.XLOOKUP(D278,'Same Seller Hist'!H:H,'Same Seller Hist'!H:H)),"Não","Sim")</f>
        <v>Sim</v>
      </c>
      <c r="R278" s="21" t="str">
        <f>_xlfn.IFNA(_xlfn.XLOOKUP(D278,'Same Seller Hist'!D:D,'Same Seller Hist'!M:M),"Não Existe")</f>
        <v>Ativo</v>
      </c>
    </row>
    <row r="279" spans="3:18" hidden="1" x14ac:dyDescent="0.35">
      <c r="C279" s="18">
        <v>45992</v>
      </c>
      <c r="D279" s="5" t="s">
        <v>1828</v>
      </c>
      <c r="E279" s="5" t="s">
        <v>908</v>
      </c>
      <c r="F279" s="5" t="s">
        <v>2069</v>
      </c>
      <c r="G279" s="5" t="s">
        <v>2151</v>
      </c>
      <c r="H279" s="21" t="str">
        <f t="shared" si="32"/>
        <v>k</v>
      </c>
      <c r="I279" s="22">
        <f t="shared" si="33"/>
        <v>9900</v>
      </c>
      <c r="J279" s="21" t="str">
        <f t="shared" si="34"/>
        <v>m</v>
      </c>
      <c r="K279" s="23">
        <f t="shared" si="35"/>
        <v>2300000</v>
      </c>
      <c r="L279" s="21">
        <v>5.3</v>
      </c>
      <c r="M279" s="22">
        <f t="shared" si="36"/>
        <v>31</v>
      </c>
      <c r="N279" s="23">
        <f t="shared" si="37"/>
        <v>74193.548387096773</v>
      </c>
      <c r="O279" s="23">
        <f t="shared" si="38"/>
        <v>319.35483870967744</v>
      </c>
      <c r="P279" s="23">
        <f t="shared" si="39"/>
        <v>232.3232323232323</v>
      </c>
      <c r="Q279" s="21" t="str">
        <f>IF(ISNA(_xlfn.XLOOKUP(D279,'Same Seller Hist'!H:H,'Same Seller Hist'!H:H)),"Não","Sim")</f>
        <v>Não</v>
      </c>
      <c r="R279" s="21" t="str">
        <f>_xlfn.IFNA(_xlfn.XLOOKUP(D279,'Same Seller Hist'!D:D,'Same Seller Hist'!M:M),"Não Existe")</f>
        <v>Não Existe</v>
      </c>
    </row>
    <row r="280" spans="3:18" hidden="1" x14ac:dyDescent="0.35">
      <c r="C280" s="18">
        <v>45992</v>
      </c>
      <c r="D280" s="5" t="s">
        <v>559</v>
      </c>
      <c r="E280" s="5" t="s">
        <v>911</v>
      </c>
      <c r="F280" s="5" t="s">
        <v>2069</v>
      </c>
      <c r="G280" s="5" t="s">
        <v>2311</v>
      </c>
      <c r="H280" s="21" t="str">
        <f t="shared" si="32"/>
        <v>k</v>
      </c>
      <c r="I280" s="22">
        <f t="shared" si="33"/>
        <v>9900</v>
      </c>
      <c r="J280" s="21" t="str">
        <f t="shared" si="34"/>
        <v>k</v>
      </c>
      <c r="K280" s="23">
        <f t="shared" si="35"/>
        <v>438200</v>
      </c>
      <c r="L280" s="21">
        <v>5.3</v>
      </c>
      <c r="M280" s="22">
        <f t="shared" si="36"/>
        <v>31</v>
      </c>
      <c r="N280" s="23">
        <f t="shared" si="37"/>
        <v>14135.483870967742</v>
      </c>
      <c r="O280" s="23">
        <f t="shared" si="38"/>
        <v>319.35483870967744</v>
      </c>
      <c r="P280" s="23">
        <f t="shared" si="39"/>
        <v>44.262626262626263</v>
      </c>
      <c r="Q280" s="21" t="str">
        <f>IF(ISNA(_xlfn.XLOOKUP(D280,'Same Seller Hist'!H:H,'Same Seller Hist'!H:H)),"Não","Sim")</f>
        <v>Não</v>
      </c>
      <c r="R280" s="21" t="str">
        <f>_xlfn.IFNA(_xlfn.XLOOKUP(D280,'Same Seller Hist'!D:D,'Same Seller Hist'!M:M),"Não Existe")</f>
        <v>Ativo</v>
      </c>
    </row>
    <row r="281" spans="3:18" x14ac:dyDescent="0.35">
      <c r="C281" s="18">
        <v>45992</v>
      </c>
      <c r="D281" s="5" t="s">
        <v>781</v>
      </c>
      <c r="E281" s="5" t="s">
        <v>926</v>
      </c>
      <c r="F281" s="5" t="s">
        <v>2070</v>
      </c>
      <c r="G281" s="5" t="s">
        <v>2312</v>
      </c>
      <c r="H281" s="21" t="str">
        <f t="shared" si="32"/>
        <v>k</v>
      </c>
      <c r="I281" s="22">
        <f t="shared" si="33"/>
        <v>9800</v>
      </c>
      <c r="J281" s="21" t="str">
        <f t="shared" si="34"/>
        <v>k</v>
      </c>
      <c r="K281" s="23">
        <f t="shared" si="35"/>
        <v>302800</v>
      </c>
      <c r="L281" s="21">
        <v>5.3</v>
      </c>
      <c r="M281" s="22">
        <f t="shared" si="36"/>
        <v>31</v>
      </c>
      <c r="N281" s="23">
        <f t="shared" si="37"/>
        <v>9767.7419354838712</v>
      </c>
      <c r="O281" s="23">
        <f t="shared" si="38"/>
        <v>316.12903225806451</v>
      </c>
      <c r="P281" s="23">
        <f t="shared" si="39"/>
        <v>30.897959183673471</v>
      </c>
      <c r="Q281" s="21" t="str">
        <f>IF(ISNA(_xlfn.XLOOKUP(D281,'Same Seller Hist'!H:H,'Same Seller Hist'!H:H)),"Não","Sim")</f>
        <v>Sim</v>
      </c>
      <c r="R281" s="21" t="str">
        <f>_xlfn.IFNA(_xlfn.XLOOKUP(D281,'Same Seller Hist'!D:D,'Same Seller Hist'!M:M),"Não Existe")</f>
        <v>Ativo</v>
      </c>
    </row>
    <row r="282" spans="3:18" hidden="1" x14ac:dyDescent="0.35">
      <c r="C282" s="18">
        <v>45992</v>
      </c>
      <c r="D282" s="5" t="s">
        <v>723</v>
      </c>
      <c r="E282" s="5" t="s">
        <v>913</v>
      </c>
      <c r="F282" s="5" t="s">
        <v>2070</v>
      </c>
      <c r="G282" s="5" t="s">
        <v>2313</v>
      </c>
      <c r="H282" s="21" t="str">
        <f t="shared" si="32"/>
        <v>k</v>
      </c>
      <c r="I282" s="22">
        <f t="shared" si="33"/>
        <v>9800</v>
      </c>
      <c r="J282" s="21" t="str">
        <f t="shared" si="34"/>
        <v>k</v>
      </c>
      <c r="K282" s="23">
        <f t="shared" si="35"/>
        <v>541100</v>
      </c>
      <c r="L282" s="21">
        <v>5.3</v>
      </c>
      <c r="M282" s="22">
        <f t="shared" si="36"/>
        <v>31</v>
      </c>
      <c r="N282" s="23">
        <f t="shared" si="37"/>
        <v>17454.83870967742</v>
      </c>
      <c r="O282" s="23">
        <f t="shared" si="38"/>
        <v>316.12903225806451</v>
      </c>
      <c r="P282" s="23">
        <f t="shared" si="39"/>
        <v>55.214285714285715</v>
      </c>
      <c r="Q282" s="21" t="str">
        <f>IF(ISNA(_xlfn.XLOOKUP(D282,'Same Seller Hist'!H:H,'Same Seller Hist'!H:H)),"Não","Sim")</f>
        <v>Não</v>
      </c>
      <c r="R282" s="21" t="str">
        <f>_xlfn.IFNA(_xlfn.XLOOKUP(D282,'Same Seller Hist'!D:D,'Same Seller Hist'!M:M),"Não Existe")</f>
        <v>Ativo</v>
      </c>
    </row>
    <row r="283" spans="3:18" x14ac:dyDescent="0.35">
      <c r="C283" s="18">
        <v>45992</v>
      </c>
      <c r="D283" s="5" t="s">
        <v>464</v>
      </c>
      <c r="E283" s="5" t="s">
        <v>918</v>
      </c>
      <c r="F283" s="5" t="s">
        <v>2070</v>
      </c>
      <c r="G283" s="5" t="s">
        <v>2121</v>
      </c>
      <c r="H283" s="21" t="str">
        <f t="shared" si="32"/>
        <v>k</v>
      </c>
      <c r="I283" s="22">
        <f t="shared" si="33"/>
        <v>9800</v>
      </c>
      <c r="J283" s="21" t="str">
        <f t="shared" si="34"/>
        <v>m</v>
      </c>
      <c r="K283" s="23">
        <f t="shared" si="35"/>
        <v>1400000</v>
      </c>
      <c r="L283" s="21">
        <v>5.3</v>
      </c>
      <c r="M283" s="22">
        <f t="shared" si="36"/>
        <v>31</v>
      </c>
      <c r="N283" s="23">
        <f t="shared" si="37"/>
        <v>45161.290322580644</v>
      </c>
      <c r="O283" s="23">
        <f t="shared" si="38"/>
        <v>316.12903225806451</v>
      </c>
      <c r="P283" s="23">
        <f t="shared" si="39"/>
        <v>142.85714285714286</v>
      </c>
      <c r="Q283" s="21" t="str">
        <f>IF(ISNA(_xlfn.XLOOKUP(D283,'Same Seller Hist'!H:H,'Same Seller Hist'!H:H)),"Não","Sim")</f>
        <v>Sim</v>
      </c>
      <c r="R283" s="21" t="str">
        <f>_xlfn.IFNA(_xlfn.XLOOKUP(D283,'Same Seller Hist'!D:D,'Same Seller Hist'!M:M),"Não Existe")</f>
        <v>Ativo</v>
      </c>
    </row>
    <row r="284" spans="3:18" x14ac:dyDescent="0.35">
      <c r="C284" s="18">
        <v>45992</v>
      </c>
      <c r="D284" s="5" t="s">
        <v>833</v>
      </c>
      <c r="E284" s="5" t="s">
        <v>908</v>
      </c>
      <c r="F284" s="5" t="s">
        <v>2070</v>
      </c>
      <c r="G284" s="5" t="s">
        <v>2314</v>
      </c>
      <c r="H284" s="21" t="str">
        <f t="shared" si="32"/>
        <v>k</v>
      </c>
      <c r="I284" s="22">
        <f t="shared" si="33"/>
        <v>9800</v>
      </c>
      <c r="J284" s="21" t="str">
        <f t="shared" si="34"/>
        <v>k</v>
      </c>
      <c r="K284" s="23">
        <f t="shared" si="35"/>
        <v>618100</v>
      </c>
      <c r="L284" s="21">
        <v>5.3</v>
      </c>
      <c r="M284" s="22">
        <f t="shared" si="36"/>
        <v>31</v>
      </c>
      <c r="N284" s="23">
        <f t="shared" si="37"/>
        <v>19938.709677419356</v>
      </c>
      <c r="O284" s="23">
        <f t="shared" si="38"/>
        <v>316.12903225806451</v>
      </c>
      <c r="P284" s="23">
        <f t="shared" si="39"/>
        <v>63.071428571428577</v>
      </c>
      <c r="Q284" s="21" t="str">
        <f>IF(ISNA(_xlfn.XLOOKUP(D284,'Same Seller Hist'!H:H,'Same Seller Hist'!H:H)),"Não","Sim")</f>
        <v>Sim</v>
      </c>
      <c r="R284" s="21" t="str">
        <f>_xlfn.IFNA(_xlfn.XLOOKUP(D284,'Same Seller Hist'!D:D,'Same Seller Hist'!M:M),"Não Existe")</f>
        <v>Ativo</v>
      </c>
    </row>
    <row r="285" spans="3:18" x14ac:dyDescent="0.35">
      <c r="C285" s="18">
        <v>45992</v>
      </c>
      <c r="D285" s="5" t="s">
        <v>898</v>
      </c>
      <c r="E285" s="5" t="s">
        <v>908</v>
      </c>
      <c r="F285" s="5" t="s">
        <v>2071</v>
      </c>
      <c r="G285" s="5" t="s">
        <v>2315</v>
      </c>
      <c r="H285" s="21" t="str">
        <f t="shared" si="32"/>
        <v>k</v>
      </c>
      <c r="I285" s="22">
        <f t="shared" si="33"/>
        <v>9700</v>
      </c>
      <c r="J285" s="21" t="str">
        <f t="shared" si="34"/>
        <v>k</v>
      </c>
      <c r="K285" s="23">
        <f t="shared" si="35"/>
        <v>243100</v>
      </c>
      <c r="L285" s="21">
        <v>5.3</v>
      </c>
      <c r="M285" s="22">
        <f t="shared" si="36"/>
        <v>31</v>
      </c>
      <c r="N285" s="23">
        <f t="shared" si="37"/>
        <v>7841.9354838709678</v>
      </c>
      <c r="O285" s="23">
        <f t="shared" si="38"/>
        <v>312.90322580645159</v>
      </c>
      <c r="P285" s="23">
        <f t="shared" si="39"/>
        <v>25.061855670103096</v>
      </c>
      <c r="Q285" s="21" t="str">
        <f>IF(ISNA(_xlfn.XLOOKUP(D285,'Same Seller Hist'!H:H,'Same Seller Hist'!H:H)),"Não","Sim")</f>
        <v>Sim</v>
      </c>
      <c r="R285" s="21" t="str">
        <f>_xlfn.IFNA(_xlfn.XLOOKUP(D285,'Same Seller Hist'!D:D,'Same Seller Hist'!M:M),"Não Existe")</f>
        <v>Ativo</v>
      </c>
    </row>
    <row r="286" spans="3:18" x14ac:dyDescent="0.35">
      <c r="C286" s="18">
        <v>45992</v>
      </c>
      <c r="D286" s="5" t="s">
        <v>881</v>
      </c>
      <c r="E286" s="5" t="s">
        <v>913</v>
      </c>
      <c r="F286" s="5" t="s">
        <v>2072</v>
      </c>
      <c r="G286" s="5" t="s">
        <v>2316</v>
      </c>
      <c r="H286" s="21" t="str">
        <f t="shared" si="32"/>
        <v>k</v>
      </c>
      <c r="I286" s="22">
        <f t="shared" si="33"/>
        <v>9600</v>
      </c>
      <c r="J286" s="21" t="str">
        <f t="shared" si="34"/>
        <v>k</v>
      </c>
      <c r="K286" s="23">
        <f t="shared" si="35"/>
        <v>748100</v>
      </c>
      <c r="L286" s="21">
        <v>5.3</v>
      </c>
      <c r="M286" s="22">
        <f t="shared" si="36"/>
        <v>31</v>
      </c>
      <c r="N286" s="23">
        <f t="shared" si="37"/>
        <v>24132.258064516129</v>
      </c>
      <c r="O286" s="23">
        <f t="shared" si="38"/>
        <v>309.67741935483872</v>
      </c>
      <c r="P286" s="23">
        <f t="shared" si="39"/>
        <v>77.927083333333329</v>
      </c>
      <c r="Q286" s="21" t="str">
        <f>IF(ISNA(_xlfn.XLOOKUP(D286,'Same Seller Hist'!H:H,'Same Seller Hist'!H:H)),"Não","Sim")</f>
        <v>Sim</v>
      </c>
      <c r="R286" s="21" t="str">
        <f>_xlfn.IFNA(_xlfn.XLOOKUP(D286,'Same Seller Hist'!D:D,'Same Seller Hist'!M:M),"Não Existe")</f>
        <v>Ativo</v>
      </c>
    </row>
    <row r="287" spans="3:18" x14ac:dyDescent="0.35">
      <c r="C287" s="18">
        <v>45992</v>
      </c>
      <c r="D287" s="5" t="s">
        <v>895</v>
      </c>
      <c r="E287" s="5" t="s">
        <v>911</v>
      </c>
      <c r="F287" s="5" t="s">
        <v>2072</v>
      </c>
      <c r="G287" s="5" t="s">
        <v>2317</v>
      </c>
      <c r="H287" s="21" t="str">
        <f t="shared" si="32"/>
        <v>k</v>
      </c>
      <c r="I287" s="22">
        <f t="shared" si="33"/>
        <v>9600</v>
      </c>
      <c r="J287" s="21" t="str">
        <f t="shared" si="34"/>
        <v>k</v>
      </c>
      <c r="K287" s="23">
        <f t="shared" si="35"/>
        <v>638300</v>
      </c>
      <c r="L287" s="21">
        <v>5.3</v>
      </c>
      <c r="M287" s="22">
        <f t="shared" si="36"/>
        <v>31</v>
      </c>
      <c r="N287" s="23">
        <f t="shared" si="37"/>
        <v>20590.322580645163</v>
      </c>
      <c r="O287" s="23">
        <f t="shared" si="38"/>
        <v>309.67741935483872</v>
      </c>
      <c r="P287" s="23">
        <f t="shared" si="39"/>
        <v>66.489583333333343</v>
      </c>
      <c r="Q287" s="21" t="str">
        <f>IF(ISNA(_xlfn.XLOOKUP(D287,'Same Seller Hist'!H:H,'Same Seller Hist'!H:H)),"Não","Sim")</f>
        <v>Sim</v>
      </c>
      <c r="R287" s="21" t="str">
        <f>_xlfn.IFNA(_xlfn.XLOOKUP(D287,'Same Seller Hist'!D:D,'Same Seller Hist'!M:M),"Não Existe")</f>
        <v>Ativo</v>
      </c>
    </row>
    <row r="288" spans="3:18" hidden="1" x14ac:dyDescent="0.35">
      <c r="C288" s="18">
        <v>45992</v>
      </c>
      <c r="D288" s="5" t="s">
        <v>1829</v>
      </c>
      <c r="E288" s="5" t="s">
        <v>916</v>
      </c>
      <c r="F288" s="5" t="s">
        <v>2072</v>
      </c>
      <c r="G288" s="5" t="s">
        <v>2318</v>
      </c>
      <c r="H288" s="21" t="str">
        <f t="shared" si="32"/>
        <v>k</v>
      </c>
      <c r="I288" s="22">
        <f t="shared" si="33"/>
        <v>9600</v>
      </c>
      <c r="J288" s="21" t="str">
        <f t="shared" si="34"/>
        <v>m</v>
      </c>
      <c r="K288" s="23">
        <f t="shared" si="35"/>
        <v>3600000</v>
      </c>
      <c r="L288" s="21">
        <v>5.3</v>
      </c>
      <c r="M288" s="22">
        <f t="shared" si="36"/>
        <v>31</v>
      </c>
      <c r="N288" s="23">
        <f t="shared" si="37"/>
        <v>116129.03225806452</v>
      </c>
      <c r="O288" s="23">
        <f t="shared" si="38"/>
        <v>309.67741935483872</v>
      </c>
      <c r="P288" s="23">
        <f t="shared" si="39"/>
        <v>375</v>
      </c>
      <c r="Q288" s="21" t="str">
        <f>IF(ISNA(_xlfn.XLOOKUP(D288,'Same Seller Hist'!H:H,'Same Seller Hist'!H:H)),"Não","Sim")</f>
        <v>Não</v>
      </c>
      <c r="R288" s="21" t="str">
        <f>_xlfn.IFNA(_xlfn.XLOOKUP(D288,'Same Seller Hist'!D:D,'Same Seller Hist'!M:M),"Não Existe")</f>
        <v>Não Existe</v>
      </c>
    </row>
    <row r="289" spans="3:18" hidden="1" x14ac:dyDescent="0.35">
      <c r="C289" s="18">
        <v>45992</v>
      </c>
      <c r="D289" s="5" t="s">
        <v>1830</v>
      </c>
      <c r="E289" s="5" t="s">
        <v>933</v>
      </c>
      <c r="F289" s="5" t="s">
        <v>2072</v>
      </c>
      <c r="G289" s="5" t="s">
        <v>2319</v>
      </c>
      <c r="H289" s="21" t="str">
        <f t="shared" si="32"/>
        <v>k</v>
      </c>
      <c r="I289" s="22">
        <f t="shared" si="33"/>
        <v>9600</v>
      </c>
      <c r="J289" s="21" t="str">
        <f t="shared" si="34"/>
        <v>k</v>
      </c>
      <c r="K289" s="23">
        <f t="shared" si="35"/>
        <v>291600</v>
      </c>
      <c r="L289" s="21">
        <v>5.3</v>
      </c>
      <c r="M289" s="22">
        <f t="shared" si="36"/>
        <v>31</v>
      </c>
      <c r="N289" s="23">
        <f t="shared" si="37"/>
        <v>9406.4516129032254</v>
      </c>
      <c r="O289" s="23">
        <f t="shared" si="38"/>
        <v>309.67741935483872</v>
      </c>
      <c r="P289" s="23">
        <f t="shared" si="39"/>
        <v>30.374999999999996</v>
      </c>
      <c r="Q289" s="21" t="str">
        <f>IF(ISNA(_xlfn.XLOOKUP(D289,'Same Seller Hist'!H:H,'Same Seller Hist'!H:H)),"Não","Sim")</f>
        <v>Não</v>
      </c>
      <c r="R289" s="21" t="str">
        <f>_xlfn.IFNA(_xlfn.XLOOKUP(D289,'Same Seller Hist'!D:D,'Same Seller Hist'!M:M),"Não Existe")</f>
        <v>Não Existe</v>
      </c>
    </row>
    <row r="290" spans="3:18" x14ac:dyDescent="0.35">
      <c r="C290" s="18">
        <v>45992</v>
      </c>
      <c r="D290" s="5" t="s">
        <v>893</v>
      </c>
      <c r="E290" s="5" t="s">
        <v>913</v>
      </c>
      <c r="F290" s="5" t="s">
        <v>2072</v>
      </c>
      <c r="G290" s="5" t="s">
        <v>2320</v>
      </c>
      <c r="H290" s="21" t="str">
        <f t="shared" si="32"/>
        <v>k</v>
      </c>
      <c r="I290" s="22">
        <f t="shared" si="33"/>
        <v>9600</v>
      </c>
      <c r="J290" s="21" t="str">
        <f t="shared" si="34"/>
        <v>k</v>
      </c>
      <c r="K290" s="23">
        <f t="shared" si="35"/>
        <v>309800</v>
      </c>
      <c r="L290" s="21">
        <v>5.3</v>
      </c>
      <c r="M290" s="22">
        <f t="shared" si="36"/>
        <v>31</v>
      </c>
      <c r="N290" s="23">
        <f t="shared" si="37"/>
        <v>9993.5483870967746</v>
      </c>
      <c r="O290" s="23">
        <f t="shared" si="38"/>
        <v>309.67741935483872</v>
      </c>
      <c r="P290" s="23">
        <f t="shared" si="39"/>
        <v>32.270833333333336</v>
      </c>
      <c r="Q290" s="21" t="str">
        <f>IF(ISNA(_xlfn.XLOOKUP(D290,'Same Seller Hist'!H:H,'Same Seller Hist'!H:H)),"Não","Sim")</f>
        <v>Sim</v>
      </c>
      <c r="R290" s="21" t="str">
        <f>_xlfn.IFNA(_xlfn.XLOOKUP(D290,'Same Seller Hist'!D:D,'Same Seller Hist'!M:M),"Não Existe")</f>
        <v>Ativo</v>
      </c>
    </row>
    <row r="291" spans="3:18" x14ac:dyDescent="0.35">
      <c r="C291" s="18">
        <v>45992</v>
      </c>
      <c r="D291" s="5" t="s">
        <v>861</v>
      </c>
      <c r="E291" s="5" t="s">
        <v>913</v>
      </c>
      <c r="F291" s="5" t="s">
        <v>2072</v>
      </c>
      <c r="G291" s="5" t="s">
        <v>2321</v>
      </c>
      <c r="H291" s="21" t="str">
        <f t="shared" si="32"/>
        <v>k</v>
      </c>
      <c r="I291" s="22">
        <f t="shared" si="33"/>
        <v>9600</v>
      </c>
      <c r="J291" s="21" t="str">
        <f t="shared" si="34"/>
        <v>k</v>
      </c>
      <c r="K291" s="23">
        <f t="shared" si="35"/>
        <v>435200</v>
      </c>
      <c r="L291" s="21">
        <v>5.3</v>
      </c>
      <c r="M291" s="22">
        <f t="shared" si="36"/>
        <v>31</v>
      </c>
      <c r="N291" s="23">
        <f t="shared" si="37"/>
        <v>14038.709677419354</v>
      </c>
      <c r="O291" s="23">
        <f t="shared" si="38"/>
        <v>309.67741935483872</v>
      </c>
      <c r="P291" s="23">
        <f t="shared" si="39"/>
        <v>45.333333333333329</v>
      </c>
      <c r="Q291" s="21" t="str">
        <f>IF(ISNA(_xlfn.XLOOKUP(D291,'Same Seller Hist'!H:H,'Same Seller Hist'!H:H)),"Não","Sim")</f>
        <v>Sim</v>
      </c>
      <c r="R291" s="21" t="str">
        <f>_xlfn.IFNA(_xlfn.XLOOKUP(D291,'Same Seller Hist'!D:D,'Same Seller Hist'!M:M),"Não Existe")</f>
        <v>Ativo</v>
      </c>
    </row>
    <row r="292" spans="3:18" x14ac:dyDescent="0.35">
      <c r="C292" s="18">
        <v>45992</v>
      </c>
      <c r="D292" s="5" t="s">
        <v>745</v>
      </c>
      <c r="E292" s="5" t="s">
        <v>913</v>
      </c>
      <c r="F292" s="5" t="s">
        <v>2073</v>
      </c>
      <c r="G292" s="5" t="s">
        <v>2132</v>
      </c>
      <c r="H292" s="21" t="str">
        <f t="shared" si="32"/>
        <v>k</v>
      </c>
      <c r="I292" s="22">
        <f t="shared" si="33"/>
        <v>9400</v>
      </c>
      <c r="J292" s="21" t="str">
        <f t="shared" si="34"/>
        <v>m</v>
      </c>
      <c r="K292" s="23">
        <f t="shared" si="35"/>
        <v>1200000</v>
      </c>
      <c r="L292" s="21">
        <v>5.3</v>
      </c>
      <c r="M292" s="22">
        <f t="shared" si="36"/>
        <v>31</v>
      </c>
      <c r="N292" s="23">
        <f t="shared" si="37"/>
        <v>38709.677419354841</v>
      </c>
      <c r="O292" s="23">
        <f t="shared" si="38"/>
        <v>303.22580645161293</v>
      </c>
      <c r="P292" s="23">
        <f t="shared" si="39"/>
        <v>127.6595744680851</v>
      </c>
      <c r="Q292" s="21" t="str">
        <f>IF(ISNA(_xlfn.XLOOKUP(D292,'Same Seller Hist'!H:H,'Same Seller Hist'!H:H)),"Não","Sim")</f>
        <v>Sim</v>
      </c>
      <c r="R292" s="21" t="str">
        <f>_xlfn.IFNA(_xlfn.XLOOKUP(D292,'Same Seller Hist'!D:D,'Same Seller Hist'!M:M),"Não Existe")</f>
        <v>Ativo</v>
      </c>
    </row>
    <row r="293" spans="3:18" x14ac:dyDescent="0.35">
      <c r="C293" s="18">
        <v>45992</v>
      </c>
      <c r="D293" s="5" t="s">
        <v>493</v>
      </c>
      <c r="E293" s="5" t="s">
        <v>913</v>
      </c>
      <c r="F293" s="5" t="s">
        <v>2073</v>
      </c>
      <c r="G293" s="5" t="s">
        <v>2322</v>
      </c>
      <c r="H293" s="21" t="str">
        <f t="shared" si="32"/>
        <v>k</v>
      </c>
      <c r="I293" s="22">
        <f t="shared" si="33"/>
        <v>9400</v>
      </c>
      <c r="J293" s="21" t="str">
        <f t="shared" si="34"/>
        <v>k</v>
      </c>
      <c r="K293" s="23">
        <f t="shared" si="35"/>
        <v>385300</v>
      </c>
      <c r="L293" s="21">
        <v>5.3</v>
      </c>
      <c r="M293" s="22">
        <f t="shared" si="36"/>
        <v>31</v>
      </c>
      <c r="N293" s="23">
        <f t="shared" si="37"/>
        <v>12429.032258064517</v>
      </c>
      <c r="O293" s="23">
        <f t="shared" si="38"/>
        <v>303.22580645161293</v>
      </c>
      <c r="P293" s="23">
        <f t="shared" si="39"/>
        <v>40.98936170212766</v>
      </c>
      <c r="Q293" s="21" t="str">
        <f>IF(ISNA(_xlfn.XLOOKUP(D293,'Same Seller Hist'!H:H,'Same Seller Hist'!H:H)),"Não","Sim")</f>
        <v>Sim</v>
      </c>
      <c r="R293" s="21" t="str">
        <f>_xlfn.IFNA(_xlfn.XLOOKUP(D293,'Same Seller Hist'!D:D,'Same Seller Hist'!M:M),"Não Existe")</f>
        <v>Ativo</v>
      </c>
    </row>
    <row r="294" spans="3:18" hidden="1" x14ac:dyDescent="0.35">
      <c r="C294" s="18">
        <v>45992</v>
      </c>
      <c r="D294" s="5" t="s">
        <v>1831</v>
      </c>
      <c r="E294" s="5" t="s">
        <v>924</v>
      </c>
      <c r="F294" s="5" t="s">
        <v>2073</v>
      </c>
      <c r="G294" s="5" t="s">
        <v>2323</v>
      </c>
      <c r="H294" s="21" t="str">
        <f t="shared" si="32"/>
        <v>k</v>
      </c>
      <c r="I294" s="22">
        <f t="shared" si="33"/>
        <v>9400</v>
      </c>
      <c r="J294" s="21" t="str">
        <f t="shared" si="34"/>
        <v>k</v>
      </c>
      <c r="K294" s="23">
        <f t="shared" si="35"/>
        <v>278000</v>
      </c>
      <c r="L294" s="21">
        <v>5.3</v>
      </c>
      <c r="M294" s="22">
        <f t="shared" si="36"/>
        <v>31</v>
      </c>
      <c r="N294" s="23">
        <f t="shared" si="37"/>
        <v>8967.7419354838712</v>
      </c>
      <c r="O294" s="23">
        <f t="shared" si="38"/>
        <v>303.22580645161293</v>
      </c>
      <c r="P294" s="23">
        <f t="shared" si="39"/>
        <v>29.574468085106382</v>
      </c>
      <c r="Q294" s="21" t="str">
        <f>IF(ISNA(_xlfn.XLOOKUP(D294,'Same Seller Hist'!H:H,'Same Seller Hist'!H:H)),"Não","Sim")</f>
        <v>Não</v>
      </c>
      <c r="R294" s="21" t="str">
        <f>_xlfn.IFNA(_xlfn.XLOOKUP(D294,'Same Seller Hist'!D:D,'Same Seller Hist'!M:M),"Não Existe")</f>
        <v>Não Existe</v>
      </c>
    </row>
    <row r="295" spans="3:18" hidden="1" x14ac:dyDescent="0.35">
      <c r="C295" s="18">
        <v>45992</v>
      </c>
      <c r="D295" s="5" t="s">
        <v>238</v>
      </c>
      <c r="E295" s="5" t="s">
        <v>928</v>
      </c>
      <c r="F295" s="5" t="s">
        <v>2073</v>
      </c>
      <c r="G295" s="5" t="s">
        <v>2204</v>
      </c>
      <c r="H295" s="21" t="str">
        <f t="shared" si="32"/>
        <v>k</v>
      </c>
      <c r="I295" s="22">
        <f t="shared" si="33"/>
        <v>9400</v>
      </c>
      <c r="J295" s="21" t="str">
        <f t="shared" si="34"/>
        <v>k</v>
      </c>
      <c r="K295" s="23">
        <f t="shared" si="35"/>
        <v>485700</v>
      </c>
      <c r="L295" s="21">
        <v>5.3</v>
      </c>
      <c r="M295" s="22">
        <f t="shared" si="36"/>
        <v>31</v>
      </c>
      <c r="N295" s="23">
        <f t="shared" si="37"/>
        <v>15667.741935483871</v>
      </c>
      <c r="O295" s="23">
        <f t="shared" si="38"/>
        <v>303.22580645161293</v>
      </c>
      <c r="P295" s="23">
        <f t="shared" si="39"/>
        <v>51.670212765957444</v>
      </c>
      <c r="Q295" s="21" t="str">
        <f>IF(ISNA(_xlfn.XLOOKUP(D295,'Same Seller Hist'!H:H,'Same Seller Hist'!H:H)),"Não","Sim")</f>
        <v>Não</v>
      </c>
      <c r="R295" s="21" t="str">
        <f>_xlfn.IFNA(_xlfn.XLOOKUP(D295,'Same Seller Hist'!D:D,'Same Seller Hist'!M:M),"Não Existe")</f>
        <v>Ativo</v>
      </c>
    </row>
    <row r="296" spans="3:18" hidden="1" x14ac:dyDescent="0.35">
      <c r="C296" s="18">
        <v>45992</v>
      </c>
      <c r="D296" s="5" t="s">
        <v>1832</v>
      </c>
      <c r="E296" s="5" t="s">
        <v>911</v>
      </c>
      <c r="F296" s="5" t="s">
        <v>2074</v>
      </c>
      <c r="G296" s="5" t="s">
        <v>2324</v>
      </c>
      <c r="H296" s="21" t="str">
        <f t="shared" si="32"/>
        <v>k</v>
      </c>
      <c r="I296" s="22">
        <f t="shared" si="33"/>
        <v>9300</v>
      </c>
      <c r="J296" s="21" t="str">
        <f t="shared" si="34"/>
        <v>k</v>
      </c>
      <c r="K296" s="23">
        <f t="shared" si="35"/>
        <v>213900</v>
      </c>
      <c r="L296" s="21">
        <v>5.3</v>
      </c>
      <c r="M296" s="22">
        <f t="shared" si="36"/>
        <v>31</v>
      </c>
      <c r="N296" s="23">
        <f t="shared" si="37"/>
        <v>6900</v>
      </c>
      <c r="O296" s="23">
        <f t="shared" si="38"/>
        <v>300</v>
      </c>
      <c r="P296" s="23">
        <f t="shared" si="39"/>
        <v>23</v>
      </c>
      <c r="Q296" s="21" t="str">
        <f>IF(ISNA(_xlfn.XLOOKUP(D296,'Same Seller Hist'!H:H,'Same Seller Hist'!H:H)),"Não","Sim")</f>
        <v>Não</v>
      </c>
      <c r="R296" s="21" t="str">
        <f>_xlfn.IFNA(_xlfn.XLOOKUP(D296,'Same Seller Hist'!D:D,'Same Seller Hist'!M:M),"Não Existe")</f>
        <v>Não Existe</v>
      </c>
    </row>
    <row r="297" spans="3:18" hidden="1" x14ac:dyDescent="0.35">
      <c r="C297" s="18">
        <v>45992</v>
      </c>
      <c r="D297" s="5" t="s">
        <v>1833</v>
      </c>
      <c r="E297" s="5" t="s">
        <v>975</v>
      </c>
      <c r="F297" s="5" t="s">
        <v>2074</v>
      </c>
      <c r="G297" s="5" t="s">
        <v>2325</v>
      </c>
      <c r="H297" s="21" t="str">
        <f t="shared" si="32"/>
        <v>k</v>
      </c>
      <c r="I297" s="22">
        <f t="shared" si="33"/>
        <v>9300</v>
      </c>
      <c r="J297" s="21" t="str">
        <f t="shared" si="34"/>
        <v>k</v>
      </c>
      <c r="K297" s="23">
        <f t="shared" si="35"/>
        <v>383400</v>
      </c>
      <c r="L297" s="21">
        <v>5.3</v>
      </c>
      <c r="M297" s="22">
        <f t="shared" si="36"/>
        <v>31</v>
      </c>
      <c r="N297" s="23">
        <f t="shared" si="37"/>
        <v>12367.741935483871</v>
      </c>
      <c r="O297" s="23">
        <f t="shared" si="38"/>
        <v>300</v>
      </c>
      <c r="P297" s="23">
        <f t="shared" si="39"/>
        <v>41.225806451612904</v>
      </c>
      <c r="Q297" s="21" t="str">
        <f>IF(ISNA(_xlfn.XLOOKUP(D297,'Same Seller Hist'!H:H,'Same Seller Hist'!H:H)),"Não","Sim")</f>
        <v>Não</v>
      </c>
      <c r="R297" s="21" t="str">
        <f>_xlfn.IFNA(_xlfn.XLOOKUP(D297,'Same Seller Hist'!D:D,'Same Seller Hist'!M:M),"Não Existe")</f>
        <v>Não Existe</v>
      </c>
    </row>
    <row r="298" spans="3:18" x14ac:dyDescent="0.35">
      <c r="C298" s="18">
        <v>45992</v>
      </c>
      <c r="D298" s="5" t="s">
        <v>485</v>
      </c>
      <c r="E298" s="5" t="s">
        <v>969</v>
      </c>
      <c r="F298" s="5" t="s">
        <v>2075</v>
      </c>
      <c r="G298" s="5" t="s">
        <v>2326</v>
      </c>
      <c r="H298" s="21" t="str">
        <f t="shared" si="32"/>
        <v>k</v>
      </c>
      <c r="I298" s="22">
        <f t="shared" si="33"/>
        <v>9200</v>
      </c>
      <c r="J298" s="21" t="str">
        <f t="shared" si="34"/>
        <v>k</v>
      </c>
      <c r="K298" s="23">
        <f t="shared" si="35"/>
        <v>695000</v>
      </c>
      <c r="L298" s="21">
        <v>5.3</v>
      </c>
      <c r="M298" s="22">
        <f t="shared" si="36"/>
        <v>31</v>
      </c>
      <c r="N298" s="23">
        <f t="shared" si="37"/>
        <v>22419.354838709678</v>
      </c>
      <c r="O298" s="23">
        <f t="shared" si="38"/>
        <v>296.77419354838707</v>
      </c>
      <c r="P298" s="23">
        <f t="shared" si="39"/>
        <v>75.543478260869577</v>
      </c>
      <c r="Q298" s="21" t="str">
        <f>IF(ISNA(_xlfn.XLOOKUP(D298,'Same Seller Hist'!H:H,'Same Seller Hist'!H:H)),"Não","Sim")</f>
        <v>Sim</v>
      </c>
      <c r="R298" s="21" t="str">
        <f>_xlfn.IFNA(_xlfn.XLOOKUP(D298,'Same Seller Hist'!D:D,'Same Seller Hist'!M:M),"Não Existe")</f>
        <v>Ativo</v>
      </c>
    </row>
    <row r="299" spans="3:18" hidden="1" x14ac:dyDescent="0.35">
      <c r="C299" s="18">
        <v>45992</v>
      </c>
      <c r="D299" s="5" t="s">
        <v>1834</v>
      </c>
      <c r="E299" s="5" t="s">
        <v>933</v>
      </c>
      <c r="F299" s="5" t="s">
        <v>2075</v>
      </c>
      <c r="G299" s="5" t="s">
        <v>2267</v>
      </c>
      <c r="H299" s="21" t="str">
        <f t="shared" si="32"/>
        <v>k</v>
      </c>
      <c r="I299" s="22">
        <f t="shared" si="33"/>
        <v>9200</v>
      </c>
      <c r="J299" s="21" t="str">
        <f t="shared" si="34"/>
        <v>k</v>
      </c>
      <c r="K299" s="23">
        <f t="shared" si="35"/>
        <v>462100</v>
      </c>
      <c r="L299" s="21">
        <v>5.3</v>
      </c>
      <c r="M299" s="22">
        <f t="shared" si="36"/>
        <v>31</v>
      </c>
      <c r="N299" s="23">
        <f t="shared" si="37"/>
        <v>14906.451612903225</v>
      </c>
      <c r="O299" s="23">
        <f t="shared" si="38"/>
        <v>296.77419354838707</v>
      </c>
      <c r="P299" s="23">
        <f t="shared" si="39"/>
        <v>50.228260869565219</v>
      </c>
      <c r="Q299" s="21" t="str">
        <f>IF(ISNA(_xlfn.XLOOKUP(D299,'Same Seller Hist'!H:H,'Same Seller Hist'!H:H)),"Não","Sim")</f>
        <v>Não</v>
      </c>
      <c r="R299" s="21" t="str">
        <f>_xlfn.IFNA(_xlfn.XLOOKUP(D299,'Same Seller Hist'!D:D,'Same Seller Hist'!M:M),"Não Existe")</f>
        <v>Não Existe</v>
      </c>
    </row>
    <row r="300" spans="3:18" hidden="1" x14ac:dyDescent="0.35">
      <c r="C300" s="18">
        <v>45992</v>
      </c>
      <c r="D300" s="5" t="s">
        <v>1835</v>
      </c>
      <c r="E300" s="5" t="s">
        <v>1914</v>
      </c>
      <c r="F300" s="5" t="s">
        <v>2075</v>
      </c>
      <c r="G300" s="5" t="s">
        <v>2327</v>
      </c>
      <c r="H300" s="21" t="str">
        <f t="shared" si="32"/>
        <v>k</v>
      </c>
      <c r="I300" s="22">
        <f t="shared" si="33"/>
        <v>9200</v>
      </c>
      <c r="J300" s="21" t="str">
        <f t="shared" si="34"/>
        <v>k</v>
      </c>
      <c r="K300" s="23">
        <f t="shared" si="35"/>
        <v>209200</v>
      </c>
      <c r="L300" s="21">
        <v>5.3</v>
      </c>
      <c r="M300" s="22">
        <f t="shared" si="36"/>
        <v>31</v>
      </c>
      <c r="N300" s="23">
        <f t="shared" si="37"/>
        <v>6748.3870967741932</v>
      </c>
      <c r="O300" s="23">
        <f t="shared" si="38"/>
        <v>296.77419354838707</v>
      </c>
      <c r="P300" s="23">
        <f t="shared" si="39"/>
        <v>22.739130434782609</v>
      </c>
      <c r="Q300" s="21" t="str">
        <f>IF(ISNA(_xlfn.XLOOKUP(D300,'Same Seller Hist'!H:H,'Same Seller Hist'!H:H)),"Não","Sim")</f>
        <v>Não</v>
      </c>
      <c r="R300" s="21" t="str">
        <f>_xlfn.IFNA(_xlfn.XLOOKUP(D300,'Same Seller Hist'!D:D,'Same Seller Hist'!M:M),"Não Existe")</f>
        <v>Não Existe</v>
      </c>
    </row>
    <row r="301" spans="3:18" x14ac:dyDescent="0.35">
      <c r="C301" s="18">
        <v>45992</v>
      </c>
      <c r="D301" s="5" t="s">
        <v>866</v>
      </c>
      <c r="E301" s="5" t="s">
        <v>924</v>
      </c>
      <c r="F301" s="5" t="s">
        <v>2075</v>
      </c>
      <c r="G301" s="5" t="s">
        <v>2328</v>
      </c>
      <c r="H301" s="21" t="str">
        <f t="shared" si="32"/>
        <v>k</v>
      </c>
      <c r="I301" s="22">
        <f t="shared" si="33"/>
        <v>9200</v>
      </c>
      <c r="J301" s="21" t="str">
        <f t="shared" si="34"/>
        <v>k</v>
      </c>
      <c r="K301" s="23">
        <f t="shared" si="35"/>
        <v>142700</v>
      </c>
      <c r="L301" s="21">
        <v>5.3</v>
      </c>
      <c r="M301" s="22">
        <f t="shared" si="36"/>
        <v>31</v>
      </c>
      <c r="N301" s="23">
        <f t="shared" si="37"/>
        <v>4603.2258064516127</v>
      </c>
      <c r="O301" s="23">
        <f t="shared" si="38"/>
        <v>296.77419354838707</v>
      </c>
      <c r="P301" s="23">
        <f t="shared" si="39"/>
        <v>15.510869565217392</v>
      </c>
      <c r="Q301" s="21" t="str">
        <f>IF(ISNA(_xlfn.XLOOKUP(D301,'Same Seller Hist'!H:H,'Same Seller Hist'!H:H)),"Não","Sim")</f>
        <v>Sim</v>
      </c>
      <c r="R301" s="21" t="str">
        <f>_xlfn.IFNA(_xlfn.XLOOKUP(D301,'Same Seller Hist'!D:D,'Same Seller Hist'!M:M),"Não Existe")</f>
        <v>Ativo</v>
      </c>
    </row>
    <row r="302" spans="3:18" x14ac:dyDescent="0.35">
      <c r="C302" s="18">
        <v>45992</v>
      </c>
      <c r="D302" s="5" t="s">
        <v>729</v>
      </c>
      <c r="E302" s="5" t="s">
        <v>939</v>
      </c>
      <c r="F302" s="5" t="s">
        <v>2075</v>
      </c>
      <c r="G302" s="5" t="s">
        <v>2329</v>
      </c>
      <c r="H302" s="21" t="str">
        <f t="shared" si="32"/>
        <v>k</v>
      </c>
      <c r="I302" s="22">
        <f t="shared" si="33"/>
        <v>9200</v>
      </c>
      <c r="J302" s="21" t="str">
        <f t="shared" si="34"/>
        <v>k</v>
      </c>
      <c r="K302" s="23">
        <f t="shared" si="35"/>
        <v>950800</v>
      </c>
      <c r="L302" s="21">
        <v>5.3</v>
      </c>
      <c r="M302" s="22">
        <f t="shared" si="36"/>
        <v>31</v>
      </c>
      <c r="N302" s="23">
        <f t="shared" si="37"/>
        <v>30670.967741935485</v>
      </c>
      <c r="O302" s="23">
        <f t="shared" si="38"/>
        <v>296.77419354838707</v>
      </c>
      <c r="P302" s="23">
        <f t="shared" si="39"/>
        <v>103.34782608695653</v>
      </c>
      <c r="Q302" s="21" t="str">
        <f>IF(ISNA(_xlfn.XLOOKUP(D302,'Same Seller Hist'!H:H,'Same Seller Hist'!H:H)),"Não","Sim")</f>
        <v>Sim</v>
      </c>
      <c r="R302" s="21" t="str">
        <f>_xlfn.IFNA(_xlfn.XLOOKUP(D302,'Same Seller Hist'!D:D,'Same Seller Hist'!M:M),"Não Existe")</f>
        <v>Ativo</v>
      </c>
    </row>
    <row r="303" spans="3:18" x14ac:dyDescent="0.35">
      <c r="C303" s="18">
        <v>45992</v>
      </c>
      <c r="D303" s="5" t="s">
        <v>856</v>
      </c>
      <c r="E303" s="5" t="s">
        <v>933</v>
      </c>
      <c r="F303" s="5" t="s">
        <v>2076</v>
      </c>
      <c r="G303" s="5" t="s">
        <v>2330</v>
      </c>
      <c r="H303" s="21" t="str">
        <f t="shared" si="32"/>
        <v>k</v>
      </c>
      <c r="I303" s="22">
        <f t="shared" si="33"/>
        <v>9100</v>
      </c>
      <c r="J303" s="21" t="str">
        <f t="shared" si="34"/>
        <v>k</v>
      </c>
      <c r="K303" s="23">
        <f t="shared" si="35"/>
        <v>440100</v>
      </c>
      <c r="L303" s="21">
        <v>5.3</v>
      </c>
      <c r="M303" s="22">
        <f t="shared" si="36"/>
        <v>31</v>
      </c>
      <c r="N303" s="23">
        <f t="shared" si="37"/>
        <v>14196.774193548386</v>
      </c>
      <c r="O303" s="23">
        <f t="shared" si="38"/>
        <v>293.54838709677421</v>
      </c>
      <c r="P303" s="23">
        <f t="shared" si="39"/>
        <v>48.362637362637358</v>
      </c>
      <c r="Q303" s="21" t="str">
        <f>IF(ISNA(_xlfn.XLOOKUP(D303,'Same Seller Hist'!H:H,'Same Seller Hist'!H:H)),"Não","Sim")</f>
        <v>Sim</v>
      </c>
      <c r="R303" s="21" t="str">
        <f>_xlfn.IFNA(_xlfn.XLOOKUP(D303,'Same Seller Hist'!D:D,'Same Seller Hist'!M:M),"Não Existe")</f>
        <v>Ativo</v>
      </c>
    </row>
    <row r="304" spans="3:18" hidden="1" x14ac:dyDescent="0.35">
      <c r="C304" s="18">
        <v>45992</v>
      </c>
      <c r="D304" s="5" t="s">
        <v>256</v>
      </c>
      <c r="E304" s="5" t="s">
        <v>913</v>
      </c>
      <c r="F304" s="5" t="s">
        <v>2076</v>
      </c>
      <c r="G304" s="5" t="s">
        <v>2331</v>
      </c>
      <c r="H304" s="21" t="str">
        <f t="shared" si="32"/>
        <v>k</v>
      </c>
      <c r="I304" s="22">
        <f t="shared" si="33"/>
        <v>9100</v>
      </c>
      <c r="J304" s="21" t="str">
        <f t="shared" si="34"/>
        <v>k</v>
      </c>
      <c r="K304" s="23">
        <f t="shared" si="35"/>
        <v>411800</v>
      </c>
      <c r="L304" s="21">
        <v>5.3</v>
      </c>
      <c r="M304" s="22">
        <f t="shared" si="36"/>
        <v>31</v>
      </c>
      <c r="N304" s="23">
        <f t="shared" si="37"/>
        <v>13283.870967741936</v>
      </c>
      <c r="O304" s="23">
        <f t="shared" si="38"/>
        <v>293.54838709677421</v>
      </c>
      <c r="P304" s="23">
        <f t="shared" si="39"/>
        <v>45.252747252747248</v>
      </c>
      <c r="Q304" s="21" t="str">
        <f>IF(ISNA(_xlfn.XLOOKUP(D304,'Same Seller Hist'!H:H,'Same Seller Hist'!H:H)),"Não","Sim")</f>
        <v>Não</v>
      </c>
      <c r="R304" s="21" t="str">
        <f>_xlfn.IFNA(_xlfn.XLOOKUP(D304,'Same Seller Hist'!D:D,'Same Seller Hist'!M:M),"Não Existe")</f>
        <v>Ativo</v>
      </c>
    </row>
    <row r="305" spans="3:18" x14ac:dyDescent="0.35">
      <c r="C305" s="18">
        <v>45992</v>
      </c>
      <c r="D305" s="5" t="s">
        <v>500</v>
      </c>
      <c r="E305" s="5" t="s">
        <v>913</v>
      </c>
      <c r="F305" s="5" t="s">
        <v>2076</v>
      </c>
      <c r="G305" s="5" t="s">
        <v>2332</v>
      </c>
      <c r="H305" s="21" t="str">
        <f t="shared" si="32"/>
        <v>k</v>
      </c>
      <c r="I305" s="22">
        <f t="shared" si="33"/>
        <v>9100</v>
      </c>
      <c r="J305" s="21" t="str">
        <f t="shared" si="34"/>
        <v>k</v>
      </c>
      <c r="K305" s="23">
        <f t="shared" si="35"/>
        <v>303400</v>
      </c>
      <c r="L305" s="21">
        <v>5.3</v>
      </c>
      <c r="M305" s="22">
        <f t="shared" si="36"/>
        <v>31</v>
      </c>
      <c r="N305" s="23">
        <f t="shared" si="37"/>
        <v>9787.0967741935492</v>
      </c>
      <c r="O305" s="23">
        <f t="shared" si="38"/>
        <v>293.54838709677421</v>
      </c>
      <c r="P305" s="23">
        <f t="shared" si="39"/>
        <v>33.340659340659343</v>
      </c>
      <c r="Q305" s="21" t="str">
        <f>IF(ISNA(_xlfn.XLOOKUP(D305,'Same Seller Hist'!H:H,'Same Seller Hist'!H:H)),"Não","Sim")</f>
        <v>Sim</v>
      </c>
      <c r="R305" s="21" t="str">
        <f>_xlfn.IFNA(_xlfn.XLOOKUP(D305,'Same Seller Hist'!D:D,'Same Seller Hist'!M:M),"Não Existe")</f>
        <v>Ativo</v>
      </c>
    </row>
    <row r="306" spans="3:18" x14ac:dyDescent="0.35">
      <c r="C306" s="18">
        <v>45992</v>
      </c>
      <c r="D306" s="5" t="s">
        <v>878</v>
      </c>
      <c r="E306" s="5" t="s">
        <v>908</v>
      </c>
      <c r="F306" s="5" t="s">
        <v>2076</v>
      </c>
      <c r="G306" s="5" t="s">
        <v>2333</v>
      </c>
      <c r="H306" s="21" t="str">
        <f t="shared" si="32"/>
        <v>k</v>
      </c>
      <c r="I306" s="22">
        <f t="shared" si="33"/>
        <v>9100</v>
      </c>
      <c r="J306" s="21" t="str">
        <f t="shared" si="34"/>
        <v>k</v>
      </c>
      <c r="K306" s="23">
        <f t="shared" si="35"/>
        <v>463400</v>
      </c>
      <c r="L306" s="21">
        <v>5.3</v>
      </c>
      <c r="M306" s="22">
        <f t="shared" si="36"/>
        <v>31</v>
      </c>
      <c r="N306" s="23">
        <f t="shared" si="37"/>
        <v>14948.387096774193</v>
      </c>
      <c r="O306" s="23">
        <f t="shared" si="38"/>
        <v>293.54838709677421</v>
      </c>
      <c r="P306" s="23">
        <f t="shared" si="39"/>
        <v>50.92307692307692</v>
      </c>
      <c r="Q306" s="21" t="str">
        <f>IF(ISNA(_xlfn.XLOOKUP(D306,'Same Seller Hist'!H:H,'Same Seller Hist'!H:H)),"Não","Sim")</f>
        <v>Sim</v>
      </c>
      <c r="R306" s="21" t="str">
        <f>_xlfn.IFNA(_xlfn.XLOOKUP(D306,'Same Seller Hist'!D:D,'Same Seller Hist'!M:M),"Não Existe")</f>
        <v>Ativo</v>
      </c>
    </row>
    <row r="307" spans="3:18" hidden="1" x14ac:dyDescent="0.35">
      <c r="C307" s="18">
        <v>45992</v>
      </c>
      <c r="D307" s="5" t="s">
        <v>1836</v>
      </c>
      <c r="E307" s="5" t="s">
        <v>908</v>
      </c>
      <c r="F307" s="5" t="s">
        <v>2077</v>
      </c>
      <c r="G307" s="5" t="s">
        <v>2118</v>
      </c>
      <c r="H307" s="21" t="str">
        <f t="shared" si="32"/>
        <v>k</v>
      </c>
      <c r="I307" s="22">
        <f t="shared" si="33"/>
        <v>9000</v>
      </c>
      <c r="J307" s="21" t="str">
        <f t="shared" si="34"/>
        <v>m</v>
      </c>
      <c r="K307" s="23">
        <f t="shared" si="35"/>
        <v>1100000</v>
      </c>
      <c r="L307" s="21">
        <v>5.3</v>
      </c>
      <c r="M307" s="22">
        <f t="shared" si="36"/>
        <v>31</v>
      </c>
      <c r="N307" s="23">
        <f t="shared" si="37"/>
        <v>35483.870967741932</v>
      </c>
      <c r="O307" s="23">
        <f t="shared" si="38"/>
        <v>290.32258064516128</v>
      </c>
      <c r="P307" s="23">
        <f t="shared" si="39"/>
        <v>122.22222222222221</v>
      </c>
      <c r="Q307" s="21" t="str">
        <f>IF(ISNA(_xlfn.XLOOKUP(D307,'Same Seller Hist'!H:H,'Same Seller Hist'!H:H)),"Não","Sim")</f>
        <v>Não</v>
      </c>
      <c r="R307" s="21" t="str">
        <f>_xlfn.IFNA(_xlfn.XLOOKUP(D307,'Same Seller Hist'!D:D,'Same Seller Hist'!M:M),"Não Existe")</f>
        <v>Não Existe</v>
      </c>
    </row>
    <row r="308" spans="3:18" x14ac:dyDescent="0.35">
      <c r="C308" s="18">
        <v>45992</v>
      </c>
      <c r="D308" s="5" t="s">
        <v>884</v>
      </c>
      <c r="E308" s="5" t="s">
        <v>910</v>
      </c>
      <c r="F308" s="5" t="s">
        <v>2077</v>
      </c>
      <c r="G308" s="5" t="s">
        <v>2334</v>
      </c>
      <c r="H308" s="21" t="str">
        <f t="shared" si="32"/>
        <v>k</v>
      </c>
      <c r="I308" s="22">
        <f t="shared" si="33"/>
        <v>9000</v>
      </c>
      <c r="J308" s="21" t="str">
        <f t="shared" si="34"/>
        <v>k</v>
      </c>
      <c r="K308" s="23">
        <f t="shared" si="35"/>
        <v>332400</v>
      </c>
      <c r="L308" s="21">
        <v>5.3</v>
      </c>
      <c r="M308" s="22">
        <f t="shared" si="36"/>
        <v>31</v>
      </c>
      <c r="N308" s="23">
        <f t="shared" si="37"/>
        <v>10722.58064516129</v>
      </c>
      <c r="O308" s="23">
        <f t="shared" si="38"/>
        <v>290.32258064516128</v>
      </c>
      <c r="P308" s="23">
        <f t="shared" si="39"/>
        <v>36.93333333333333</v>
      </c>
      <c r="Q308" s="21" t="str">
        <f>IF(ISNA(_xlfn.XLOOKUP(D308,'Same Seller Hist'!H:H,'Same Seller Hist'!H:H)),"Não","Sim")</f>
        <v>Sim</v>
      </c>
      <c r="R308" s="21" t="str">
        <f>_xlfn.IFNA(_xlfn.XLOOKUP(D308,'Same Seller Hist'!D:D,'Same Seller Hist'!M:M),"Não Existe")</f>
        <v>Ativo</v>
      </c>
    </row>
    <row r="309" spans="3:18" x14ac:dyDescent="0.35">
      <c r="C309" s="18">
        <v>45992</v>
      </c>
      <c r="D309" s="5" t="s">
        <v>212</v>
      </c>
      <c r="E309" s="5" t="s">
        <v>942</v>
      </c>
      <c r="F309" s="5" t="s">
        <v>2077</v>
      </c>
      <c r="G309" s="5" t="s">
        <v>2116</v>
      </c>
      <c r="H309" s="21" t="str">
        <f t="shared" si="32"/>
        <v>k</v>
      </c>
      <c r="I309" s="22">
        <f t="shared" si="33"/>
        <v>9000</v>
      </c>
      <c r="J309" s="21" t="str">
        <f t="shared" si="34"/>
        <v>m</v>
      </c>
      <c r="K309" s="23">
        <f t="shared" si="35"/>
        <v>1000000</v>
      </c>
      <c r="L309" s="21">
        <v>5.3</v>
      </c>
      <c r="M309" s="22">
        <f t="shared" si="36"/>
        <v>31</v>
      </c>
      <c r="N309" s="23">
        <f t="shared" si="37"/>
        <v>32258.064516129034</v>
      </c>
      <c r="O309" s="23">
        <f t="shared" si="38"/>
        <v>290.32258064516128</v>
      </c>
      <c r="P309" s="23">
        <f t="shared" si="39"/>
        <v>111.11111111111111</v>
      </c>
      <c r="Q309" s="21" t="str">
        <f>IF(ISNA(_xlfn.XLOOKUP(D309,'Same Seller Hist'!H:H,'Same Seller Hist'!H:H)),"Não","Sim")</f>
        <v>Sim</v>
      </c>
      <c r="R309" s="21" t="str">
        <f>_xlfn.IFNA(_xlfn.XLOOKUP(D309,'Same Seller Hist'!D:D,'Same Seller Hist'!M:M),"Não Existe")</f>
        <v>Ativo</v>
      </c>
    </row>
    <row r="310" spans="3:18" x14ac:dyDescent="0.35">
      <c r="C310" s="18">
        <v>45992</v>
      </c>
      <c r="D310" s="5" t="s">
        <v>879</v>
      </c>
      <c r="E310" s="5" t="s">
        <v>941</v>
      </c>
      <c r="F310" s="5" t="s">
        <v>2078</v>
      </c>
      <c r="G310" s="5" t="s">
        <v>2335</v>
      </c>
      <c r="H310" s="21" t="str">
        <f t="shared" si="32"/>
        <v>k</v>
      </c>
      <c r="I310" s="22">
        <f t="shared" si="33"/>
        <v>8900</v>
      </c>
      <c r="J310" s="21" t="str">
        <f t="shared" si="34"/>
        <v>k</v>
      </c>
      <c r="K310" s="23">
        <f t="shared" si="35"/>
        <v>445800</v>
      </c>
      <c r="L310" s="21">
        <v>5.3</v>
      </c>
      <c r="M310" s="22">
        <f t="shared" si="36"/>
        <v>31</v>
      </c>
      <c r="N310" s="23">
        <f t="shared" si="37"/>
        <v>14380.645161290322</v>
      </c>
      <c r="O310" s="23">
        <f t="shared" si="38"/>
        <v>287.09677419354841</v>
      </c>
      <c r="P310" s="23">
        <f t="shared" si="39"/>
        <v>50.089887640449433</v>
      </c>
      <c r="Q310" s="21" t="str">
        <f>IF(ISNA(_xlfn.XLOOKUP(D310,'Same Seller Hist'!H:H,'Same Seller Hist'!H:H)),"Não","Sim")</f>
        <v>Sim</v>
      </c>
      <c r="R310" s="21" t="str">
        <f>_xlfn.IFNA(_xlfn.XLOOKUP(D310,'Same Seller Hist'!D:D,'Same Seller Hist'!M:M),"Não Existe")</f>
        <v>Ativo</v>
      </c>
    </row>
    <row r="311" spans="3:18" x14ac:dyDescent="0.35">
      <c r="C311" s="18">
        <v>45992</v>
      </c>
      <c r="D311" s="5" t="s">
        <v>901</v>
      </c>
      <c r="E311" s="5" t="s">
        <v>916</v>
      </c>
      <c r="F311" s="5" t="s">
        <v>2078</v>
      </c>
      <c r="G311" s="5" t="s">
        <v>2336</v>
      </c>
      <c r="H311" s="21" t="str">
        <f t="shared" si="32"/>
        <v>k</v>
      </c>
      <c r="I311" s="22">
        <f t="shared" si="33"/>
        <v>8900</v>
      </c>
      <c r="J311" s="21" t="str">
        <f t="shared" si="34"/>
        <v>k</v>
      </c>
      <c r="K311" s="23">
        <f t="shared" si="35"/>
        <v>299400</v>
      </c>
      <c r="L311" s="21">
        <v>5.3</v>
      </c>
      <c r="M311" s="22">
        <f t="shared" si="36"/>
        <v>31</v>
      </c>
      <c r="N311" s="23">
        <f t="shared" si="37"/>
        <v>9658.0645161290322</v>
      </c>
      <c r="O311" s="23">
        <f t="shared" si="38"/>
        <v>287.09677419354841</v>
      </c>
      <c r="P311" s="23">
        <f t="shared" si="39"/>
        <v>33.640449438202246</v>
      </c>
      <c r="Q311" s="21" t="str">
        <f>IF(ISNA(_xlfn.XLOOKUP(D311,'Same Seller Hist'!H:H,'Same Seller Hist'!H:H)),"Não","Sim")</f>
        <v>Sim</v>
      </c>
      <c r="R311" s="21" t="str">
        <f>_xlfn.IFNA(_xlfn.XLOOKUP(D311,'Same Seller Hist'!D:D,'Same Seller Hist'!M:M),"Não Existe")</f>
        <v>Ativo</v>
      </c>
    </row>
    <row r="312" spans="3:18" hidden="1" x14ac:dyDescent="0.35">
      <c r="C312" s="18">
        <v>45992</v>
      </c>
      <c r="D312" s="5" t="s">
        <v>1837</v>
      </c>
      <c r="E312" s="5" t="s">
        <v>1914</v>
      </c>
      <c r="F312" s="5" t="s">
        <v>2078</v>
      </c>
      <c r="G312" s="5" t="s">
        <v>2337</v>
      </c>
      <c r="H312" s="21" t="str">
        <f t="shared" si="32"/>
        <v>k</v>
      </c>
      <c r="I312" s="22">
        <f t="shared" si="33"/>
        <v>8900</v>
      </c>
      <c r="J312" s="21" t="str">
        <f t="shared" si="34"/>
        <v>k</v>
      </c>
      <c r="K312" s="23">
        <f t="shared" si="35"/>
        <v>172900</v>
      </c>
      <c r="L312" s="21">
        <v>5.3</v>
      </c>
      <c r="M312" s="22">
        <f t="shared" si="36"/>
        <v>31</v>
      </c>
      <c r="N312" s="23">
        <f t="shared" si="37"/>
        <v>5577.4193548387093</v>
      </c>
      <c r="O312" s="23">
        <f t="shared" si="38"/>
        <v>287.09677419354841</v>
      </c>
      <c r="P312" s="23">
        <f t="shared" si="39"/>
        <v>19.426966292134829</v>
      </c>
      <c r="Q312" s="21" t="str">
        <f>IF(ISNA(_xlfn.XLOOKUP(D312,'Same Seller Hist'!H:H,'Same Seller Hist'!H:H)),"Não","Sim")</f>
        <v>Não</v>
      </c>
      <c r="R312" s="21" t="str">
        <f>_xlfn.IFNA(_xlfn.XLOOKUP(D312,'Same Seller Hist'!D:D,'Same Seller Hist'!M:M),"Não Existe")</f>
        <v>Não Existe</v>
      </c>
    </row>
    <row r="313" spans="3:18" hidden="1" x14ac:dyDescent="0.35">
      <c r="C313" s="18">
        <v>45992</v>
      </c>
      <c r="D313" s="5" t="s">
        <v>1838</v>
      </c>
      <c r="E313" s="5" t="s">
        <v>969</v>
      </c>
      <c r="F313" s="5" t="s">
        <v>2079</v>
      </c>
      <c r="G313" s="5" t="s">
        <v>2338</v>
      </c>
      <c r="H313" s="21" t="str">
        <f t="shared" si="32"/>
        <v>k</v>
      </c>
      <c r="I313" s="22">
        <f t="shared" si="33"/>
        <v>8800</v>
      </c>
      <c r="J313" s="21" t="str">
        <f t="shared" si="34"/>
        <v>k</v>
      </c>
      <c r="K313" s="23">
        <f t="shared" si="35"/>
        <v>592400</v>
      </c>
      <c r="L313" s="21">
        <v>5.3</v>
      </c>
      <c r="M313" s="22">
        <f t="shared" si="36"/>
        <v>31</v>
      </c>
      <c r="N313" s="23">
        <f t="shared" si="37"/>
        <v>19109.677419354837</v>
      </c>
      <c r="O313" s="23">
        <f t="shared" si="38"/>
        <v>283.87096774193549</v>
      </c>
      <c r="P313" s="23">
        <f t="shared" si="39"/>
        <v>67.318181818181813</v>
      </c>
      <c r="Q313" s="21" t="str">
        <f>IF(ISNA(_xlfn.XLOOKUP(D313,'Same Seller Hist'!H:H,'Same Seller Hist'!H:H)),"Não","Sim")</f>
        <v>Não</v>
      </c>
      <c r="R313" s="21" t="str">
        <f>_xlfn.IFNA(_xlfn.XLOOKUP(D313,'Same Seller Hist'!D:D,'Same Seller Hist'!M:M),"Não Existe")</f>
        <v>Não Existe</v>
      </c>
    </row>
    <row r="314" spans="3:18" hidden="1" x14ac:dyDescent="0.35">
      <c r="C314" s="18">
        <v>45992</v>
      </c>
      <c r="D314" s="5" t="s">
        <v>1839</v>
      </c>
      <c r="E314" s="5" t="s">
        <v>942</v>
      </c>
      <c r="F314" s="5" t="s">
        <v>2079</v>
      </c>
      <c r="G314" s="5" t="s">
        <v>2118</v>
      </c>
      <c r="H314" s="21" t="str">
        <f t="shared" si="32"/>
        <v>k</v>
      </c>
      <c r="I314" s="22">
        <f t="shared" si="33"/>
        <v>8800</v>
      </c>
      <c r="J314" s="21" t="str">
        <f t="shared" si="34"/>
        <v>m</v>
      </c>
      <c r="K314" s="23">
        <f t="shared" si="35"/>
        <v>1100000</v>
      </c>
      <c r="L314" s="21">
        <v>5.3</v>
      </c>
      <c r="M314" s="22">
        <f t="shared" si="36"/>
        <v>31</v>
      </c>
      <c r="N314" s="23">
        <f t="shared" si="37"/>
        <v>35483.870967741932</v>
      </c>
      <c r="O314" s="23">
        <f t="shared" si="38"/>
        <v>283.87096774193549</v>
      </c>
      <c r="P314" s="23">
        <f t="shared" si="39"/>
        <v>124.99999999999999</v>
      </c>
      <c r="Q314" s="21" t="str">
        <f>IF(ISNA(_xlfn.XLOOKUP(D314,'Same Seller Hist'!H:H,'Same Seller Hist'!H:H)),"Não","Sim")</f>
        <v>Não</v>
      </c>
      <c r="R314" s="21" t="str">
        <f>_xlfn.IFNA(_xlfn.XLOOKUP(D314,'Same Seller Hist'!D:D,'Same Seller Hist'!M:M),"Não Existe")</f>
        <v>Não Existe</v>
      </c>
    </row>
    <row r="315" spans="3:18" x14ac:dyDescent="0.35">
      <c r="C315" s="18">
        <v>45992</v>
      </c>
      <c r="D315" s="5" t="s">
        <v>258</v>
      </c>
      <c r="E315" s="5" t="s">
        <v>916</v>
      </c>
      <c r="F315" s="5" t="s">
        <v>2079</v>
      </c>
      <c r="G315" s="5" t="s">
        <v>2339</v>
      </c>
      <c r="H315" s="21" t="str">
        <f t="shared" si="32"/>
        <v>k</v>
      </c>
      <c r="I315" s="22">
        <f t="shared" si="33"/>
        <v>8800</v>
      </c>
      <c r="J315" s="21" t="str">
        <f t="shared" si="34"/>
        <v>k</v>
      </c>
      <c r="K315" s="23">
        <f t="shared" si="35"/>
        <v>301400</v>
      </c>
      <c r="L315" s="21">
        <v>5.3</v>
      </c>
      <c r="M315" s="22">
        <f t="shared" si="36"/>
        <v>31</v>
      </c>
      <c r="N315" s="23">
        <f t="shared" si="37"/>
        <v>9722.5806451612898</v>
      </c>
      <c r="O315" s="23">
        <f t="shared" si="38"/>
        <v>283.87096774193549</v>
      </c>
      <c r="P315" s="23">
        <f t="shared" si="39"/>
        <v>34.25</v>
      </c>
      <c r="Q315" s="21" t="str">
        <f>IF(ISNA(_xlfn.XLOOKUP(D315,'Same Seller Hist'!H:H,'Same Seller Hist'!H:H)),"Não","Sim")</f>
        <v>Sim</v>
      </c>
      <c r="R315" s="21" t="str">
        <f>_xlfn.IFNA(_xlfn.XLOOKUP(D315,'Same Seller Hist'!D:D,'Same Seller Hist'!M:M),"Não Existe")</f>
        <v>Ativo</v>
      </c>
    </row>
    <row r="316" spans="3:18" x14ac:dyDescent="0.35">
      <c r="C316" s="18">
        <v>45992</v>
      </c>
      <c r="D316" s="5" t="s">
        <v>883</v>
      </c>
      <c r="E316" s="5" t="s">
        <v>908</v>
      </c>
      <c r="F316" s="5" t="s">
        <v>2079</v>
      </c>
      <c r="G316" s="5" t="s">
        <v>2340</v>
      </c>
      <c r="H316" s="21" t="str">
        <f t="shared" si="32"/>
        <v>k</v>
      </c>
      <c r="I316" s="22">
        <f t="shared" si="33"/>
        <v>8800</v>
      </c>
      <c r="J316" s="21" t="str">
        <f t="shared" si="34"/>
        <v>k</v>
      </c>
      <c r="K316" s="23">
        <f t="shared" si="35"/>
        <v>318300</v>
      </c>
      <c r="L316" s="21">
        <v>5.3</v>
      </c>
      <c r="M316" s="22">
        <f t="shared" si="36"/>
        <v>31</v>
      </c>
      <c r="N316" s="23">
        <f t="shared" si="37"/>
        <v>10267.741935483871</v>
      </c>
      <c r="O316" s="23">
        <f t="shared" si="38"/>
        <v>283.87096774193549</v>
      </c>
      <c r="P316" s="23">
        <f t="shared" si="39"/>
        <v>36.170454545454547</v>
      </c>
      <c r="Q316" s="21" t="str">
        <f>IF(ISNA(_xlfn.XLOOKUP(D316,'Same Seller Hist'!H:H,'Same Seller Hist'!H:H)),"Não","Sim")</f>
        <v>Sim</v>
      </c>
      <c r="R316" s="21" t="str">
        <f>_xlfn.IFNA(_xlfn.XLOOKUP(D316,'Same Seller Hist'!D:D,'Same Seller Hist'!M:M),"Não Existe")</f>
        <v>Ativo</v>
      </c>
    </row>
    <row r="317" spans="3:18" x14ac:dyDescent="0.35">
      <c r="C317" s="18">
        <v>45992</v>
      </c>
      <c r="D317" s="5" t="s">
        <v>279</v>
      </c>
      <c r="E317" s="5" t="s">
        <v>933</v>
      </c>
      <c r="F317" s="5" t="s">
        <v>2079</v>
      </c>
      <c r="G317" s="5" t="s">
        <v>2341</v>
      </c>
      <c r="H317" s="21" t="str">
        <f t="shared" si="32"/>
        <v>k</v>
      </c>
      <c r="I317" s="22">
        <f t="shared" si="33"/>
        <v>8800</v>
      </c>
      <c r="J317" s="21" t="str">
        <f t="shared" si="34"/>
        <v>k</v>
      </c>
      <c r="K317" s="23">
        <f t="shared" si="35"/>
        <v>351700</v>
      </c>
      <c r="L317" s="21">
        <v>5.3</v>
      </c>
      <c r="M317" s="22">
        <f t="shared" si="36"/>
        <v>31</v>
      </c>
      <c r="N317" s="23">
        <f t="shared" si="37"/>
        <v>11345.161290322581</v>
      </c>
      <c r="O317" s="23">
        <f t="shared" si="38"/>
        <v>283.87096774193549</v>
      </c>
      <c r="P317" s="23">
        <f t="shared" si="39"/>
        <v>39.965909090909093</v>
      </c>
      <c r="Q317" s="21" t="str">
        <f>IF(ISNA(_xlfn.XLOOKUP(D317,'Same Seller Hist'!H:H,'Same Seller Hist'!H:H)),"Não","Sim")</f>
        <v>Sim</v>
      </c>
      <c r="R317" s="21" t="str">
        <f>_xlfn.IFNA(_xlfn.XLOOKUP(D317,'Same Seller Hist'!D:D,'Same Seller Hist'!M:M),"Não Existe")</f>
        <v>Ativo</v>
      </c>
    </row>
    <row r="318" spans="3:18" hidden="1" x14ac:dyDescent="0.35">
      <c r="C318" s="18">
        <v>45992</v>
      </c>
      <c r="D318" s="5" t="s">
        <v>1840</v>
      </c>
      <c r="E318" s="5" t="s">
        <v>913</v>
      </c>
      <c r="F318" s="5" t="s">
        <v>2079</v>
      </c>
      <c r="G318" s="5" t="s">
        <v>2342</v>
      </c>
      <c r="H318" s="21" t="str">
        <f t="shared" si="32"/>
        <v>k</v>
      </c>
      <c r="I318" s="22">
        <f t="shared" si="33"/>
        <v>8800</v>
      </c>
      <c r="J318" s="21" t="str">
        <f t="shared" si="34"/>
        <v>k</v>
      </c>
      <c r="K318" s="23">
        <f t="shared" si="35"/>
        <v>537800</v>
      </c>
      <c r="L318" s="21">
        <v>5.3</v>
      </c>
      <c r="M318" s="22">
        <f t="shared" si="36"/>
        <v>31</v>
      </c>
      <c r="N318" s="23">
        <f t="shared" si="37"/>
        <v>17348.387096774193</v>
      </c>
      <c r="O318" s="23">
        <f t="shared" si="38"/>
        <v>283.87096774193549</v>
      </c>
      <c r="P318" s="23">
        <f t="shared" si="39"/>
        <v>61.11363636363636</v>
      </c>
      <c r="Q318" s="21" t="str">
        <f>IF(ISNA(_xlfn.XLOOKUP(D318,'Same Seller Hist'!H:H,'Same Seller Hist'!H:H)),"Não","Sim")</f>
        <v>Não</v>
      </c>
      <c r="R318" s="21" t="str">
        <f>_xlfn.IFNA(_xlfn.XLOOKUP(D318,'Same Seller Hist'!D:D,'Same Seller Hist'!M:M),"Não Existe")</f>
        <v>Não Existe</v>
      </c>
    </row>
    <row r="319" spans="3:18" hidden="1" x14ac:dyDescent="0.35">
      <c r="C319" s="18">
        <v>45992</v>
      </c>
      <c r="D319" s="5" t="s">
        <v>775</v>
      </c>
      <c r="E319" s="5" t="s">
        <v>941</v>
      </c>
      <c r="F319" s="5" t="s">
        <v>2080</v>
      </c>
      <c r="G319" s="5" t="s">
        <v>2343</v>
      </c>
      <c r="H319" s="21" t="str">
        <f t="shared" si="32"/>
        <v>k</v>
      </c>
      <c r="I319" s="22">
        <f t="shared" si="33"/>
        <v>8700</v>
      </c>
      <c r="J319" s="21" t="str">
        <f t="shared" si="34"/>
        <v>k</v>
      </c>
      <c r="K319" s="23">
        <f t="shared" si="35"/>
        <v>628800</v>
      </c>
      <c r="L319" s="21">
        <v>5.3</v>
      </c>
      <c r="M319" s="22">
        <f t="shared" si="36"/>
        <v>31</v>
      </c>
      <c r="N319" s="23">
        <f t="shared" si="37"/>
        <v>20283.870967741936</v>
      </c>
      <c r="O319" s="23">
        <f t="shared" si="38"/>
        <v>280.64516129032256</v>
      </c>
      <c r="P319" s="23">
        <f t="shared" si="39"/>
        <v>72.275862068965523</v>
      </c>
      <c r="Q319" s="21" t="str">
        <f>IF(ISNA(_xlfn.XLOOKUP(D319,'Same Seller Hist'!H:H,'Same Seller Hist'!H:H)),"Não","Sim")</f>
        <v>Não</v>
      </c>
      <c r="R319" s="21" t="str">
        <f>_xlfn.IFNA(_xlfn.XLOOKUP(D319,'Same Seller Hist'!D:D,'Same Seller Hist'!M:M),"Não Existe")</f>
        <v>Ativo</v>
      </c>
    </row>
    <row r="320" spans="3:18" x14ac:dyDescent="0.35">
      <c r="C320" s="18">
        <v>45992</v>
      </c>
      <c r="D320" s="5" t="s">
        <v>383</v>
      </c>
      <c r="E320" s="5" t="s">
        <v>928</v>
      </c>
      <c r="F320" s="5" t="s">
        <v>2080</v>
      </c>
      <c r="G320" s="5" t="s">
        <v>2344</v>
      </c>
      <c r="H320" s="21" t="str">
        <f t="shared" si="32"/>
        <v>k</v>
      </c>
      <c r="I320" s="22">
        <f t="shared" si="33"/>
        <v>8700</v>
      </c>
      <c r="J320" s="21" t="str">
        <f t="shared" si="34"/>
        <v>k</v>
      </c>
      <c r="K320" s="23">
        <f t="shared" si="35"/>
        <v>509800</v>
      </c>
      <c r="L320" s="21">
        <v>5.3</v>
      </c>
      <c r="M320" s="22">
        <f t="shared" si="36"/>
        <v>31</v>
      </c>
      <c r="N320" s="23">
        <f t="shared" si="37"/>
        <v>16445.16129032258</v>
      </c>
      <c r="O320" s="23">
        <f t="shared" si="38"/>
        <v>280.64516129032256</v>
      </c>
      <c r="P320" s="23">
        <f t="shared" si="39"/>
        <v>58.597701149425291</v>
      </c>
      <c r="Q320" s="21" t="str">
        <f>IF(ISNA(_xlfn.XLOOKUP(D320,'Same Seller Hist'!H:H,'Same Seller Hist'!H:H)),"Não","Sim")</f>
        <v>Sim</v>
      </c>
      <c r="R320" s="21" t="str">
        <f>_xlfn.IFNA(_xlfn.XLOOKUP(D320,'Same Seller Hist'!D:D,'Same Seller Hist'!M:M),"Não Existe")</f>
        <v>Ativo</v>
      </c>
    </row>
    <row r="321" spans="3:18" x14ac:dyDescent="0.35">
      <c r="C321" s="18">
        <v>45992</v>
      </c>
      <c r="D321" s="5" t="s">
        <v>214</v>
      </c>
      <c r="E321" s="5" t="s">
        <v>918</v>
      </c>
      <c r="F321" s="5" t="s">
        <v>2080</v>
      </c>
      <c r="G321" s="5" t="s">
        <v>2345</v>
      </c>
      <c r="H321" s="21" t="str">
        <f t="shared" si="32"/>
        <v>k</v>
      </c>
      <c r="I321" s="22">
        <f t="shared" si="33"/>
        <v>8700</v>
      </c>
      <c r="J321" s="21" t="str">
        <f t="shared" si="34"/>
        <v>k</v>
      </c>
      <c r="K321" s="23">
        <f t="shared" si="35"/>
        <v>432500</v>
      </c>
      <c r="L321" s="21">
        <v>5.3</v>
      </c>
      <c r="M321" s="22">
        <f t="shared" si="36"/>
        <v>31</v>
      </c>
      <c r="N321" s="23">
        <f t="shared" si="37"/>
        <v>13951.612903225807</v>
      </c>
      <c r="O321" s="23">
        <f t="shared" si="38"/>
        <v>280.64516129032256</v>
      </c>
      <c r="P321" s="23">
        <f t="shared" si="39"/>
        <v>49.712643678160923</v>
      </c>
      <c r="Q321" s="21" t="str">
        <f>IF(ISNA(_xlfn.XLOOKUP(D321,'Same Seller Hist'!H:H,'Same Seller Hist'!H:H)),"Não","Sim")</f>
        <v>Sim</v>
      </c>
      <c r="R321" s="21" t="str">
        <f>_xlfn.IFNA(_xlfn.XLOOKUP(D321,'Same Seller Hist'!D:D,'Same Seller Hist'!M:M),"Não Existe")</f>
        <v>Ativo</v>
      </c>
    </row>
    <row r="322" spans="3:18" x14ac:dyDescent="0.35">
      <c r="C322" s="18">
        <v>45992</v>
      </c>
      <c r="D322" s="5" t="s">
        <v>550</v>
      </c>
      <c r="E322" s="5" t="s">
        <v>910</v>
      </c>
      <c r="F322" s="5" t="s">
        <v>2080</v>
      </c>
      <c r="G322" s="5" t="s">
        <v>2346</v>
      </c>
      <c r="H322" s="21" t="str">
        <f t="shared" si="32"/>
        <v>k</v>
      </c>
      <c r="I322" s="22">
        <f t="shared" si="33"/>
        <v>8700</v>
      </c>
      <c r="J322" s="21" t="str">
        <f t="shared" si="34"/>
        <v>k</v>
      </c>
      <c r="K322" s="23">
        <f t="shared" si="35"/>
        <v>446800</v>
      </c>
      <c r="L322" s="21">
        <v>5.3</v>
      </c>
      <c r="M322" s="22">
        <f t="shared" si="36"/>
        <v>31</v>
      </c>
      <c r="N322" s="23">
        <f t="shared" si="37"/>
        <v>14412.903225806451</v>
      </c>
      <c r="O322" s="23">
        <f t="shared" si="38"/>
        <v>280.64516129032256</v>
      </c>
      <c r="P322" s="23">
        <f t="shared" si="39"/>
        <v>51.356321839080458</v>
      </c>
      <c r="Q322" s="21" t="str">
        <f>IF(ISNA(_xlfn.XLOOKUP(D322,'Same Seller Hist'!H:H,'Same Seller Hist'!H:H)),"Não","Sim")</f>
        <v>Sim</v>
      </c>
      <c r="R322" s="21" t="str">
        <f>_xlfn.IFNA(_xlfn.XLOOKUP(D322,'Same Seller Hist'!D:D,'Same Seller Hist'!M:M),"Não Existe")</f>
        <v>Ativo</v>
      </c>
    </row>
    <row r="323" spans="3:18" x14ac:dyDescent="0.35">
      <c r="C323" s="18">
        <v>45992</v>
      </c>
      <c r="D323" s="5" t="s">
        <v>902</v>
      </c>
      <c r="E323" s="5" t="s">
        <v>913</v>
      </c>
      <c r="F323" s="5" t="s">
        <v>2080</v>
      </c>
      <c r="G323" s="5" t="s">
        <v>2347</v>
      </c>
      <c r="H323" s="21" t="str">
        <f t="shared" si="32"/>
        <v>k</v>
      </c>
      <c r="I323" s="22">
        <f t="shared" si="33"/>
        <v>8700</v>
      </c>
      <c r="J323" s="21" t="str">
        <f t="shared" si="34"/>
        <v>k</v>
      </c>
      <c r="K323" s="23">
        <f t="shared" si="35"/>
        <v>272800</v>
      </c>
      <c r="L323" s="21">
        <v>5.3</v>
      </c>
      <c r="M323" s="22">
        <f t="shared" si="36"/>
        <v>31</v>
      </c>
      <c r="N323" s="23">
        <f t="shared" si="37"/>
        <v>8800</v>
      </c>
      <c r="O323" s="23">
        <f t="shared" si="38"/>
        <v>280.64516129032256</v>
      </c>
      <c r="P323" s="23">
        <f t="shared" si="39"/>
        <v>31.356321839080461</v>
      </c>
      <c r="Q323" s="21" t="str">
        <f>IF(ISNA(_xlfn.XLOOKUP(D323,'Same Seller Hist'!H:H,'Same Seller Hist'!H:H)),"Não","Sim")</f>
        <v>Sim</v>
      </c>
      <c r="R323" s="21" t="str">
        <f>_xlfn.IFNA(_xlfn.XLOOKUP(D323,'Same Seller Hist'!D:D,'Same Seller Hist'!M:M),"Não Existe")</f>
        <v>Ativo</v>
      </c>
    </row>
    <row r="324" spans="3:18" hidden="1" x14ac:dyDescent="0.35">
      <c r="C324" s="18">
        <v>45992</v>
      </c>
      <c r="D324" s="5" t="s">
        <v>1841</v>
      </c>
      <c r="E324" s="5" t="s">
        <v>913</v>
      </c>
      <c r="F324" s="5" t="s">
        <v>2080</v>
      </c>
      <c r="G324" s="5" t="s">
        <v>2348</v>
      </c>
      <c r="H324" s="21" t="str">
        <f t="shared" si="32"/>
        <v>k</v>
      </c>
      <c r="I324" s="22">
        <f t="shared" si="33"/>
        <v>8700</v>
      </c>
      <c r="J324" s="21" t="str">
        <f t="shared" si="34"/>
        <v>k</v>
      </c>
      <c r="K324" s="23">
        <f t="shared" si="35"/>
        <v>480700</v>
      </c>
      <c r="L324" s="21">
        <v>5.3</v>
      </c>
      <c r="M324" s="22">
        <f t="shared" si="36"/>
        <v>31</v>
      </c>
      <c r="N324" s="23">
        <f t="shared" si="37"/>
        <v>15506.451612903225</v>
      </c>
      <c r="O324" s="23">
        <f t="shared" si="38"/>
        <v>280.64516129032256</v>
      </c>
      <c r="P324" s="23">
        <f t="shared" si="39"/>
        <v>55.252873563218394</v>
      </c>
      <c r="Q324" s="21" t="str">
        <f>IF(ISNA(_xlfn.XLOOKUP(D324,'Same Seller Hist'!H:H,'Same Seller Hist'!H:H)),"Não","Sim")</f>
        <v>Não</v>
      </c>
      <c r="R324" s="21" t="str">
        <f>_xlfn.IFNA(_xlfn.XLOOKUP(D324,'Same Seller Hist'!D:D,'Same Seller Hist'!M:M),"Não Existe")</f>
        <v>Não Existe</v>
      </c>
    </row>
    <row r="325" spans="3:18" hidden="1" x14ac:dyDescent="0.35">
      <c r="C325" s="18">
        <v>45992</v>
      </c>
      <c r="D325" s="5" t="s">
        <v>1842</v>
      </c>
      <c r="E325" s="5" t="s">
        <v>975</v>
      </c>
      <c r="F325" s="5" t="s">
        <v>2080</v>
      </c>
      <c r="G325" s="5" t="s">
        <v>2349</v>
      </c>
      <c r="H325" s="21" t="str">
        <f t="shared" si="32"/>
        <v>k</v>
      </c>
      <c r="I325" s="22">
        <f t="shared" si="33"/>
        <v>8700</v>
      </c>
      <c r="J325" s="21" t="str">
        <f t="shared" si="34"/>
        <v>k</v>
      </c>
      <c r="K325" s="23">
        <f t="shared" si="35"/>
        <v>884000</v>
      </c>
      <c r="L325" s="21">
        <v>5.3</v>
      </c>
      <c r="M325" s="22">
        <f t="shared" si="36"/>
        <v>31</v>
      </c>
      <c r="N325" s="23">
        <f t="shared" si="37"/>
        <v>28516.129032258064</v>
      </c>
      <c r="O325" s="23">
        <f t="shared" si="38"/>
        <v>280.64516129032256</v>
      </c>
      <c r="P325" s="23">
        <f t="shared" si="39"/>
        <v>101.60919540229885</v>
      </c>
      <c r="Q325" s="21" t="str">
        <f>IF(ISNA(_xlfn.XLOOKUP(D325,'Same Seller Hist'!H:H,'Same Seller Hist'!H:H)),"Não","Sim")</f>
        <v>Não</v>
      </c>
      <c r="R325" s="21" t="str">
        <f>_xlfn.IFNA(_xlfn.XLOOKUP(D325,'Same Seller Hist'!D:D,'Same Seller Hist'!M:M),"Não Existe")</f>
        <v>Não Existe</v>
      </c>
    </row>
    <row r="326" spans="3:18" x14ac:dyDescent="0.35">
      <c r="C326" s="18">
        <v>45992</v>
      </c>
      <c r="D326" s="5" t="s">
        <v>73</v>
      </c>
      <c r="E326" s="5" t="s">
        <v>911</v>
      </c>
      <c r="F326" s="5" t="s">
        <v>2080</v>
      </c>
      <c r="G326" s="5" t="s">
        <v>2350</v>
      </c>
      <c r="H326" s="21" t="str">
        <f t="shared" si="32"/>
        <v>k</v>
      </c>
      <c r="I326" s="22">
        <f t="shared" si="33"/>
        <v>8700</v>
      </c>
      <c r="J326" s="21" t="str">
        <f t="shared" si="34"/>
        <v>k</v>
      </c>
      <c r="K326" s="23">
        <f t="shared" si="35"/>
        <v>236900</v>
      </c>
      <c r="L326" s="21">
        <v>5.3</v>
      </c>
      <c r="M326" s="22">
        <f t="shared" si="36"/>
        <v>31</v>
      </c>
      <c r="N326" s="23">
        <f t="shared" si="37"/>
        <v>7641.9354838709678</v>
      </c>
      <c r="O326" s="23">
        <f t="shared" si="38"/>
        <v>280.64516129032256</v>
      </c>
      <c r="P326" s="23">
        <f t="shared" si="39"/>
        <v>27.229885057471268</v>
      </c>
      <c r="Q326" s="21" t="str">
        <f>IF(ISNA(_xlfn.XLOOKUP(D326,'Same Seller Hist'!H:H,'Same Seller Hist'!H:H)),"Não","Sim")</f>
        <v>Sim</v>
      </c>
      <c r="R326" s="21" t="str">
        <f>_xlfn.IFNA(_xlfn.XLOOKUP(D326,'Same Seller Hist'!D:D,'Same Seller Hist'!M:M),"Não Existe")</f>
        <v>Ativo</v>
      </c>
    </row>
    <row r="327" spans="3:18" hidden="1" x14ac:dyDescent="0.35">
      <c r="C327" s="18">
        <v>45992</v>
      </c>
      <c r="D327" s="5" t="s">
        <v>184</v>
      </c>
      <c r="E327" s="5" t="s">
        <v>908</v>
      </c>
      <c r="F327" s="5" t="s">
        <v>2080</v>
      </c>
      <c r="G327" s="5" t="s">
        <v>2351</v>
      </c>
      <c r="H327" s="21" t="str">
        <f t="shared" si="32"/>
        <v>k</v>
      </c>
      <c r="I327" s="22">
        <f t="shared" si="33"/>
        <v>8700</v>
      </c>
      <c r="J327" s="21" t="str">
        <f t="shared" si="34"/>
        <v>k</v>
      </c>
      <c r="K327" s="23">
        <f t="shared" si="35"/>
        <v>848300</v>
      </c>
      <c r="L327" s="21">
        <v>5.3</v>
      </c>
      <c r="M327" s="22">
        <f t="shared" si="36"/>
        <v>31</v>
      </c>
      <c r="N327" s="23">
        <f t="shared" si="37"/>
        <v>27364.516129032258</v>
      </c>
      <c r="O327" s="23">
        <f t="shared" si="38"/>
        <v>280.64516129032256</v>
      </c>
      <c r="P327" s="23">
        <f t="shared" si="39"/>
        <v>97.505747126436788</v>
      </c>
      <c r="Q327" s="21" t="str">
        <f>IF(ISNA(_xlfn.XLOOKUP(D327,'Same Seller Hist'!H:H,'Same Seller Hist'!H:H)),"Não","Sim")</f>
        <v>Não</v>
      </c>
      <c r="R327" s="21" t="str">
        <f>_xlfn.IFNA(_xlfn.XLOOKUP(D327,'Same Seller Hist'!D:D,'Same Seller Hist'!M:M),"Não Existe")</f>
        <v>Ativo</v>
      </c>
    </row>
    <row r="328" spans="3:18" x14ac:dyDescent="0.35">
      <c r="C328" s="18">
        <v>45992</v>
      </c>
      <c r="D328" s="5" t="s">
        <v>85</v>
      </c>
      <c r="E328" s="5" t="s">
        <v>939</v>
      </c>
      <c r="F328" s="5" t="s">
        <v>2081</v>
      </c>
      <c r="G328" s="5" t="s">
        <v>2352</v>
      </c>
      <c r="H328" s="21" t="str">
        <f t="shared" si="32"/>
        <v>k</v>
      </c>
      <c r="I328" s="22">
        <f t="shared" si="33"/>
        <v>8600</v>
      </c>
      <c r="J328" s="21" t="str">
        <f t="shared" si="34"/>
        <v>k</v>
      </c>
      <c r="K328" s="23">
        <f t="shared" si="35"/>
        <v>473600</v>
      </c>
      <c r="L328" s="21">
        <v>5.3</v>
      </c>
      <c r="M328" s="22">
        <f t="shared" si="36"/>
        <v>31</v>
      </c>
      <c r="N328" s="23">
        <f t="shared" si="37"/>
        <v>15277.41935483871</v>
      </c>
      <c r="O328" s="23">
        <f t="shared" si="38"/>
        <v>277.41935483870969</v>
      </c>
      <c r="P328" s="23">
        <f t="shared" si="39"/>
        <v>55.069767441860463</v>
      </c>
      <c r="Q328" s="21" t="str">
        <f>IF(ISNA(_xlfn.XLOOKUP(D328,'Same Seller Hist'!H:H,'Same Seller Hist'!H:H)),"Não","Sim")</f>
        <v>Sim</v>
      </c>
      <c r="R328" s="21" t="str">
        <f>_xlfn.IFNA(_xlfn.XLOOKUP(D328,'Same Seller Hist'!D:D,'Same Seller Hist'!M:M),"Não Existe")</f>
        <v>Ativo</v>
      </c>
    </row>
    <row r="329" spans="3:18" hidden="1" x14ac:dyDescent="0.35">
      <c r="C329" s="18">
        <v>45992</v>
      </c>
      <c r="D329" s="5" t="s">
        <v>1843</v>
      </c>
      <c r="E329" s="5" t="s">
        <v>942</v>
      </c>
      <c r="F329" s="5" t="s">
        <v>2081</v>
      </c>
      <c r="G329" s="5" t="s">
        <v>2353</v>
      </c>
      <c r="H329" s="21" t="str">
        <f t="shared" ref="H329:H392" si="40">RIGHT(F329,1)</f>
        <v>k</v>
      </c>
      <c r="I329" s="22">
        <f t="shared" ref="I329:I392" si="41">VALUE(SUBSTITUTE(_xlfn.REGEXREPLACE(F329,"[^0-9.]",""),".",",")) * IF(H329="m",1000000,IF(H329="k",1000,"Erro"))</f>
        <v>8600</v>
      </c>
      <c r="J329" s="21" t="str">
        <f t="shared" ref="J329:J392" si="42">RIGHT(G329,1)</f>
        <v>k</v>
      </c>
      <c r="K329" s="23">
        <f t="shared" ref="K329:K392" si="43">VALUE(SUBSTITUTE(_xlfn.REGEXREPLACE(G329,"[^0-9.]",""),".",",")) * IF(J329="m",1000000,IF(J329="k",1000,"Erro"))</f>
        <v>353600</v>
      </c>
      <c r="L329" s="21">
        <v>5.3</v>
      </c>
      <c r="M329" s="22">
        <f t="shared" ref="M329:M392" si="44">DAY(EOMONTH(C329,0))</f>
        <v>31</v>
      </c>
      <c r="N329" s="23">
        <f t="shared" ref="N329:N392" si="45">K329/M329</f>
        <v>11406.451612903225</v>
      </c>
      <c r="O329" s="23">
        <f t="shared" ref="O329:O392" si="46">I329/M329</f>
        <v>277.41935483870969</v>
      </c>
      <c r="P329" s="23">
        <f t="shared" ref="P329:P392" si="47">N329/O329</f>
        <v>41.116279069767437</v>
      </c>
      <c r="Q329" s="21" t="str">
        <f>IF(ISNA(_xlfn.XLOOKUP(D329,'Same Seller Hist'!H:H,'Same Seller Hist'!H:H)),"Não","Sim")</f>
        <v>Não</v>
      </c>
      <c r="R329" s="21" t="str">
        <f>_xlfn.IFNA(_xlfn.XLOOKUP(D329,'Same Seller Hist'!D:D,'Same Seller Hist'!M:M),"Não Existe")</f>
        <v>Não Existe</v>
      </c>
    </row>
    <row r="330" spans="3:18" hidden="1" x14ac:dyDescent="0.35">
      <c r="C330" s="18">
        <v>45992</v>
      </c>
      <c r="D330" s="5" t="s">
        <v>678</v>
      </c>
      <c r="E330" s="5" t="s">
        <v>928</v>
      </c>
      <c r="F330" s="5" t="s">
        <v>2081</v>
      </c>
      <c r="G330" s="5" t="s">
        <v>2354</v>
      </c>
      <c r="H330" s="21" t="str">
        <f t="shared" si="40"/>
        <v>k</v>
      </c>
      <c r="I330" s="22">
        <f t="shared" si="41"/>
        <v>8600</v>
      </c>
      <c r="J330" s="21" t="str">
        <f t="shared" si="42"/>
        <v>k</v>
      </c>
      <c r="K330" s="23">
        <f t="shared" si="43"/>
        <v>337400</v>
      </c>
      <c r="L330" s="21">
        <v>5.3</v>
      </c>
      <c r="M330" s="22">
        <f t="shared" si="44"/>
        <v>31</v>
      </c>
      <c r="N330" s="23">
        <f t="shared" si="45"/>
        <v>10883.870967741936</v>
      </c>
      <c r="O330" s="23">
        <f t="shared" si="46"/>
        <v>277.41935483870969</v>
      </c>
      <c r="P330" s="23">
        <f t="shared" si="47"/>
        <v>39.232558139534881</v>
      </c>
      <c r="Q330" s="21" t="str">
        <f>IF(ISNA(_xlfn.XLOOKUP(D330,'Same Seller Hist'!H:H,'Same Seller Hist'!H:H)),"Não","Sim")</f>
        <v>Não</v>
      </c>
      <c r="R330" s="21" t="str">
        <f>_xlfn.IFNA(_xlfn.XLOOKUP(D330,'Same Seller Hist'!D:D,'Same Seller Hist'!M:M),"Não Existe")</f>
        <v>Ativo</v>
      </c>
    </row>
    <row r="331" spans="3:18" hidden="1" x14ac:dyDescent="0.35">
      <c r="C331" s="18">
        <v>45992</v>
      </c>
      <c r="D331" s="5" t="s">
        <v>65</v>
      </c>
      <c r="E331" s="5" t="s">
        <v>926</v>
      </c>
      <c r="F331" s="5" t="s">
        <v>2082</v>
      </c>
      <c r="G331" s="5" t="s">
        <v>2355</v>
      </c>
      <c r="H331" s="21" t="str">
        <f t="shared" si="40"/>
        <v>k</v>
      </c>
      <c r="I331" s="22">
        <f t="shared" si="41"/>
        <v>8500</v>
      </c>
      <c r="J331" s="21" t="str">
        <f t="shared" si="42"/>
        <v>k</v>
      </c>
      <c r="K331" s="23">
        <f t="shared" si="43"/>
        <v>367100</v>
      </c>
      <c r="L331" s="21">
        <v>5.3</v>
      </c>
      <c r="M331" s="22">
        <f t="shared" si="44"/>
        <v>31</v>
      </c>
      <c r="N331" s="23">
        <f t="shared" si="45"/>
        <v>11841.935483870968</v>
      </c>
      <c r="O331" s="23">
        <f t="shared" si="46"/>
        <v>274.19354838709677</v>
      </c>
      <c r="P331" s="23">
        <f t="shared" si="47"/>
        <v>43.188235294117646</v>
      </c>
      <c r="Q331" s="21" t="str">
        <f>IF(ISNA(_xlfn.XLOOKUP(D331,'Same Seller Hist'!H:H,'Same Seller Hist'!H:H)),"Não","Sim")</f>
        <v>Não</v>
      </c>
      <c r="R331" s="21" t="str">
        <f>_xlfn.IFNA(_xlfn.XLOOKUP(D331,'Same Seller Hist'!D:D,'Same Seller Hist'!M:M),"Não Existe")</f>
        <v>Ativo</v>
      </c>
    </row>
    <row r="332" spans="3:18" x14ac:dyDescent="0.35">
      <c r="C332" s="18">
        <v>45992</v>
      </c>
      <c r="D332" s="5" t="s">
        <v>284</v>
      </c>
      <c r="E332" s="5" t="s">
        <v>926</v>
      </c>
      <c r="F332" s="5" t="s">
        <v>2082</v>
      </c>
      <c r="G332" s="5" t="s">
        <v>2356</v>
      </c>
      <c r="H332" s="21" t="str">
        <f t="shared" si="40"/>
        <v>k</v>
      </c>
      <c r="I332" s="22">
        <f t="shared" si="41"/>
        <v>8500</v>
      </c>
      <c r="J332" s="21" t="str">
        <f t="shared" si="42"/>
        <v>k</v>
      </c>
      <c r="K332" s="23">
        <f t="shared" si="43"/>
        <v>109600</v>
      </c>
      <c r="L332" s="21">
        <v>5.3</v>
      </c>
      <c r="M332" s="22">
        <f t="shared" si="44"/>
        <v>31</v>
      </c>
      <c r="N332" s="23">
        <f t="shared" si="45"/>
        <v>3535.483870967742</v>
      </c>
      <c r="O332" s="23">
        <f t="shared" si="46"/>
        <v>274.19354838709677</v>
      </c>
      <c r="P332" s="23">
        <f t="shared" si="47"/>
        <v>12.894117647058824</v>
      </c>
      <c r="Q332" s="21" t="str">
        <f>IF(ISNA(_xlfn.XLOOKUP(D332,'Same Seller Hist'!H:H,'Same Seller Hist'!H:H)),"Não","Sim")</f>
        <v>Sim</v>
      </c>
      <c r="R332" s="21" t="str">
        <f>_xlfn.IFNA(_xlfn.XLOOKUP(D332,'Same Seller Hist'!D:D,'Same Seller Hist'!M:M),"Não Existe")</f>
        <v>Ativo</v>
      </c>
    </row>
    <row r="333" spans="3:18" x14ac:dyDescent="0.35">
      <c r="C333" s="18">
        <v>45992</v>
      </c>
      <c r="D333" s="5" t="s">
        <v>223</v>
      </c>
      <c r="E333" s="5" t="s">
        <v>908</v>
      </c>
      <c r="F333" s="5" t="s">
        <v>2082</v>
      </c>
      <c r="G333" s="5" t="s">
        <v>2357</v>
      </c>
      <c r="H333" s="21" t="str">
        <f t="shared" si="40"/>
        <v>k</v>
      </c>
      <c r="I333" s="22">
        <f t="shared" si="41"/>
        <v>8500</v>
      </c>
      <c r="J333" s="21" t="str">
        <f t="shared" si="42"/>
        <v>k</v>
      </c>
      <c r="K333" s="23">
        <f t="shared" si="43"/>
        <v>461000</v>
      </c>
      <c r="L333" s="21">
        <v>5.3</v>
      </c>
      <c r="M333" s="22">
        <f t="shared" si="44"/>
        <v>31</v>
      </c>
      <c r="N333" s="23">
        <f t="shared" si="45"/>
        <v>14870.967741935483</v>
      </c>
      <c r="O333" s="23">
        <f t="shared" si="46"/>
        <v>274.19354838709677</v>
      </c>
      <c r="P333" s="23">
        <f t="shared" si="47"/>
        <v>54.235294117647058</v>
      </c>
      <c r="Q333" s="21" t="str">
        <f>IF(ISNA(_xlfn.XLOOKUP(D333,'Same Seller Hist'!H:H,'Same Seller Hist'!H:H)),"Não","Sim")</f>
        <v>Sim</v>
      </c>
      <c r="R333" s="21" t="str">
        <f>_xlfn.IFNA(_xlfn.XLOOKUP(D333,'Same Seller Hist'!D:D,'Same Seller Hist'!M:M),"Não Existe")</f>
        <v>Ativo</v>
      </c>
    </row>
    <row r="334" spans="3:18" hidden="1" x14ac:dyDescent="0.35">
      <c r="C334" s="18">
        <v>45992</v>
      </c>
      <c r="D334" s="5" t="s">
        <v>1844</v>
      </c>
      <c r="E334" s="5" t="s">
        <v>942</v>
      </c>
      <c r="F334" s="5" t="s">
        <v>2082</v>
      </c>
      <c r="G334" s="5" t="s">
        <v>2358</v>
      </c>
      <c r="H334" s="21" t="str">
        <f t="shared" si="40"/>
        <v>k</v>
      </c>
      <c r="I334" s="22">
        <f t="shared" si="41"/>
        <v>8500</v>
      </c>
      <c r="J334" s="21" t="str">
        <f t="shared" si="42"/>
        <v>k</v>
      </c>
      <c r="K334" s="23">
        <f t="shared" si="43"/>
        <v>374500</v>
      </c>
      <c r="L334" s="21">
        <v>5.3</v>
      </c>
      <c r="M334" s="22">
        <f t="shared" si="44"/>
        <v>31</v>
      </c>
      <c r="N334" s="23">
        <f t="shared" si="45"/>
        <v>12080.645161290322</v>
      </c>
      <c r="O334" s="23">
        <f t="shared" si="46"/>
        <v>274.19354838709677</v>
      </c>
      <c r="P334" s="23">
        <f t="shared" si="47"/>
        <v>44.058823529411761</v>
      </c>
      <c r="Q334" s="21" t="str">
        <f>IF(ISNA(_xlfn.XLOOKUP(D334,'Same Seller Hist'!H:H,'Same Seller Hist'!H:H)),"Não","Sim")</f>
        <v>Não</v>
      </c>
      <c r="R334" s="21" t="str">
        <f>_xlfn.IFNA(_xlfn.XLOOKUP(D334,'Same Seller Hist'!D:D,'Same Seller Hist'!M:M),"Não Existe")</f>
        <v>Não Existe</v>
      </c>
    </row>
    <row r="335" spans="3:18" hidden="1" x14ac:dyDescent="0.35">
      <c r="C335" s="18">
        <v>45992</v>
      </c>
      <c r="D335" s="5" t="s">
        <v>1845</v>
      </c>
      <c r="E335" s="5" t="s">
        <v>939</v>
      </c>
      <c r="F335" s="5" t="s">
        <v>2082</v>
      </c>
      <c r="G335" s="5" t="s">
        <v>2359</v>
      </c>
      <c r="H335" s="21" t="str">
        <f t="shared" si="40"/>
        <v>k</v>
      </c>
      <c r="I335" s="22">
        <f t="shared" si="41"/>
        <v>8500</v>
      </c>
      <c r="J335" s="21" t="str">
        <f t="shared" si="42"/>
        <v>k</v>
      </c>
      <c r="K335" s="23">
        <f t="shared" si="43"/>
        <v>366900</v>
      </c>
      <c r="L335" s="21">
        <v>5.3</v>
      </c>
      <c r="M335" s="22">
        <f t="shared" si="44"/>
        <v>31</v>
      </c>
      <c r="N335" s="23">
        <f t="shared" si="45"/>
        <v>11835.483870967742</v>
      </c>
      <c r="O335" s="23">
        <f t="shared" si="46"/>
        <v>274.19354838709677</v>
      </c>
      <c r="P335" s="23">
        <f t="shared" si="47"/>
        <v>43.164705882352941</v>
      </c>
      <c r="Q335" s="21" t="str">
        <f>IF(ISNA(_xlfn.XLOOKUP(D335,'Same Seller Hist'!H:H,'Same Seller Hist'!H:H)),"Não","Sim")</f>
        <v>Não</v>
      </c>
      <c r="R335" s="21" t="str">
        <f>_xlfn.IFNA(_xlfn.XLOOKUP(D335,'Same Seller Hist'!D:D,'Same Seller Hist'!M:M),"Não Existe")</f>
        <v>Não Existe</v>
      </c>
    </row>
    <row r="336" spans="3:18" x14ac:dyDescent="0.35">
      <c r="C336" s="18">
        <v>45992</v>
      </c>
      <c r="D336" s="5" t="s">
        <v>661</v>
      </c>
      <c r="E336" s="5" t="s">
        <v>913</v>
      </c>
      <c r="F336" s="5" t="s">
        <v>2083</v>
      </c>
      <c r="G336" s="5" t="s">
        <v>2360</v>
      </c>
      <c r="H336" s="21" t="str">
        <f t="shared" si="40"/>
        <v>k</v>
      </c>
      <c r="I336" s="22">
        <f t="shared" si="41"/>
        <v>8400</v>
      </c>
      <c r="J336" s="21" t="str">
        <f t="shared" si="42"/>
        <v>k</v>
      </c>
      <c r="K336" s="23">
        <f t="shared" si="43"/>
        <v>283500</v>
      </c>
      <c r="L336" s="21">
        <v>5.3</v>
      </c>
      <c r="M336" s="22">
        <f t="shared" si="44"/>
        <v>31</v>
      </c>
      <c r="N336" s="23">
        <f t="shared" si="45"/>
        <v>9145.1612903225814</v>
      </c>
      <c r="O336" s="23">
        <f t="shared" si="46"/>
        <v>270.96774193548384</v>
      </c>
      <c r="P336" s="23">
        <f t="shared" si="47"/>
        <v>33.750000000000007</v>
      </c>
      <c r="Q336" s="21" t="str">
        <f>IF(ISNA(_xlfn.XLOOKUP(D336,'Same Seller Hist'!H:H,'Same Seller Hist'!H:H)),"Não","Sim")</f>
        <v>Sim</v>
      </c>
      <c r="R336" s="21" t="str">
        <f>_xlfn.IFNA(_xlfn.XLOOKUP(D336,'Same Seller Hist'!D:D,'Same Seller Hist'!M:M),"Não Existe")</f>
        <v>Ativo</v>
      </c>
    </row>
    <row r="337" spans="3:18" x14ac:dyDescent="0.35">
      <c r="C337" s="18">
        <v>45992</v>
      </c>
      <c r="D337" s="5" t="s">
        <v>433</v>
      </c>
      <c r="E337" s="5" t="s">
        <v>933</v>
      </c>
      <c r="F337" s="5" t="s">
        <v>2083</v>
      </c>
      <c r="G337" s="5" t="s">
        <v>2361</v>
      </c>
      <c r="H337" s="21" t="str">
        <f t="shared" si="40"/>
        <v>k</v>
      </c>
      <c r="I337" s="22">
        <f t="shared" si="41"/>
        <v>8400</v>
      </c>
      <c r="J337" s="21" t="str">
        <f t="shared" si="42"/>
        <v>k</v>
      </c>
      <c r="K337" s="23">
        <f t="shared" si="43"/>
        <v>336900</v>
      </c>
      <c r="L337" s="21">
        <v>5.3</v>
      </c>
      <c r="M337" s="22">
        <f t="shared" si="44"/>
        <v>31</v>
      </c>
      <c r="N337" s="23">
        <f t="shared" si="45"/>
        <v>10867.741935483871</v>
      </c>
      <c r="O337" s="23">
        <f t="shared" si="46"/>
        <v>270.96774193548384</v>
      </c>
      <c r="P337" s="23">
        <f t="shared" si="47"/>
        <v>40.107142857142861</v>
      </c>
      <c r="Q337" s="21" t="str">
        <f>IF(ISNA(_xlfn.XLOOKUP(D337,'Same Seller Hist'!H:H,'Same Seller Hist'!H:H)),"Não","Sim")</f>
        <v>Sim</v>
      </c>
      <c r="R337" s="21" t="str">
        <f>_xlfn.IFNA(_xlfn.XLOOKUP(D337,'Same Seller Hist'!D:D,'Same Seller Hist'!M:M),"Não Existe")</f>
        <v>Ativo</v>
      </c>
    </row>
    <row r="338" spans="3:18" x14ac:dyDescent="0.35">
      <c r="C338" s="18">
        <v>45992</v>
      </c>
      <c r="D338" s="5" t="s">
        <v>567</v>
      </c>
      <c r="E338" s="5" t="s">
        <v>911</v>
      </c>
      <c r="F338" s="5" t="s">
        <v>2083</v>
      </c>
      <c r="G338" s="5" t="s">
        <v>2362</v>
      </c>
      <c r="H338" s="21" t="str">
        <f t="shared" si="40"/>
        <v>k</v>
      </c>
      <c r="I338" s="22">
        <f t="shared" si="41"/>
        <v>8400</v>
      </c>
      <c r="J338" s="21" t="str">
        <f t="shared" si="42"/>
        <v>k</v>
      </c>
      <c r="K338" s="23">
        <f t="shared" si="43"/>
        <v>188500</v>
      </c>
      <c r="L338" s="21">
        <v>5.3</v>
      </c>
      <c r="M338" s="22">
        <f t="shared" si="44"/>
        <v>31</v>
      </c>
      <c r="N338" s="23">
        <f t="shared" si="45"/>
        <v>6080.6451612903229</v>
      </c>
      <c r="O338" s="23">
        <f t="shared" si="46"/>
        <v>270.96774193548384</v>
      </c>
      <c r="P338" s="23">
        <f t="shared" si="47"/>
        <v>22.440476190476193</v>
      </c>
      <c r="Q338" s="21" t="str">
        <f>IF(ISNA(_xlfn.XLOOKUP(D338,'Same Seller Hist'!H:H,'Same Seller Hist'!H:H)),"Não","Sim")</f>
        <v>Sim</v>
      </c>
      <c r="R338" s="21" t="str">
        <f>_xlfn.IFNA(_xlfn.XLOOKUP(D338,'Same Seller Hist'!D:D,'Same Seller Hist'!M:M),"Não Existe")</f>
        <v>Ativo</v>
      </c>
    </row>
    <row r="339" spans="3:18" hidden="1" x14ac:dyDescent="0.35">
      <c r="C339" s="18">
        <v>45992</v>
      </c>
      <c r="D339" s="5" t="s">
        <v>502</v>
      </c>
      <c r="E339" s="5" t="s">
        <v>913</v>
      </c>
      <c r="F339" s="5" t="s">
        <v>2083</v>
      </c>
      <c r="G339" s="5" t="s">
        <v>2363</v>
      </c>
      <c r="H339" s="21" t="str">
        <f t="shared" si="40"/>
        <v>k</v>
      </c>
      <c r="I339" s="22">
        <f t="shared" si="41"/>
        <v>8400</v>
      </c>
      <c r="J339" s="21" t="str">
        <f t="shared" si="42"/>
        <v>k</v>
      </c>
      <c r="K339" s="23">
        <f t="shared" si="43"/>
        <v>483000</v>
      </c>
      <c r="L339" s="21">
        <v>5.3</v>
      </c>
      <c r="M339" s="22">
        <f t="shared" si="44"/>
        <v>31</v>
      </c>
      <c r="N339" s="23">
        <f t="shared" si="45"/>
        <v>15580.645161290322</v>
      </c>
      <c r="O339" s="23">
        <f t="shared" si="46"/>
        <v>270.96774193548384</v>
      </c>
      <c r="P339" s="23">
        <f t="shared" si="47"/>
        <v>57.500000000000007</v>
      </c>
      <c r="Q339" s="21" t="str">
        <f>IF(ISNA(_xlfn.XLOOKUP(D339,'Same Seller Hist'!H:H,'Same Seller Hist'!H:H)),"Não","Sim")</f>
        <v>Não</v>
      </c>
      <c r="R339" s="21" t="str">
        <f>_xlfn.IFNA(_xlfn.XLOOKUP(D339,'Same Seller Hist'!D:D,'Same Seller Hist'!M:M),"Não Existe")</f>
        <v>Ativo</v>
      </c>
    </row>
    <row r="340" spans="3:18" hidden="1" x14ac:dyDescent="0.35">
      <c r="C340" s="18">
        <v>45992</v>
      </c>
      <c r="D340" s="5" t="s">
        <v>1846</v>
      </c>
      <c r="E340" s="5" t="s">
        <v>913</v>
      </c>
      <c r="F340" s="5" t="s">
        <v>2083</v>
      </c>
      <c r="G340" s="5" t="s">
        <v>2364</v>
      </c>
      <c r="H340" s="21" t="str">
        <f t="shared" si="40"/>
        <v>k</v>
      </c>
      <c r="I340" s="22">
        <f t="shared" si="41"/>
        <v>8400</v>
      </c>
      <c r="J340" s="21" t="str">
        <f t="shared" si="42"/>
        <v>k</v>
      </c>
      <c r="K340" s="23">
        <f t="shared" si="43"/>
        <v>383900</v>
      </c>
      <c r="L340" s="21">
        <v>5.3</v>
      </c>
      <c r="M340" s="22">
        <f t="shared" si="44"/>
        <v>31</v>
      </c>
      <c r="N340" s="23">
        <f t="shared" si="45"/>
        <v>12383.870967741936</v>
      </c>
      <c r="O340" s="23">
        <f t="shared" si="46"/>
        <v>270.96774193548384</v>
      </c>
      <c r="P340" s="23">
        <f t="shared" si="47"/>
        <v>45.702380952380956</v>
      </c>
      <c r="Q340" s="21" t="str">
        <f>IF(ISNA(_xlfn.XLOOKUP(D340,'Same Seller Hist'!H:H,'Same Seller Hist'!H:H)),"Não","Sim")</f>
        <v>Não</v>
      </c>
      <c r="R340" s="21" t="str">
        <f>_xlfn.IFNA(_xlfn.XLOOKUP(D340,'Same Seller Hist'!D:D,'Same Seller Hist'!M:M),"Não Existe")</f>
        <v>Não Existe</v>
      </c>
    </row>
    <row r="341" spans="3:18" hidden="1" x14ac:dyDescent="0.35">
      <c r="C341" s="18">
        <v>45992</v>
      </c>
      <c r="D341" s="5" t="s">
        <v>1847</v>
      </c>
      <c r="E341" s="5" t="s">
        <v>926</v>
      </c>
      <c r="F341" s="5" t="s">
        <v>2084</v>
      </c>
      <c r="G341" s="5" t="s">
        <v>2116</v>
      </c>
      <c r="H341" s="21" t="str">
        <f t="shared" si="40"/>
        <v>k</v>
      </c>
      <c r="I341" s="22">
        <f t="shared" si="41"/>
        <v>8300</v>
      </c>
      <c r="J341" s="21" t="str">
        <f t="shared" si="42"/>
        <v>m</v>
      </c>
      <c r="K341" s="23">
        <f t="shared" si="43"/>
        <v>1000000</v>
      </c>
      <c r="L341" s="21">
        <v>5.3</v>
      </c>
      <c r="M341" s="22">
        <f t="shared" si="44"/>
        <v>31</v>
      </c>
      <c r="N341" s="23">
        <f t="shared" si="45"/>
        <v>32258.064516129034</v>
      </c>
      <c r="O341" s="23">
        <f t="shared" si="46"/>
        <v>267.74193548387098</v>
      </c>
      <c r="P341" s="23">
        <f t="shared" si="47"/>
        <v>120.48192771084338</v>
      </c>
      <c r="Q341" s="21" t="str">
        <f>IF(ISNA(_xlfn.XLOOKUP(D341,'Same Seller Hist'!H:H,'Same Seller Hist'!H:H)),"Não","Sim")</f>
        <v>Não</v>
      </c>
      <c r="R341" s="21" t="str">
        <f>_xlfn.IFNA(_xlfn.XLOOKUP(D341,'Same Seller Hist'!D:D,'Same Seller Hist'!M:M),"Não Existe")</f>
        <v>Não Existe</v>
      </c>
    </row>
    <row r="342" spans="3:18" hidden="1" x14ac:dyDescent="0.35">
      <c r="C342" s="18">
        <v>45992</v>
      </c>
      <c r="D342" s="5" t="s">
        <v>1848</v>
      </c>
      <c r="E342" s="5" t="s">
        <v>913</v>
      </c>
      <c r="F342" s="5" t="s">
        <v>2084</v>
      </c>
      <c r="G342" s="5" t="s">
        <v>2365</v>
      </c>
      <c r="H342" s="21" t="str">
        <f t="shared" si="40"/>
        <v>k</v>
      </c>
      <c r="I342" s="22">
        <f t="shared" si="41"/>
        <v>8300</v>
      </c>
      <c r="J342" s="21" t="str">
        <f t="shared" si="42"/>
        <v>k</v>
      </c>
      <c r="K342" s="23">
        <f t="shared" si="43"/>
        <v>264200</v>
      </c>
      <c r="L342" s="21">
        <v>5.3</v>
      </c>
      <c r="M342" s="22">
        <f t="shared" si="44"/>
        <v>31</v>
      </c>
      <c r="N342" s="23">
        <f t="shared" si="45"/>
        <v>8522.5806451612898</v>
      </c>
      <c r="O342" s="23">
        <f t="shared" si="46"/>
        <v>267.74193548387098</v>
      </c>
      <c r="P342" s="23">
        <f t="shared" si="47"/>
        <v>31.831325301204817</v>
      </c>
      <c r="Q342" s="21" t="str">
        <f>IF(ISNA(_xlfn.XLOOKUP(D342,'Same Seller Hist'!H:H,'Same Seller Hist'!H:H)),"Não","Sim")</f>
        <v>Não</v>
      </c>
      <c r="R342" s="21" t="str">
        <f>_xlfn.IFNA(_xlfn.XLOOKUP(D342,'Same Seller Hist'!D:D,'Same Seller Hist'!M:M),"Não Existe")</f>
        <v>Não Existe</v>
      </c>
    </row>
    <row r="343" spans="3:18" x14ac:dyDescent="0.35">
      <c r="C343" s="18">
        <v>45992</v>
      </c>
      <c r="D343" s="5" t="s">
        <v>358</v>
      </c>
      <c r="E343" s="5" t="s">
        <v>926</v>
      </c>
      <c r="F343" s="5" t="s">
        <v>2084</v>
      </c>
      <c r="G343" s="5" t="s">
        <v>2366</v>
      </c>
      <c r="H343" s="21" t="str">
        <f t="shared" si="40"/>
        <v>k</v>
      </c>
      <c r="I343" s="22">
        <f t="shared" si="41"/>
        <v>8300</v>
      </c>
      <c r="J343" s="21" t="str">
        <f t="shared" si="42"/>
        <v>k</v>
      </c>
      <c r="K343" s="23">
        <f t="shared" si="43"/>
        <v>512600</v>
      </c>
      <c r="L343" s="21">
        <v>5.3</v>
      </c>
      <c r="M343" s="22">
        <f t="shared" si="44"/>
        <v>31</v>
      </c>
      <c r="N343" s="23">
        <f t="shared" si="45"/>
        <v>16535.483870967742</v>
      </c>
      <c r="O343" s="23">
        <f t="shared" si="46"/>
        <v>267.74193548387098</v>
      </c>
      <c r="P343" s="23">
        <f t="shared" si="47"/>
        <v>61.75903614457831</v>
      </c>
      <c r="Q343" s="21" t="str">
        <f>IF(ISNA(_xlfn.XLOOKUP(D343,'Same Seller Hist'!H:H,'Same Seller Hist'!H:H)),"Não","Sim")</f>
        <v>Sim</v>
      </c>
      <c r="R343" s="21" t="str">
        <f>_xlfn.IFNA(_xlfn.XLOOKUP(D343,'Same Seller Hist'!D:D,'Same Seller Hist'!M:M),"Não Existe")</f>
        <v>Ativo</v>
      </c>
    </row>
    <row r="344" spans="3:18" hidden="1" x14ac:dyDescent="0.35">
      <c r="C344" s="18">
        <v>45992</v>
      </c>
      <c r="D344" s="5" t="s">
        <v>220</v>
      </c>
      <c r="E344" s="5" t="s">
        <v>913</v>
      </c>
      <c r="F344" s="5" t="s">
        <v>2084</v>
      </c>
      <c r="G344" s="5" t="s">
        <v>2367</v>
      </c>
      <c r="H344" s="21" t="str">
        <f t="shared" si="40"/>
        <v>k</v>
      </c>
      <c r="I344" s="22">
        <f t="shared" si="41"/>
        <v>8300</v>
      </c>
      <c r="J344" s="21" t="str">
        <f t="shared" si="42"/>
        <v>k</v>
      </c>
      <c r="K344" s="23">
        <f t="shared" si="43"/>
        <v>395400</v>
      </c>
      <c r="L344" s="21">
        <v>5.3</v>
      </c>
      <c r="M344" s="22">
        <f t="shared" si="44"/>
        <v>31</v>
      </c>
      <c r="N344" s="23">
        <f t="shared" si="45"/>
        <v>12754.838709677419</v>
      </c>
      <c r="O344" s="23">
        <f t="shared" si="46"/>
        <v>267.74193548387098</v>
      </c>
      <c r="P344" s="23">
        <f t="shared" si="47"/>
        <v>47.638554216867469</v>
      </c>
      <c r="Q344" s="21" t="str">
        <f>IF(ISNA(_xlfn.XLOOKUP(D344,'Same Seller Hist'!H:H,'Same Seller Hist'!H:H)),"Não","Sim")</f>
        <v>Não</v>
      </c>
      <c r="R344" s="21" t="str">
        <f>_xlfn.IFNA(_xlfn.XLOOKUP(D344,'Same Seller Hist'!D:D,'Same Seller Hist'!M:M),"Não Existe")</f>
        <v>Ativo</v>
      </c>
    </row>
    <row r="345" spans="3:18" x14ac:dyDescent="0.35">
      <c r="C345" s="18">
        <v>45992</v>
      </c>
      <c r="D345" s="5" t="s">
        <v>686</v>
      </c>
      <c r="E345" s="5" t="s">
        <v>908</v>
      </c>
      <c r="F345" s="5" t="s">
        <v>2084</v>
      </c>
      <c r="G345" s="5" t="s">
        <v>2368</v>
      </c>
      <c r="H345" s="21" t="str">
        <f t="shared" si="40"/>
        <v>k</v>
      </c>
      <c r="I345" s="22">
        <f t="shared" si="41"/>
        <v>8300</v>
      </c>
      <c r="J345" s="21" t="str">
        <f t="shared" si="42"/>
        <v>k</v>
      </c>
      <c r="K345" s="23">
        <f t="shared" si="43"/>
        <v>158400</v>
      </c>
      <c r="L345" s="21">
        <v>5.3</v>
      </c>
      <c r="M345" s="22">
        <f t="shared" si="44"/>
        <v>31</v>
      </c>
      <c r="N345" s="23">
        <f t="shared" si="45"/>
        <v>5109.677419354839</v>
      </c>
      <c r="O345" s="23">
        <f t="shared" si="46"/>
        <v>267.74193548387098</v>
      </c>
      <c r="P345" s="23">
        <f t="shared" si="47"/>
        <v>19.08433734939759</v>
      </c>
      <c r="Q345" s="21" t="str">
        <f>IF(ISNA(_xlfn.XLOOKUP(D345,'Same Seller Hist'!H:H,'Same Seller Hist'!H:H)),"Não","Sim")</f>
        <v>Sim</v>
      </c>
      <c r="R345" s="21" t="str">
        <f>_xlfn.IFNA(_xlfn.XLOOKUP(D345,'Same Seller Hist'!D:D,'Same Seller Hist'!M:M),"Não Existe")</f>
        <v>Ativo</v>
      </c>
    </row>
    <row r="346" spans="3:18" hidden="1" x14ac:dyDescent="0.35">
      <c r="C346" s="18">
        <v>45992</v>
      </c>
      <c r="D346" s="5" t="s">
        <v>1849</v>
      </c>
      <c r="E346" s="5" t="s">
        <v>913</v>
      </c>
      <c r="F346" s="5" t="s">
        <v>2084</v>
      </c>
      <c r="G346" s="5" t="s">
        <v>2369</v>
      </c>
      <c r="H346" s="21" t="str">
        <f t="shared" si="40"/>
        <v>k</v>
      </c>
      <c r="I346" s="22">
        <f t="shared" si="41"/>
        <v>8300</v>
      </c>
      <c r="J346" s="21" t="str">
        <f t="shared" si="42"/>
        <v>k</v>
      </c>
      <c r="K346" s="23">
        <f t="shared" si="43"/>
        <v>343600</v>
      </c>
      <c r="L346" s="21">
        <v>5.3</v>
      </c>
      <c r="M346" s="22">
        <f t="shared" si="44"/>
        <v>31</v>
      </c>
      <c r="N346" s="23">
        <f t="shared" si="45"/>
        <v>11083.870967741936</v>
      </c>
      <c r="O346" s="23">
        <f t="shared" si="46"/>
        <v>267.74193548387098</v>
      </c>
      <c r="P346" s="23">
        <f t="shared" si="47"/>
        <v>41.397590361445779</v>
      </c>
      <c r="Q346" s="21" t="str">
        <f>IF(ISNA(_xlfn.XLOOKUP(D346,'Same Seller Hist'!H:H,'Same Seller Hist'!H:H)),"Não","Sim")</f>
        <v>Não</v>
      </c>
      <c r="R346" s="21" t="str">
        <f>_xlfn.IFNA(_xlfn.XLOOKUP(D346,'Same Seller Hist'!D:D,'Same Seller Hist'!M:M),"Não Existe")</f>
        <v>Não Existe</v>
      </c>
    </row>
    <row r="347" spans="3:18" hidden="1" x14ac:dyDescent="0.35">
      <c r="C347" s="18">
        <v>45992</v>
      </c>
      <c r="D347" s="5" t="s">
        <v>425</v>
      </c>
      <c r="E347" s="5" t="s">
        <v>984</v>
      </c>
      <c r="F347" s="5" t="s">
        <v>2084</v>
      </c>
      <c r="G347" s="5" t="s">
        <v>2370</v>
      </c>
      <c r="H347" s="21" t="str">
        <f t="shared" si="40"/>
        <v>k</v>
      </c>
      <c r="I347" s="22">
        <f t="shared" si="41"/>
        <v>8300</v>
      </c>
      <c r="J347" s="21" t="str">
        <f t="shared" si="42"/>
        <v>k</v>
      </c>
      <c r="K347" s="23">
        <f t="shared" si="43"/>
        <v>397500</v>
      </c>
      <c r="L347" s="21">
        <v>5.3</v>
      </c>
      <c r="M347" s="22">
        <f t="shared" si="44"/>
        <v>31</v>
      </c>
      <c r="N347" s="23">
        <f t="shared" si="45"/>
        <v>12822.58064516129</v>
      </c>
      <c r="O347" s="23">
        <f t="shared" si="46"/>
        <v>267.74193548387098</v>
      </c>
      <c r="P347" s="23">
        <f t="shared" si="47"/>
        <v>47.891566265060234</v>
      </c>
      <c r="Q347" s="21" t="str">
        <f>IF(ISNA(_xlfn.XLOOKUP(D347,'Same Seller Hist'!H:H,'Same Seller Hist'!H:H)),"Não","Sim")</f>
        <v>Não</v>
      </c>
      <c r="R347" s="21" t="str">
        <f>_xlfn.IFNA(_xlfn.XLOOKUP(D347,'Same Seller Hist'!D:D,'Same Seller Hist'!M:M),"Não Existe")</f>
        <v>Ativo</v>
      </c>
    </row>
    <row r="348" spans="3:18" hidden="1" x14ac:dyDescent="0.35">
      <c r="C348" s="18">
        <v>45992</v>
      </c>
      <c r="D348" s="5" t="s">
        <v>1850</v>
      </c>
      <c r="E348" s="5" t="s">
        <v>908</v>
      </c>
      <c r="F348" s="5" t="s">
        <v>2085</v>
      </c>
      <c r="G348" s="5" t="s">
        <v>2371</v>
      </c>
      <c r="H348" s="21" t="str">
        <f t="shared" si="40"/>
        <v>k</v>
      </c>
      <c r="I348" s="22">
        <f t="shared" si="41"/>
        <v>8200</v>
      </c>
      <c r="J348" s="21" t="str">
        <f t="shared" si="42"/>
        <v>k</v>
      </c>
      <c r="K348" s="23">
        <f t="shared" si="43"/>
        <v>360900</v>
      </c>
      <c r="L348" s="21">
        <v>5.3</v>
      </c>
      <c r="M348" s="22">
        <f t="shared" si="44"/>
        <v>31</v>
      </c>
      <c r="N348" s="23">
        <f t="shared" si="45"/>
        <v>11641.935483870968</v>
      </c>
      <c r="O348" s="23">
        <f t="shared" si="46"/>
        <v>264.51612903225805</v>
      </c>
      <c r="P348" s="23">
        <f t="shared" si="47"/>
        <v>44.012195121951223</v>
      </c>
      <c r="Q348" s="21" t="str">
        <f>IF(ISNA(_xlfn.XLOOKUP(D348,'Same Seller Hist'!H:H,'Same Seller Hist'!H:H)),"Não","Sim")</f>
        <v>Não</v>
      </c>
      <c r="R348" s="21" t="str">
        <f>_xlfn.IFNA(_xlfn.XLOOKUP(D348,'Same Seller Hist'!D:D,'Same Seller Hist'!M:M),"Não Existe")</f>
        <v>Não Existe</v>
      </c>
    </row>
    <row r="349" spans="3:18" x14ac:dyDescent="0.35">
      <c r="C349" s="18">
        <v>45992</v>
      </c>
      <c r="D349" s="5" t="s">
        <v>864</v>
      </c>
      <c r="E349" s="5" t="s">
        <v>933</v>
      </c>
      <c r="F349" s="5" t="s">
        <v>2085</v>
      </c>
      <c r="G349" s="5" t="s">
        <v>2372</v>
      </c>
      <c r="H349" s="21" t="str">
        <f t="shared" si="40"/>
        <v>k</v>
      </c>
      <c r="I349" s="22">
        <f t="shared" si="41"/>
        <v>8200</v>
      </c>
      <c r="J349" s="21" t="str">
        <f t="shared" si="42"/>
        <v>k</v>
      </c>
      <c r="K349" s="23">
        <f t="shared" si="43"/>
        <v>444200</v>
      </c>
      <c r="L349" s="21">
        <v>5.3</v>
      </c>
      <c r="M349" s="22">
        <f t="shared" si="44"/>
        <v>31</v>
      </c>
      <c r="N349" s="23">
        <f t="shared" si="45"/>
        <v>14329.032258064517</v>
      </c>
      <c r="O349" s="23">
        <f t="shared" si="46"/>
        <v>264.51612903225805</v>
      </c>
      <c r="P349" s="23">
        <f t="shared" si="47"/>
        <v>54.170731707317081</v>
      </c>
      <c r="Q349" s="21" t="str">
        <f>IF(ISNA(_xlfn.XLOOKUP(D349,'Same Seller Hist'!H:H,'Same Seller Hist'!H:H)),"Não","Sim")</f>
        <v>Sim</v>
      </c>
      <c r="R349" s="21" t="str">
        <f>_xlfn.IFNA(_xlfn.XLOOKUP(D349,'Same Seller Hist'!D:D,'Same Seller Hist'!M:M),"Não Existe")</f>
        <v>Ativo</v>
      </c>
    </row>
    <row r="350" spans="3:18" x14ac:dyDescent="0.35">
      <c r="C350" s="18">
        <v>45992</v>
      </c>
      <c r="D350" s="5" t="s">
        <v>536</v>
      </c>
      <c r="E350" s="5" t="s">
        <v>924</v>
      </c>
      <c r="F350" s="5" t="s">
        <v>2085</v>
      </c>
      <c r="G350" s="5" t="s">
        <v>2373</v>
      </c>
      <c r="H350" s="21" t="str">
        <f t="shared" si="40"/>
        <v>k</v>
      </c>
      <c r="I350" s="22">
        <f t="shared" si="41"/>
        <v>8200</v>
      </c>
      <c r="J350" s="21" t="str">
        <f t="shared" si="42"/>
        <v>k</v>
      </c>
      <c r="K350" s="23">
        <f t="shared" si="43"/>
        <v>237100</v>
      </c>
      <c r="L350" s="21">
        <v>5.3</v>
      </c>
      <c r="M350" s="22">
        <f t="shared" si="44"/>
        <v>31</v>
      </c>
      <c r="N350" s="23">
        <f t="shared" si="45"/>
        <v>7648.3870967741932</v>
      </c>
      <c r="O350" s="23">
        <f t="shared" si="46"/>
        <v>264.51612903225805</v>
      </c>
      <c r="P350" s="23">
        <f t="shared" si="47"/>
        <v>28.914634146341463</v>
      </c>
      <c r="Q350" s="21" t="str">
        <f>IF(ISNA(_xlfn.XLOOKUP(D350,'Same Seller Hist'!H:H,'Same Seller Hist'!H:H)),"Não","Sim")</f>
        <v>Sim</v>
      </c>
      <c r="R350" s="21" t="str">
        <f>_xlfn.IFNA(_xlfn.XLOOKUP(D350,'Same Seller Hist'!D:D,'Same Seller Hist'!M:M),"Não Existe")</f>
        <v>Ativo</v>
      </c>
    </row>
    <row r="351" spans="3:18" hidden="1" x14ac:dyDescent="0.35">
      <c r="C351" s="18">
        <v>45992</v>
      </c>
      <c r="D351" s="5" t="s">
        <v>1851</v>
      </c>
      <c r="E351" s="5" t="s">
        <v>942</v>
      </c>
      <c r="F351" s="5" t="s">
        <v>2085</v>
      </c>
      <c r="G351" s="5" t="s">
        <v>2374</v>
      </c>
      <c r="H351" s="21" t="str">
        <f t="shared" si="40"/>
        <v>k</v>
      </c>
      <c r="I351" s="22">
        <f t="shared" si="41"/>
        <v>8200</v>
      </c>
      <c r="J351" s="21" t="str">
        <f t="shared" si="42"/>
        <v>k</v>
      </c>
      <c r="K351" s="23">
        <f t="shared" si="43"/>
        <v>368700</v>
      </c>
      <c r="L351" s="21">
        <v>5.3</v>
      </c>
      <c r="M351" s="22">
        <f t="shared" si="44"/>
        <v>31</v>
      </c>
      <c r="N351" s="23">
        <f t="shared" si="45"/>
        <v>11893.548387096775</v>
      </c>
      <c r="O351" s="23">
        <f t="shared" si="46"/>
        <v>264.51612903225805</v>
      </c>
      <c r="P351" s="23">
        <f t="shared" si="47"/>
        <v>44.963414634146346</v>
      </c>
      <c r="Q351" s="21" t="str">
        <f>IF(ISNA(_xlfn.XLOOKUP(D351,'Same Seller Hist'!H:H,'Same Seller Hist'!H:H)),"Não","Sim")</f>
        <v>Não</v>
      </c>
      <c r="R351" s="21" t="str">
        <f>_xlfn.IFNA(_xlfn.XLOOKUP(D351,'Same Seller Hist'!D:D,'Same Seller Hist'!M:M),"Não Existe")</f>
        <v>Não Existe</v>
      </c>
    </row>
    <row r="352" spans="3:18" hidden="1" x14ac:dyDescent="0.35">
      <c r="C352" s="18">
        <v>45992</v>
      </c>
      <c r="D352" s="5" t="s">
        <v>1852</v>
      </c>
      <c r="E352" s="5" t="s">
        <v>916</v>
      </c>
      <c r="F352" s="5" t="s">
        <v>2085</v>
      </c>
      <c r="G352" s="5" t="s">
        <v>2375</v>
      </c>
      <c r="H352" s="21" t="str">
        <f t="shared" si="40"/>
        <v>k</v>
      </c>
      <c r="I352" s="22">
        <f t="shared" si="41"/>
        <v>8200</v>
      </c>
      <c r="J352" s="21" t="str">
        <f t="shared" si="42"/>
        <v>k</v>
      </c>
      <c r="K352" s="23">
        <f t="shared" si="43"/>
        <v>439600</v>
      </c>
      <c r="L352" s="21">
        <v>5.3</v>
      </c>
      <c r="M352" s="22">
        <f t="shared" si="44"/>
        <v>31</v>
      </c>
      <c r="N352" s="23">
        <f t="shared" si="45"/>
        <v>14180.645161290322</v>
      </c>
      <c r="O352" s="23">
        <f t="shared" si="46"/>
        <v>264.51612903225805</v>
      </c>
      <c r="P352" s="23">
        <f t="shared" si="47"/>
        <v>53.609756097560975</v>
      </c>
      <c r="Q352" s="21" t="str">
        <f>IF(ISNA(_xlfn.XLOOKUP(D352,'Same Seller Hist'!H:H,'Same Seller Hist'!H:H)),"Não","Sim")</f>
        <v>Não</v>
      </c>
      <c r="R352" s="21" t="str">
        <f>_xlfn.IFNA(_xlfn.XLOOKUP(D352,'Same Seller Hist'!D:D,'Same Seller Hist'!M:M),"Não Existe")</f>
        <v>Não Existe</v>
      </c>
    </row>
    <row r="353" spans="3:18" x14ac:dyDescent="0.35">
      <c r="C353" s="18">
        <v>45992</v>
      </c>
      <c r="D353" s="5" t="s">
        <v>872</v>
      </c>
      <c r="E353" s="5" t="s">
        <v>928</v>
      </c>
      <c r="F353" s="5" t="s">
        <v>2086</v>
      </c>
      <c r="G353" s="5" t="s">
        <v>2376</v>
      </c>
      <c r="H353" s="21" t="str">
        <f t="shared" si="40"/>
        <v>k</v>
      </c>
      <c r="I353" s="22">
        <f t="shared" si="41"/>
        <v>8100</v>
      </c>
      <c r="J353" s="21" t="str">
        <f t="shared" si="42"/>
        <v>k</v>
      </c>
      <c r="K353" s="23">
        <f t="shared" si="43"/>
        <v>269600</v>
      </c>
      <c r="L353" s="21">
        <v>5.3</v>
      </c>
      <c r="M353" s="22">
        <f t="shared" si="44"/>
        <v>31</v>
      </c>
      <c r="N353" s="23">
        <f t="shared" si="45"/>
        <v>8696.7741935483864</v>
      </c>
      <c r="O353" s="23">
        <f t="shared" si="46"/>
        <v>261.29032258064518</v>
      </c>
      <c r="P353" s="23">
        <f t="shared" si="47"/>
        <v>33.283950617283942</v>
      </c>
      <c r="Q353" s="21" t="str">
        <f>IF(ISNA(_xlfn.XLOOKUP(D353,'Same Seller Hist'!H:H,'Same Seller Hist'!H:H)),"Não","Sim")</f>
        <v>Sim</v>
      </c>
      <c r="R353" s="21" t="str">
        <f>_xlfn.IFNA(_xlfn.XLOOKUP(D353,'Same Seller Hist'!D:D,'Same Seller Hist'!M:M),"Não Existe")</f>
        <v>Ativo</v>
      </c>
    </row>
    <row r="354" spans="3:18" hidden="1" x14ac:dyDescent="0.35">
      <c r="C354" s="18">
        <v>45992</v>
      </c>
      <c r="D354" s="5" t="s">
        <v>1853</v>
      </c>
      <c r="E354" s="5" t="s">
        <v>911</v>
      </c>
      <c r="F354" s="5" t="s">
        <v>2086</v>
      </c>
      <c r="G354" s="5" t="s">
        <v>2377</v>
      </c>
      <c r="H354" s="21" t="str">
        <f t="shared" si="40"/>
        <v>k</v>
      </c>
      <c r="I354" s="22">
        <f t="shared" si="41"/>
        <v>8100</v>
      </c>
      <c r="J354" s="21" t="str">
        <f t="shared" si="42"/>
        <v>k</v>
      </c>
      <c r="K354" s="23">
        <f t="shared" si="43"/>
        <v>290600</v>
      </c>
      <c r="L354" s="21">
        <v>5.3</v>
      </c>
      <c r="M354" s="22">
        <f t="shared" si="44"/>
        <v>31</v>
      </c>
      <c r="N354" s="23">
        <f t="shared" si="45"/>
        <v>9374.1935483870966</v>
      </c>
      <c r="O354" s="23">
        <f t="shared" si="46"/>
        <v>261.29032258064518</v>
      </c>
      <c r="P354" s="23">
        <f t="shared" si="47"/>
        <v>35.876543209876537</v>
      </c>
      <c r="Q354" s="21" t="str">
        <f>IF(ISNA(_xlfn.XLOOKUP(D354,'Same Seller Hist'!H:H,'Same Seller Hist'!H:H)),"Não","Sim")</f>
        <v>Não</v>
      </c>
      <c r="R354" s="21" t="str">
        <f>_xlfn.IFNA(_xlfn.XLOOKUP(D354,'Same Seller Hist'!D:D,'Same Seller Hist'!M:M),"Não Existe")</f>
        <v>Não Existe</v>
      </c>
    </row>
    <row r="355" spans="3:18" x14ac:dyDescent="0.35">
      <c r="C355" s="18">
        <v>45992</v>
      </c>
      <c r="D355" s="5" t="s">
        <v>421</v>
      </c>
      <c r="E355" s="5" t="s">
        <v>911</v>
      </c>
      <c r="F355" s="5" t="s">
        <v>2086</v>
      </c>
      <c r="G355" s="5" t="s">
        <v>2378</v>
      </c>
      <c r="H355" s="21" t="str">
        <f t="shared" si="40"/>
        <v>k</v>
      </c>
      <c r="I355" s="22">
        <f t="shared" si="41"/>
        <v>8100</v>
      </c>
      <c r="J355" s="21" t="str">
        <f t="shared" si="42"/>
        <v>k</v>
      </c>
      <c r="K355" s="23">
        <f t="shared" si="43"/>
        <v>715600</v>
      </c>
      <c r="L355" s="21">
        <v>5.3</v>
      </c>
      <c r="M355" s="22">
        <f t="shared" si="44"/>
        <v>31</v>
      </c>
      <c r="N355" s="23">
        <f t="shared" si="45"/>
        <v>23083.870967741936</v>
      </c>
      <c r="O355" s="23">
        <f t="shared" si="46"/>
        <v>261.29032258064518</v>
      </c>
      <c r="P355" s="23">
        <f t="shared" si="47"/>
        <v>88.34567901234567</v>
      </c>
      <c r="Q355" s="21" t="str">
        <f>IF(ISNA(_xlfn.XLOOKUP(D355,'Same Seller Hist'!H:H,'Same Seller Hist'!H:H)),"Não","Sim")</f>
        <v>Sim</v>
      </c>
      <c r="R355" s="21" t="str">
        <f>_xlfn.IFNA(_xlfn.XLOOKUP(D355,'Same Seller Hist'!D:D,'Same Seller Hist'!M:M),"Não Existe")</f>
        <v>Ativo</v>
      </c>
    </row>
    <row r="356" spans="3:18" hidden="1" x14ac:dyDescent="0.35">
      <c r="C356" s="18">
        <v>45992</v>
      </c>
      <c r="D356" s="5" t="s">
        <v>1854</v>
      </c>
      <c r="E356" s="5" t="s">
        <v>926</v>
      </c>
      <c r="F356" s="5" t="s">
        <v>2086</v>
      </c>
      <c r="G356" s="5" t="s">
        <v>2116</v>
      </c>
      <c r="H356" s="21" t="str">
        <f t="shared" si="40"/>
        <v>k</v>
      </c>
      <c r="I356" s="22">
        <f t="shared" si="41"/>
        <v>8100</v>
      </c>
      <c r="J356" s="21" t="str">
        <f t="shared" si="42"/>
        <v>m</v>
      </c>
      <c r="K356" s="23">
        <f t="shared" si="43"/>
        <v>1000000</v>
      </c>
      <c r="L356" s="21">
        <v>5.3</v>
      </c>
      <c r="M356" s="22">
        <f t="shared" si="44"/>
        <v>31</v>
      </c>
      <c r="N356" s="23">
        <f t="shared" si="45"/>
        <v>32258.064516129034</v>
      </c>
      <c r="O356" s="23">
        <f t="shared" si="46"/>
        <v>261.29032258064518</v>
      </c>
      <c r="P356" s="23">
        <f t="shared" si="47"/>
        <v>123.45679012345678</v>
      </c>
      <c r="Q356" s="21" t="str">
        <f>IF(ISNA(_xlfn.XLOOKUP(D356,'Same Seller Hist'!H:H,'Same Seller Hist'!H:H)),"Não","Sim")</f>
        <v>Não</v>
      </c>
      <c r="R356" s="21" t="str">
        <f>_xlfn.IFNA(_xlfn.XLOOKUP(D356,'Same Seller Hist'!D:D,'Same Seller Hist'!M:M),"Não Existe")</f>
        <v>Não Existe</v>
      </c>
    </row>
    <row r="357" spans="3:18" x14ac:dyDescent="0.35">
      <c r="C357" s="18">
        <v>45992</v>
      </c>
      <c r="D357" s="5" t="s">
        <v>406</v>
      </c>
      <c r="E357" s="5" t="s">
        <v>908</v>
      </c>
      <c r="F357" s="5" t="s">
        <v>2086</v>
      </c>
      <c r="G357" s="5" t="s">
        <v>2379</v>
      </c>
      <c r="H357" s="21" t="str">
        <f t="shared" si="40"/>
        <v>k</v>
      </c>
      <c r="I357" s="22">
        <f t="shared" si="41"/>
        <v>8100</v>
      </c>
      <c r="J357" s="21" t="str">
        <f t="shared" si="42"/>
        <v>k</v>
      </c>
      <c r="K357" s="23">
        <f t="shared" si="43"/>
        <v>111500</v>
      </c>
      <c r="L357" s="21">
        <v>5.3</v>
      </c>
      <c r="M357" s="22">
        <f t="shared" si="44"/>
        <v>31</v>
      </c>
      <c r="N357" s="23">
        <f t="shared" si="45"/>
        <v>3596.7741935483873</v>
      </c>
      <c r="O357" s="23">
        <f t="shared" si="46"/>
        <v>261.29032258064518</v>
      </c>
      <c r="P357" s="23">
        <f t="shared" si="47"/>
        <v>13.765432098765432</v>
      </c>
      <c r="Q357" s="21" t="str">
        <f>IF(ISNA(_xlfn.XLOOKUP(D357,'Same Seller Hist'!H:H,'Same Seller Hist'!H:H)),"Não","Sim")</f>
        <v>Sim</v>
      </c>
      <c r="R357" s="21" t="str">
        <f>_xlfn.IFNA(_xlfn.XLOOKUP(D357,'Same Seller Hist'!D:D,'Same Seller Hist'!M:M),"Não Existe")</f>
        <v>Ativo</v>
      </c>
    </row>
    <row r="358" spans="3:18" x14ac:dyDescent="0.35">
      <c r="C358" s="18">
        <v>45992</v>
      </c>
      <c r="D358" s="5" t="s">
        <v>731</v>
      </c>
      <c r="E358" s="5" t="s">
        <v>941</v>
      </c>
      <c r="F358" s="5" t="s">
        <v>2086</v>
      </c>
      <c r="G358" s="5" t="s">
        <v>2380</v>
      </c>
      <c r="H358" s="21" t="str">
        <f t="shared" si="40"/>
        <v>k</v>
      </c>
      <c r="I358" s="22">
        <f t="shared" si="41"/>
        <v>8100</v>
      </c>
      <c r="J358" s="21" t="str">
        <f t="shared" si="42"/>
        <v>k</v>
      </c>
      <c r="K358" s="23">
        <f t="shared" si="43"/>
        <v>488300</v>
      </c>
      <c r="L358" s="21">
        <v>5.3</v>
      </c>
      <c r="M358" s="22">
        <f t="shared" si="44"/>
        <v>31</v>
      </c>
      <c r="N358" s="23">
        <f t="shared" si="45"/>
        <v>15751.612903225807</v>
      </c>
      <c r="O358" s="23">
        <f t="shared" si="46"/>
        <v>261.29032258064518</v>
      </c>
      <c r="P358" s="23">
        <f t="shared" si="47"/>
        <v>60.283950617283949</v>
      </c>
      <c r="Q358" s="21" t="str">
        <f>IF(ISNA(_xlfn.XLOOKUP(D358,'Same Seller Hist'!H:H,'Same Seller Hist'!H:H)),"Não","Sim")</f>
        <v>Sim</v>
      </c>
      <c r="R358" s="21" t="str">
        <f>_xlfn.IFNA(_xlfn.XLOOKUP(D358,'Same Seller Hist'!D:D,'Same Seller Hist'!M:M),"Não Existe")</f>
        <v>Ativo</v>
      </c>
    </row>
    <row r="359" spans="3:18" x14ac:dyDescent="0.35">
      <c r="C359" s="18">
        <v>45992</v>
      </c>
      <c r="D359" s="5" t="s">
        <v>483</v>
      </c>
      <c r="E359" s="5" t="s">
        <v>933</v>
      </c>
      <c r="F359" s="5" t="s">
        <v>2086</v>
      </c>
      <c r="G359" s="5" t="s">
        <v>2381</v>
      </c>
      <c r="H359" s="21" t="str">
        <f t="shared" si="40"/>
        <v>k</v>
      </c>
      <c r="I359" s="22">
        <f t="shared" si="41"/>
        <v>8100</v>
      </c>
      <c r="J359" s="21" t="str">
        <f t="shared" si="42"/>
        <v>k</v>
      </c>
      <c r="K359" s="23">
        <f t="shared" si="43"/>
        <v>303200</v>
      </c>
      <c r="L359" s="21">
        <v>5.3</v>
      </c>
      <c r="M359" s="22">
        <f t="shared" si="44"/>
        <v>31</v>
      </c>
      <c r="N359" s="23">
        <f t="shared" si="45"/>
        <v>9780.645161290322</v>
      </c>
      <c r="O359" s="23">
        <f t="shared" si="46"/>
        <v>261.29032258064518</v>
      </c>
      <c r="P359" s="23">
        <f t="shared" si="47"/>
        <v>37.432098765432094</v>
      </c>
      <c r="Q359" s="21" t="str">
        <f>IF(ISNA(_xlfn.XLOOKUP(D359,'Same Seller Hist'!H:H,'Same Seller Hist'!H:H)),"Não","Sim")</f>
        <v>Sim</v>
      </c>
      <c r="R359" s="21" t="str">
        <f>_xlfn.IFNA(_xlfn.XLOOKUP(D359,'Same Seller Hist'!D:D,'Same Seller Hist'!M:M),"Não Existe")</f>
        <v>Ativo</v>
      </c>
    </row>
    <row r="360" spans="3:18" hidden="1" x14ac:dyDescent="0.35">
      <c r="C360" s="18">
        <v>45992</v>
      </c>
      <c r="D360" s="5" t="s">
        <v>1855</v>
      </c>
      <c r="E360" s="5" t="s">
        <v>913</v>
      </c>
      <c r="F360" s="5" t="s">
        <v>2087</v>
      </c>
      <c r="G360" s="5" t="s">
        <v>2280</v>
      </c>
      <c r="H360" s="21" t="str">
        <f t="shared" si="40"/>
        <v>k</v>
      </c>
      <c r="I360" s="22">
        <f t="shared" si="41"/>
        <v>8000</v>
      </c>
      <c r="J360" s="21" t="str">
        <f t="shared" si="42"/>
        <v>k</v>
      </c>
      <c r="K360" s="23">
        <f t="shared" si="43"/>
        <v>378200</v>
      </c>
      <c r="L360" s="21">
        <v>5.3</v>
      </c>
      <c r="M360" s="22">
        <f t="shared" si="44"/>
        <v>31</v>
      </c>
      <c r="N360" s="23">
        <f t="shared" si="45"/>
        <v>12200</v>
      </c>
      <c r="O360" s="23">
        <f t="shared" si="46"/>
        <v>258.06451612903226</v>
      </c>
      <c r="P360" s="23">
        <f t="shared" si="47"/>
        <v>47.274999999999999</v>
      </c>
      <c r="Q360" s="21" t="str">
        <f>IF(ISNA(_xlfn.XLOOKUP(D360,'Same Seller Hist'!H:H,'Same Seller Hist'!H:H)),"Não","Sim")</f>
        <v>Não</v>
      </c>
      <c r="R360" s="21" t="str">
        <f>_xlfn.IFNA(_xlfn.XLOOKUP(D360,'Same Seller Hist'!D:D,'Same Seller Hist'!M:M),"Não Existe")</f>
        <v>Não Existe</v>
      </c>
    </row>
    <row r="361" spans="3:18" hidden="1" x14ac:dyDescent="0.35">
      <c r="C361" s="18">
        <v>45992</v>
      </c>
      <c r="D361" s="5" t="s">
        <v>1856</v>
      </c>
      <c r="E361" s="5" t="s">
        <v>913</v>
      </c>
      <c r="F361" s="5" t="s">
        <v>2087</v>
      </c>
      <c r="G361" s="5" t="s">
        <v>2382</v>
      </c>
      <c r="H361" s="21" t="str">
        <f t="shared" si="40"/>
        <v>k</v>
      </c>
      <c r="I361" s="22">
        <f t="shared" si="41"/>
        <v>8000</v>
      </c>
      <c r="J361" s="21" t="str">
        <f t="shared" si="42"/>
        <v>k</v>
      </c>
      <c r="K361" s="23">
        <f t="shared" si="43"/>
        <v>290500</v>
      </c>
      <c r="L361" s="21">
        <v>5.3</v>
      </c>
      <c r="M361" s="22">
        <f t="shared" si="44"/>
        <v>31</v>
      </c>
      <c r="N361" s="23">
        <f t="shared" si="45"/>
        <v>9370.967741935483</v>
      </c>
      <c r="O361" s="23">
        <f t="shared" si="46"/>
        <v>258.06451612903226</v>
      </c>
      <c r="P361" s="23">
        <f t="shared" si="47"/>
        <v>36.3125</v>
      </c>
      <c r="Q361" s="21" t="str">
        <f>IF(ISNA(_xlfn.XLOOKUP(D361,'Same Seller Hist'!H:H,'Same Seller Hist'!H:H)),"Não","Sim")</f>
        <v>Não</v>
      </c>
      <c r="R361" s="21" t="str">
        <f>_xlfn.IFNA(_xlfn.XLOOKUP(D361,'Same Seller Hist'!D:D,'Same Seller Hist'!M:M),"Não Existe")</f>
        <v>Não Existe</v>
      </c>
    </row>
    <row r="362" spans="3:18" x14ac:dyDescent="0.35">
      <c r="C362" s="18">
        <v>45992</v>
      </c>
      <c r="D362" s="5" t="s">
        <v>684</v>
      </c>
      <c r="E362" s="5" t="s">
        <v>926</v>
      </c>
      <c r="F362" s="5" t="s">
        <v>2087</v>
      </c>
      <c r="G362" s="5" t="s">
        <v>2383</v>
      </c>
      <c r="H362" s="21" t="str">
        <f t="shared" si="40"/>
        <v>k</v>
      </c>
      <c r="I362" s="22">
        <f t="shared" si="41"/>
        <v>8000</v>
      </c>
      <c r="J362" s="21" t="str">
        <f t="shared" si="42"/>
        <v>k</v>
      </c>
      <c r="K362" s="23">
        <f t="shared" si="43"/>
        <v>464200</v>
      </c>
      <c r="L362" s="21">
        <v>5.3</v>
      </c>
      <c r="M362" s="22">
        <f t="shared" si="44"/>
        <v>31</v>
      </c>
      <c r="N362" s="23">
        <f t="shared" si="45"/>
        <v>14974.193548387097</v>
      </c>
      <c r="O362" s="23">
        <f t="shared" si="46"/>
        <v>258.06451612903226</v>
      </c>
      <c r="P362" s="23">
        <f t="shared" si="47"/>
        <v>58.024999999999999</v>
      </c>
      <c r="Q362" s="21" t="str">
        <f>IF(ISNA(_xlfn.XLOOKUP(D362,'Same Seller Hist'!H:H,'Same Seller Hist'!H:H)),"Não","Sim")</f>
        <v>Sim</v>
      </c>
      <c r="R362" s="21" t="str">
        <f>_xlfn.IFNA(_xlfn.XLOOKUP(D362,'Same Seller Hist'!D:D,'Same Seller Hist'!M:M),"Não Existe")</f>
        <v>Ativo</v>
      </c>
    </row>
    <row r="363" spans="3:18" x14ac:dyDescent="0.35">
      <c r="C363" s="18">
        <v>45992</v>
      </c>
      <c r="D363" s="5" t="s">
        <v>888</v>
      </c>
      <c r="E363" s="5" t="s">
        <v>933</v>
      </c>
      <c r="F363" s="5" t="s">
        <v>2087</v>
      </c>
      <c r="G363" s="5" t="s">
        <v>2384</v>
      </c>
      <c r="H363" s="21" t="str">
        <f t="shared" si="40"/>
        <v>k</v>
      </c>
      <c r="I363" s="22">
        <f t="shared" si="41"/>
        <v>8000</v>
      </c>
      <c r="J363" s="21" t="str">
        <f t="shared" si="42"/>
        <v>k</v>
      </c>
      <c r="K363" s="23">
        <f t="shared" si="43"/>
        <v>290800</v>
      </c>
      <c r="L363" s="21">
        <v>5.3</v>
      </c>
      <c r="M363" s="22">
        <f t="shared" si="44"/>
        <v>31</v>
      </c>
      <c r="N363" s="23">
        <f t="shared" si="45"/>
        <v>9380.645161290322</v>
      </c>
      <c r="O363" s="23">
        <f t="shared" si="46"/>
        <v>258.06451612903226</v>
      </c>
      <c r="P363" s="23">
        <f t="shared" si="47"/>
        <v>36.35</v>
      </c>
      <c r="Q363" s="21" t="str">
        <f>IF(ISNA(_xlfn.XLOOKUP(D363,'Same Seller Hist'!H:H,'Same Seller Hist'!H:H)),"Não","Sim")</f>
        <v>Sim</v>
      </c>
      <c r="R363" s="21" t="str">
        <f>_xlfn.IFNA(_xlfn.XLOOKUP(D363,'Same Seller Hist'!D:D,'Same Seller Hist'!M:M),"Não Existe")</f>
        <v>Ativo</v>
      </c>
    </row>
    <row r="364" spans="3:18" hidden="1" x14ac:dyDescent="0.35">
      <c r="C364" s="18">
        <v>45992</v>
      </c>
      <c r="D364" s="5" t="s">
        <v>1857</v>
      </c>
      <c r="E364" s="5" t="s">
        <v>908</v>
      </c>
      <c r="F364" s="5" t="s">
        <v>2087</v>
      </c>
      <c r="G364" s="5" t="s">
        <v>2385</v>
      </c>
      <c r="H364" s="21" t="str">
        <f t="shared" si="40"/>
        <v>k</v>
      </c>
      <c r="I364" s="22">
        <f t="shared" si="41"/>
        <v>8000</v>
      </c>
      <c r="J364" s="21" t="str">
        <f t="shared" si="42"/>
        <v>k</v>
      </c>
      <c r="K364" s="23">
        <f t="shared" si="43"/>
        <v>234700</v>
      </c>
      <c r="L364" s="21">
        <v>5.3</v>
      </c>
      <c r="M364" s="22">
        <f t="shared" si="44"/>
        <v>31</v>
      </c>
      <c r="N364" s="23">
        <f t="shared" si="45"/>
        <v>7570.9677419354839</v>
      </c>
      <c r="O364" s="23">
        <f t="shared" si="46"/>
        <v>258.06451612903226</v>
      </c>
      <c r="P364" s="23">
        <f t="shared" si="47"/>
        <v>29.337499999999999</v>
      </c>
      <c r="Q364" s="21" t="str">
        <f>IF(ISNA(_xlfn.XLOOKUP(D364,'Same Seller Hist'!H:H,'Same Seller Hist'!H:H)),"Não","Sim")</f>
        <v>Não</v>
      </c>
      <c r="R364" s="21" t="str">
        <f>_xlfn.IFNA(_xlfn.XLOOKUP(D364,'Same Seller Hist'!D:D,'Same Seller Hist'!M:M),"Não Existe")</f>
        <v>Não Existe</v>
      </c>
    </row>
    <row r="365" spans="3:18" hidden="1" x14ac:dyDescent="0.35">
      <c r="C365" s="18">
        <v>45992</v>
      </c>
      <c r="D365" s="5" t="s">
        <v>1858</v>
      </c>
      <c r="E365" s="5" t="s">
        <v>984</v>
      </c>
      <c r="F365" s="5" t="s">
        <v>2087</v>
      </c>
      <c r="G365" s="5" t="s">
        <v>2386</v>
      </c>
      <c r="H365" s="21" t="str">
        <f t="shared" si="40"/>
        <v>k</v>
      </c>
      <c r="I365" s="22">
        <f t="shared" si="41"/>
        <v>8000</v>
      </c>
      <c r="J365" s="21" t="str">
        <f t="shared" si="42"/>
        <v>k</v>
      </c>
      <c r="K365" s="23">
        <f t="shared" si="43"/>
        <v>243500</v>
      </c>
      <c r="L365" s="21">
        <v>5.3</v>
      </c>
      <c r="M365" s="22">
        <f t="shared" si="44"/>
        <v>31</v>
      </c>
      <c r="N365" s="23">
        <f t="shared" si="45"/>
        <v>7854.8387096774195</v>
      </c>
      <c r="O365" s="23">
        <f t="shared" si="46"/>
        <v>258.06451612903226</v>
      </c>
      <c r="P365" s="23">
        <f t="shared" si="47"/>
        <v>30.4375</v>
      </c>
      <c r="Q365" s="21" t="str">
        <f>IF(ISNA(_xlfn.XLOOKUP(D365,'Same Seller Hist'!H:H,'Same Seller Hist'!H:H)),"Não","Sim")</f>
        <v>Não</v>
      </c>
      <c r="R365" s="21" t="str">
        <f>_xlfn.IFNA(_xlfn.XLOOKUP(D365,'Same Seller Hist'!D:D,'Same Seller Hist'!M:M),"Não Existe")</f>
        <v>Não Existe</v>
      </c>
    </row>
    <row r="366" spans="3:18" x14ac:dyDescent="0.35">
      <c r="C366" s="18">
        <v>45992</v>
      </c>
      <c r="D366" s="5" t="s">
        <v>873</v>
      </c>
      <c r="E366" s="5" t="s">
        <v>964</v>
      </c>
      <c r="F366" s="5" t="s">
        <v>2087</v>
      </c>
      <c r="G366" s="5" t="s">
        <v>2387</v>
      </c>
      <c r="H366" s="21" t="str">
        <f t="shared" si="40"/>
        <v>k</v>
      </c>
      <c r="I366" s="22">
        <f t="shared" si="41"/>
        <v>8000</v>
      </c>
      <c r="J366" s="21" t="str">
        <f t="shared" si="42"/>
        <v>k</v>
      </c>
      <c r="K366" s="23">
        <f t="shared" si="43"/>
        <v>225700</v>
      </c>
      <c r="L366" s="21">
        <v>5.3</v>
      </c>
      <c r="M366" s="22">
        <f t="shared" si="44"/>
        <v>31</v>
      </c>
      <c r="N366" s="23">
        <f t="shared" si="45"/>
        <v>7280.6451612903229</v>
      </c>
      <c r="O366" s="23">
        <f t="shared" si="46"/>
        <v>258.06451612903226</v>
      </c>
      <c r="P366" s="23">
        <f t="shared" si="47"/>
        <v>28.212500000000002</v>
      </c>
      <c r="Q366" s="21" t="str">
        <f>IF(ISNA(_xlfn.XLOOKUP(D366,'Same Seller Hist'!H:H,'Same Seller Hist'!H:H)),"Não","Sim")</f>
        <v>Sim</v>
      </c>
      <c r="R366" s="21" t="str">
        <f>_xlfn.IFNA(_xlfn.XLOOKUP(D366,'Same Seller Hist'!D:D,'Same Seller Hist'!M:M),"Não Existe")</f>
        <v>Ativo</v>
      </c>
    </row>
    <row r="367" spans="3:18" x14ac:dyDescent="0.35">
      <c r="C367" s="18">
        <v>45992</v>
      </c>
      <c r="D367" s="5" t="s">
        <v>127</v>
      </c>
      <c r="E367" s="5" t="s">
        <v>941</v>
      </c>
      <c r="F367" s="5" t="s">
        <v>2088</v>
      </c>
      <c r="G367" s="5" t="s">
        <v>2388</v>
      </c>
      <c r="H367" s="21" t="str">
        <f t="shared" si="40"/>
        <v>k</v>
      </c>
      <c r="I367" s="22">
        <f t="shared" si="41"/>
        <v>7900</v>
      </c>
      <c r="J367" s="21" t="str">
        <f t="shared" si="42"/>
        <v>k</v>
      </c>
      <c r="K367" s="23">
        <f t="shared" si="43"/>
        <v>256399.99999999997</v>
      </c>
      <c r="L367" s="21">
        <v>5.3</v>
      </c>
      <c r="M367" s="22">
        <f t="shared" si="44"/>
        <v>31</v>
      </c>
      <c r="N367" s="23">
        <f t="shared" si="45"/>
        <v>8270.967741935483</v>
      </c>
      <c r="O367" s="23">
        <f t="shared" si="46"/>
        <v>254.83870967741936</v>
      </c>
      <c r="P367" s="23">
        <f t="shared" si="47"/>
        <v>32.455696202531641</v>
      </c>
      <c r="Q367" s="21" t="str">
        <f>IF(ISNA(_xlfn.XLOOKUP(D367,'Same Seller Hist'!H:H,'Same Seller Hist'!H:H)),"Não","Sim")</f>
        <v>Sim</v>
      </c>
      <c r="R367" s="21" t="str">
        <f>_xlfn.IFNA(_xlfn.XLOOKUP(D367,'Same Seller Hist'!D:D,'Same Seller Hist'!M:M),"Não Existe")</f>
        <v>Ativo</v>
      </c>
    </row>
    <row r="368" spans="3:18" x14ac:dyDescent="0.35">
      <c r="C368" s="18">
        <v>45992</v>
      </c>
      <c r="D368" s="5" t="s">
        <v>575</v>
      </c>
      <c r="E368" s="5" t="s">
        <v>913</v>
      </c>
      <c r="F368" s="5" t="s">
        <v>2088</v>
      </c>
      <c r="G368" s="5" t="s">
        <v>2389</v>
      </c>
      <c r="H368" s="21" t="str">
        <f t="shared" si="40"/>
        <v>k</v>
      </c>
      <c r="I368" s="22">
        <f t="shared" si="41"/>
        <v>7900</v>
      </c>
      <c r="J368" s="21" t="str">
        <f t="shared" si="42"/>
        <v>k</v>
      </c>
      <c r="K368" s="23">
        <f t="shared" si="43"/>
        <v>347500</v>
      </c>
      <c r="L368" s="21">
        <v>5.3</v>
      </c>
      <c r="M368" s="22">
        <f t="shared" si="44"/>
        <v>31</v>
      </c>
      <c r="N368" s="23">
        <f t="shared" si="45"/>
        <v>11209.677419354839</v>
      </c>
      <c r="O368" s="23">
        <f t="shared" si="46"/>
        <v>254.83870967741936</v>
      </c>
      <c r="P368" s="23">
        <f t="shared" si="47"/>
        <v>43.9873417721519</v>
      </c>
      <c r="Q368" s="21" t="str">
        <f>IF(ISNA(_xlfn.XLOOKUP(D368,'Same Seller Hist'!H:H,'Same Seller Hist'!H:H)),"Não","Sim")</f>
        <v>Sim</v>
      </c>
      <c r="R368" s="21" t="str">
        <f>_xlfn.IFNA(_xlfn.XLOOKUP(D368,'Same Seller Hist'!D:D,'Same Seller Hist'!M:M),"Não Existe")</f>
        <v>Ativo</v>
      </c>
    </row>
    <row r="369" spans="3:18" hidden="1" x14ac:dyDescent="0.35">
      <c r="C369" s="18">
        <v>45992</v>
      </c>
      <c r="D369" s="5" t="s">
        <v>1859</v>
      </c>
      <c r="E369" s="5" t="s">
        <v>918</v>
      </c>
      <c r="F369" s="5" t="s">
        <v>2088</v>
      </c>
      <c r="G369" s="5" t="s">
        <v>2390</v>
      </c>
      <c r="H369" s="21" t="str">
        <f t="shared" si="40"/>
        <v>k</v>
      </c>
      <c r="I369" s="22">
        <f t="shared" si="41"/>
        <v>7900</v>
      </c>
      <c r="J369" s="21" t="str">
        <f t="shared" si="42"/>
        <v>k</v>
      </c>
      <c r="K369" s="23">
        <f t="shared" si="43"/>
        <v>516100</v>
      </c>
      <c r="L369" s="21">
        <v>5.3</v>
      </c>
      <c r="M369" s="22">
        <f t="shared" si="44"/>
        <v>31</v>
      </c>
      <c r="N369" s="23">
        <f t="shared" si="45"/>
        <v>16648.387096774193</v>
      </c>
      <c r="O369" s="23">
        <f t="shared" si="46"/>
        <v>254.83870967741936</v>
      </c>
      <c r="P369" s="23">
        <f t="shared" si="47"/>
        <v>65.329113924050631</v>
      </c>
      <c r="Q369" s="21" t="str">
        <f>IF(ISNA(_xlfn.XLOOKUP(D369,'Same Seller Hist'!H:H,'Same Seller Hist'!H:H)),"Não","Sim")</f>
        <v>Não</v>
      </c>
      <c r="R369" s="21" t="str">
        <f>_xlfn.IFNA(_xlfn.XLOOKUP(D369,'Same Seller Hist'!D:D,'Same Seller Hist'!M:M),"Não Existe")</f>
        <v>Não Existe</v>
      </c>
    </row>
    <row r="370" spans="3:18" x14ac:dyDescent="0.35">
      <c r="C370" s="18">
        <v>45992</v>
      </c>
      <c r="D370" s="5" t="s">
        <v>159</v>
      </c>
      <c r="E370" s="5" t="s">
        <v>936</v>
      </c>
      <c r="F370" s="5" t="s">
        <v>2088</v>
      </c>
      <c r="G370" s="5" t="s">
        <v>2391</v>
      </c>
      <c r="H370" s="21" t="str">
        <f t="shared" si="40"/>
        <v>k</v>
      </c>
      <c r="I370" s="22">
        <f t="shared" si="41"/>
        <v>7900</v>
      </c>
      <c r="J370" s="21" t="str">
        <f t="shared" si="42"/>
        <v>k</v>
      </c>
      <c r="K370" s="23">
        <f t="shared" si="43"/>
        <v>382000</v>
      </c>
      <c r="L370" s="21">
        <v>5.3</v>
      </c>
      <c r="M370" s="22">
        <f t="shared" si="44"/>
        <v>31</v>
      </c>
      <c r="N370" s="23">
        <f t="shared" si="45"/>
        <v>12322.58064516129</v>
      </c>
      <c r="O370" s="23">
        <f t="shared" si="46"/>
        <v>254.83870967741936</v>
      </c>
      <c r="P370" s="23">
        <f t="shared" si="47"/>
        <v>48.35443037974683</v>
      </c>
      <c r="Q370" s="21" t="str">
        <f>IF(ISNA(_xlfn.XLOOKUP(D370,'Same Seller Hist'!H:H,'Same Seller Hist'!H:H)),"Não","Sim")</f>
        <v>Sim</v>
      </c>
      <c r="R370" s="21" t="str">
        <f>_xlfn.IFNA(_xlfn.XLOOKUP(D370,'Same Seller Hist'!D:D,'Same Seller Hist'!M:M),"Não Existe")</f>
        <v>Ativo</v>
      </c>
    </row>
    <row r="371" spans="3:18" x14ac:dyDescent="0.35">
      <c r="C371" s="18">
        <v>45992</v>
      </c>
      <c r="D371" s="5" t="s">
        <v>232</v>
      </c>
      <c r="E371" s="5" t="s">
        <v>984</v>
      </c>
      <c r="F371" s="5" t="s">
        <v>2088</v>
      </c>
      <c r="G371" s="5" t="s">
        <v>2392</v>
      </c>
      <c r="H371" s="21" t="str">
        <f t="shared" si="40"/>
        <v>k</v>
      </c>
      <c r="I371" s="22">
        <f t="shared" si="41"/>
        <v>7900</v>
      </c>
      <c r="J371" s="21" t="str">
        <f t="shared" si="42"/>
        <v>k</v>
      </c>
      <c r="K371" s="23">
        <f t="shared" si="43"/>
        <v>495200</v>
      </c>
      <c r="L371" s="21">
        <v>5.3</v>
      </c>
      <c r="M371" s="22">
        <f t="shared" si="44"/>
        <v>31</v>
      </c>
      <c r="N371" s="23">
        <f t="shared" si="45"/>
        <v>15974.193548387097</v>
      </c>
      <c r="O371" s="23">
        <f t="shared" si="46"/>
        <v>254.83870967741936</v>
      </c>
      <c r="P371" s="23">
        <f t="shared" si="47"/>
        <v>62.683544303797468</v>
      </c>
      <c r="Q371" s="21" t="str">
        <f>IF(ISNA(_xlfn.XLOOKUP(D371,'Same Seller Hist'!H:H,'Same Seller Hist'!H:H)),"Não","Sim")</f>
        <v>Sim</v>
      </c>
      <c r="R371" s="21" t="str">
        <f>_xlfn.IFNA(_xlfn.XLOOKUP(D371,'Same Seller Hist'!D:D,'Same Seller Hist'!M:M),"Não Existe")</f>
        <v>Ativo</v>
      </c>
    </row>
    <row r="372" spans="3:18" x14ac:dyDescent="0.35">
      <c r="C372" s="18">
        <v>45992</v>
      </c>
      <c r="D372" s="5" t="s">
        <v>226</v>
      </c>
      <c r="E372" s="5" t="s">
        <v>984</v>
      </c>
      <c r="F372" s="5" t="s">
        <v>2089</v>
      </c>
      <c r="G372" s="5" t="s">
        <v>2393</v>
      </c>
      <c r="H372" s="21" t="str">
        <f t="shared" si="40"/>
        <v>k</v>
      </c>
      <c r="I372" s="22">
        <f t="shared" si="41"/>
        <v>7800</v>
      </c>
      <c r="J372" s="21" t="str">
        <f t="shared" si="42"/>
        <v>k</v>
      </c>
      <c r="K372" s="23">
        <f t="shared" si="43"/>
        <v>507200</v>
      </c>
      <c r="L372" s="21">
        <v>5.3</v>
      </c>
      <c r="M372" s="22">
        <f t="shared" si="44"/>
        <v>31</v>
      </c>
      <c r="N372" s="23">
        <f t="shared" si="45"/>
        <v>16361.290322580646</v>
      </c>
      <c r="O372" s="23">
        <f t="shared" si="46"/>
        <v>251.61290322580646</v>
      </c>
      <c r="P372" s="23">
        <f t="shared" si="47"/>
        <v>65.025641025641022</v>
      </c>
      <c r="Q372" s="21" t="str">
        <f>IF(ISNA(_xlfn.XLOOKUP(D372,'Same Seller Hist'!H:H,'Same Seller Hist'!H:H)),"Não","Sim")</f>
        <v>Sim</v>
      </c>
      <c r="R372" s="21" t="str">
        <f>_xlfn.IFNA(_xlfn.XLOOKUP(D372,'Same Seller Hist'!D:D,'Same Seller Hist'!M:M),"Não Existe")</f>
        <v>Ativo</v>
      </c>
    </row>
    <row r="373" spans="3:18" hidden="1" x14ac:dyDescent="0.35">
      <c r="C373" s="18">
        <v>45992</v>
      </c>
      <c r="D373" s="5" t="s">
        <v>341</v>
      </c>
      <c r="E373" s="5" t="s">
        <v>969</v>
      </c>
      <c r="F373" s="5" t="s">
        <v>2089</v>
      </c>
      <c r="G373" s="5" t="s">
        <v>2394</v>
      </c>
      <c r="H373" s="21" t="str">
        <f t="shared" si="40"/>
        <v>k</v>
      </c>
      <c r="I373" s="22">
        <f t="shared" si="41"/>
        <v>7800</v>
      </c>
      <c r="J373" s="21" t="str">
        <f t="shared" si="42"/>
        <v>k</v>
      </c>
      <c r="K373" s="23">
        <f t="shared" si="43"/>
        <v>317200</v>
      </c>
      <c r="L373" s="21">
        <v>5.3</v>
      </c>
      <c r="M373" s="22">
        <f t="shared" si="44"/>
        <v>31</v>
      </c>
      <c r="N373" s="23">
        <f t="shared" si="45"/>
        <v>10232.258064516129</v>
      </c>
      <c r="O373" s="23">
        <f t="shared" si="46"/>
        <v>251.61290322580646</v>
      </c>
      <c r="P373" s="23">
        <f t="shared" si="47"/>
        <v>40.666666666666664</v>
      </c>
      <c r="Q373" s="21" t="str">
        <f>IF(ISNA(_xlfn.XLOOKUP(D373,'Same Seller Hist'!H:H,'Same Seller Hist'!H:H)),"Não","Sim")</f>
        <v>Não</v>
      </c>
      <c r="R373" s="21" t="str">
        <f>_xlfn.IFNA(_xlfn.XLOOKUP(D373,'Same Seller Hist'!D:D,'Same Seller Hist'!M:M),"Não Existe")</f>
        <v>Ativo</v>
      </c>
    </row>
    <row r="374" spans="3:18" hidden="1" x14ac:dyDescent="0.35">
      <c r="C374" s="18">
        <v>45992</v>
      </c>
      <c r="D374" s="5" t="s">
        <v>1860</v>
      </c>
      <c r="E374" s="5" t="s">
        <v>913</v>
      </c>
      <c r="F374" s="5" t="s">
        <v>2089</v>
      </c>
      <c r="G374" s="5" t="s">
        <v>2395</v>
      </c>
      <c r="H374" s="21" t="str">
        <f t="shared" si="40"/>
        <v>k</v>
      </c>
      <c r="I374" s="22">
        <f t="shared" si="41"/>
        <v>7800</v>
      </c>
      <c r="J374" s="21" t="str">
        <f t="shared" si="42"/>
        <v>k</v>
      </c>
      <c r="K374" s="23">
        <f t="shared" si="43"/>
        <v>506000</v>
      </c>
      <c r="L374" s="21">
        <v>5.3</v>
      </c>
      <c r="M374" s="22">
        <f t="shared" si="44"/>
        <v>31</v>
      </c>
      <c r="N374" s="23">
        <f t="shared" si="45"/>
        <v>16322.58064516129</v>
      </c>
      <c r="O374" s="23">
        <f t="shared" si="46"/>
        <v>251.61290322580646</v>
      </c>
      <c r="P374" s="23">
        <f t="shared" si="47"/>
        <v>64.871794871794862</v>
      </c>
      <c r="Q374" s="21" t="str">
        <f>IF(ISNA(_xlfn.XLOOKUP(D374,'Same Seller Hist'!H:H,'Same Seller Hist'!H:H)),"Não","Sim")</f>
        <v>Não</v>
      </c>
      <c r="R374" s="21" t="str">
        <f>_xlfn.IFNA(_xlfn.XLOOKUP(D374,'Same Seller Hist'!D:D,'Same Seller Hist'!M:M),"Não Existe")</f>
        <v>Não Existe</v>
      </c>
    </row>
    <row r="375" spans="3:18" hidden="1" x14ac:dyDescent="0.35">
      <c r="C375" s="18">
        <v>45992</v>
      </c>
      <c r="D375" s="5" t="s">
        <v>228</v>
      </c>
      <c r="E375" s="5" t="s">
        <v>913</v>
      </c>
      <c r="F375" s="5" t="s">
        <v>2089</v>
      </c>
      <c r="G375" s="5" t="s">
        <v>2396</v>
      </c>
      <c r="H375" s="21" t="str">
        <f t="shared" si="40"/>
        <v>k</v>
      </c>
      <c r="I375" s="22">
        <f t="shared" si="41"/>
        <v>7800</v>
      </c>
      <c r="J375" s="21" t="str">
        <f t="shared" si="42"/>
        <v>k</v>
      </c>
      <c r="K375" s="23">
        <f t="shared" si="43"/>
        <v>365500</v>
      </c>
      <c r="L375" s="21">
        <v>5.3</v>
      </c>
      <c r="M375" s="22">
        <f t="shared" si="44"/>
        <v>31</v>
      </c>
      <c r="N375" s="23">
        <f t="shared" si="45"/>
        <v>11790.322580645161</v>
      </c>
      <c r="O375" s="23">
        <f t="shared" si="46"/>
        <v>251.61290322580646</v>
      </c>
      <c r="P375" s="23">
        <f t="shared" si="47"/>
        <v>46.858974358974358</v>
      </c>
      <c r="Q375" s="21" t="str">
        <f>IF(ISNA(_xlfn.XLOOKUP(D375,'Same Seller Hist'!H:H,'Same Seller Hist'!H:H)),"Não","Sim")</f>
        <v>Não</v>
      </c>
      <c r="R375" s="21" t="str">
        <f>_xlfn.IFNA(_xlfn.XLOOKUP(D375,'Same Seller Hist'!D:D,'Same Seller Hist'!M:M),"Não Existe")</f>
        <v>Ativo</v>
      </c>
    </row>
    <row r="376" spans="3:18" hidden="1" x14ac:dyDescent="0.35">
      <c r="C376" s="18">
        <v>45992</v>
      </c>
      <c r="D376" s="5" t="s">
        <v>240</v>
      </c>
      <c r="E376" s="5" t="s">
        <v>908</v>
      </c>
      <c r="F376" s="5" t="s">
        <v>2089</v>
      </c>
      <c r="G376" s="5" t="s">
        <v>2397</v>
      </c>
      <c r="H376" s="21" t="str">
        <f t="shared" si="40"/>
        <v>k</v>
      </c>
      <c r="I376" s="22">
        <f t="shared" si="41"/>
        <v>7800</v>
      </c>
      <c r="J376" s="21" t="str">
        <f t="shared" si="42"/>
        <v>k</v>
      </c>
      <c r="K376" s="23">
        <f t="shared" si="43"/>
        <v>352000</v>
      </c>
      <c r="L376" s="21">
        <v>5.3</v>
      </c>
      <c r="M376" s="22">
        <f t="shared" si="44"/>
        <v>31</v>
      </c>
      <c r="N376" s="23">
        <f t="shared" si="45"/>
        <v>11354.838709677419</v>
      </c>
      <c r="O376" s="23">
        <f t="shared" si="46"/>
        <v>251.61290322580646</v>
      </c>
      <c r="P376" s="23">
        <f t="shared" si="47"/>
        <v>45.128205128205124</v>
      </c>
      <c r="Q376" s="21" t="str">
        <f>IF(ISNA(_xlfn.XLOOKUP(D376,'Same Seller Hist'!H:H,'Same Seller Hist'!H:H)),"Não","Sim")</f>
        <v>Não</v>
      </c>
      <c r="R376" s="21" t="str">
        <f>_xlfn.IFNA(_xlfn.XLOOKUP(D376,'Same Seller Hist'!D:D,'Same Seller Hist'!M:M),"Não Existe")</f>
        <v>Ativo</v>
      </c>
    </row>
    <row r="377" spans="3:18" x14ac:dyDescent="0.35">
      <c r="C377" s="18">
        <v>45992</v>
      </c>
      <c r="D377" s="5" t="s">
        <v>124</v>
      </c>
      <c r="E377" s="5" t="s">
        <v>916</v>
      </c>
      <c r="F377" s="5" t="s">
        <v>2089</v>
      </c>
      <c r="G377" s="5" t="s">
        <v>2398</v>
      </c>
      <c r="H377" s="21" t="str">
        <f t="shared" si="40"/>
        <v>k</v>
      </c>
      <c r="I377" s="22">
        <f t="shared" si="41"/>
        <v>7800</v>
      </c>
      <c r="J377" s="21" t="str">
        <f t="shared" si="42"/>
        <v>k</v>
      </c>
      <c r="K377" s="23">
        <f t="shared" si="43"/>
        <v>549300</v>
      </c>
      <c r="L377" s="21">
        <v>5.3</v>
      </c>
      <c r="M377" s="22">
        <f t="shared" si="44"/>
        <v>31</v>
      </c>
      <c r="N377" s="23">
        <f t="shared" si="45"/>
        <v>17719.354838709678</v>
      </c>
      <c r="O377" s="23">
        <f t="shared" si="46"/>
        <v>251.61290322580646</v>
      </c>
      <c r="P377" s="23">
        <f t="shared" si="47"/>
        <v>70.42307692307692</v>
      </c>
      <c r="Q377" s="21" t="str">
        <f>IF(ISNA(_xlfn.XLOOKUP(D377,'Same Seller Hist'!H:H,'Same Seller Hist'!H:H)),"Não","Sim")</f>
        <v>Sim</v>
      </c>
      <c r="R377" s="21" t="str">
        <f>_xlfn.IFNA(_xlfn.XLOOKUP(D377,'Same Seller Hist'!D:D,'Same Seller Hist'!M:M),"Não Existe")</f>
        <v>Ativo</v>
      </c>
    </row>
    <row r="378" spans="3:18" x14ac:dyDescent="0.35">
      <c r="C378" s="18">
        <v>45992</v>
      </c>
      <c r="D378" s="5" t="s">
        <v>388</v>
      </c>
      <c r="E378" s="5" t="s">
        <v>916</v>
      </c>
      <c r="F378" s="5" t="s">
        <v>2089</v>
      </c>
      <c r="G378" s="5" t="s">
        <v>2399</v>
      </c>
      <c r="H378" s="21" t="str">
        <f t="shared" si="40"/>
        <v>k</v>
      </c>
      <c r="I378" s="22">
        <f t="shared" si="41"/>
        <v>7800</v>
      </c>
      <c r="J378" s="21" t="str">
        <f t="shared" si="42"/>
        <v>k</v>
      </c>
      <c r="K378" s="23">
        <f t="shared" si="43"/>
        <v>319400</v>
      </c>
      <c r="L378" s="21">
        <v>5.3</v>
      </c>
      <c r="M378" s="22">
        <f t="shared" si="44"/>
        <v>31</v>
      </c>
      <c r="N378" s="23">
        <f t="shared" si="45"/>
        <v>10303.225806451614</v>
      </c>
      <c r="O378" s="23">
        <f t="shared" si="46"/>
        <v>251.61290322580646</v>
      </c>
      <c r="P378" s="23">
        <f t="shared" si="47"/>
        <v>40.948717948717949</v>
      </c>
      <c r="Q378" s="21" t="str">
        <f>IF(ISNA(_xlfn.XLOOKUP(D378,'Same Seller Hist'!H:H,'Same Seller Hist'!H:H)),"Não","Sim")</f>
        <v>Sim</v>
      </c>
      <c r="R378" s="21" t="str">
        <f>_xlfn.IFNA(_xlfn.XLOOKUP(D378,'Same Seller Hist'!D:D,'Same Seller Hist'!M:M),"Não Existe")</f>
        <v>Ativo</v>
      </c>
    </row>
    <row r="379" spans="3:18" hidden="1" x14ac:dyDescent="0.35">
      <c r="C379" s="18">
        <v>45992</v>
      </c>
      <c r="D379" s="5" t="s">
        <v>1861</v>
      </c>
      <c r="E379" s="5" t="s">
        <v>924</v>
      </c>
      <c r="F379" s="5" t="s">
        <v>2090</v>
      </c>
      <c r="G379" s="5" t="s">
        <v>2400</v>
      </c>
      <c r="H379" s="21" t="str">
        <f t="shared" si="40"/>
        <v>k</v>
      </c>
      <c r="I379" s="22">
        <f t="shared" si="41"/>
        <v>7700</v>
      </c>
      <c r="J379" s="21" t="str">
        <f t="shared" si="42"/>
        <v>k</v>
      </c>
      <c r="K379" s="23">
        <f t="shared" si="43"/>
        <v>181700</v>
      </c>
      <c r="L379" s="21">
        <v>5.3</v>
      </c>
      <c r="M379" s="22">
        <f t="shared" si="44"/>
        <v>31</v>
      </c>
      <c r="N379" s="23">
        <f t="shared" si="45"/>
        <v>5861.2903225806449</v>
      </c>
      <c r="O379" s="23">
        <f t="shared" si="46"/>
        <v>248.38709677419354</v>
      </c>
      <c r="P379" s="23">
        <f t="shared" si="47"/>
        <v>23.597402597402599</v>
      </c>
      <c r="Q379" s="21" t="str">
        <f>IF(ISNA(_xlfn.XLOOKUP(D379,'Same Seller Hist'!H:H,'Same Seller Hist'!H:H)),"Não","Sim")</f>
        <v>Não</v>
      </c>
      <c r="R379" s="21" t="str">
        <f>_xlfn.IFNA(_xlfn.XLOOKUP(D379,'Same Seller Hist'!D:D,'Same Seller Hist'!M:M),"Não Existe")</f>
        <v>Não Existe</v>
      </c>
    </row>
    <row r="380" spans="3:18" hidden="1" x14ac:dyDescent="0.35">
      <c r="C380" s="18">
        <v>45992</v>
      </c>
      <c r="D380" s="5" t="s">
        <v>543</v>
      </c>
      <c r="E380" s="5" t="s">
        <v>926</v>
      </c>
      <c r="F380" s="5" t="s">
        <v>2090</v>
      </c>
      <c r="G380" s="5" t="s">
        <v>2401</v>
      </c>
      <c r="H380" s="21" t="str">
        <f t="shared" si="40"/>
        <v>k</v>
      </c>
      <c r="I380" s="22">
        <f t="shared" si="41"/>
        <v>7700</v>
      </c>
      <c r="J380" s="21" t="str">
        <f t="shared" si="42"/>
        <v>k</v>
      </c>
      <c r="K380" s="23">
        <f t="shared" si="43"/>
        <v>218100</v>
      </c>
      <c r="L380" s="21">
        <v>5.3</v>
      </c>
      <c r="M380" s="22">
        <f t="shared" si="44"/>
        <v>31</v>
      </c>
      <c r="N380" s="23">
        <f t="shared" si="45"/>
        <v>7035.4838709677415</v>
      </c>
      <c r="O380" s="23">
        <f t="shared" si="46"/>
        <v>248.38709677419354</v>
      </c>
      <c r="P380" s="23">
        <f t="shared" si="47"/>
        <v>28.324675324675326</v>
      </c>
      <c r="Q380" s="21" t="str">
        <f>IF(ISNA(_xlfn.XLOOKUP(D380,'Same Seller Hist'!H:H,'Same Seller Hist'!H:H)),"Não","Sim")</f>
        <v>Não</v>
      </c>
      <c r="R380" s="21" t="str">
        <f>_xlfn.IFNA(_xlfn.XLOOKUP(D380,'Same Seller Hist'!D:D,'Same Seller Hist'!M:M),"Não Existe")</f>
        <v>Ativo</v>
      </c>
    </row>
    <row r="381" spans="3:18" hidden="1" x14ac:dyDescent="0.35">
      <c r="C381" s="18">
        <v>45992</v>
      </c>
      <c r="D381" s="5" t="s">
        <v>1862</v>
      </c>
      <c r="E381" s="5" t="s">
        <v>908</v>
      </c>
      <c r="F381" s="5" t="s">
        <v>2090</v>
      </c>
      <c r="G381" s="5" t="s">
        <v>2402</v>
      </c>
      <c r="H381" s="21" t="str">
        <f t="shared" si="40"/>
        <v>k</v>
      </c>
      <c r="I381" s="22">
        <f t="shared" si="41"/>
        <v>7700</v>
      </c>
      <c r="J381" s="21" t="str">
        <f t="shared" si="42"/>
        <v>k</v>
      </c>
      <c r="K381" s="23">
        <f t="shared" si="43"/>
        <v>269800</v>
      </c>
      <c r="L381" s="21">
        <v>5.3</v>
      </c>
      <c r="M381" s="22">
        <f t="shared" si="44"/>
        <v>31</v>
      </c>
      <c r="N381" s="23">
        <f t="shared" si="45"/>
        <v>8703.2258064516136</v>
      </c>
      <c r="O381" s="23">
        <f t="shared" si="46"/>
        <v>248.38709677419354</v>
      </c>
      <c r="P381" s="23">
        <f t="shared" si="47"/>
        <v>35.038961038961041</v>
      </c>
      <c r="Q381" s="21" t="str">
        <f>IF(ISNA(_xlfn.XLOOKUP(D381,'Same Seller Hist'!H:H,'Same Seller Hist'!H:H)),"Não","Sim")</f>
        <v>Não</v>
      </c>
      <c r="R381" s="21" t="str">
        <f>_xlfn.IFNA(_xlfn.XLOOKUP(D381,'Same Seller Hist'!D:D,'Same Seller Hist'!M:M),"Não Existe")</f>
        <v>Não Existe</v>
      </c>
    </row>
    <row r="382" spans="3:18" x14ac:dyDescent="0.35">
      <c r="C382" s="18">
        <v>45992</v>
      </c>
      <c r="D382" s="5" t="s">
        <v>692</v>
      </c>
      <c r="E382" s="5" t="s">
        <v>928</v>
      </c>
      <c r="F382" s="5" t="s">
        <v>2090</v>
      </c>
      <c r="G382" s="5" t="s">
        <v>2403</v>
      </c>
      <c r="H382" s="21" t="str">
        <f t="shared" si="40"/>
        <v>k</v>
      </c>
      <c r="I382" s="22">
        <f t="shared" si="41"/>
        <v>7700</v>
      </c>
      <c r="J382" s="21" t="str">
        <f t="shared" si="42"/>
        <v>k</v>
      </c>
      <c r="K382" s="23">
        <f t="shared" si="43"/>
        <v>266100</v>
      </c>
      <c r="L382" s="21">
        <v>5.3</v>
      </c>
      <c r="M382" s="22">
        <f t="shared" si="44"/>
        <v>31</v>
      </c>
      <c r="N382" s="23">
        <f t="shared" si="45"/>
        <v>8583.8709677419356</v>
      </c>
      <c r="O382" s="23">
        <f t="shared" si="46"/>
        <v>248.38709677419354</v>
      </c>
      <c r="P382" s="23">
        <f t="shared" si="47"/>
        <v>34.558441558441558</v>
      </c>
      <c r="Q382" s="21" t="str">
        <f>IF(ISNA(_xlfn.XLOOKUP(D382,'Same Seller Hist'!H:H,'Same Seller Hist'!H:H)),"Não","Sim")</f>
        <v>Sim</v>
      </c>
      <c r="R382" s="21" t="str">
        <f>_xlfn.IFNA(_xlfn.XLOOKUP(D382,'Same Seller Hist'!D:D,'Same Seller Hist'!M:M),"Não Existe")</f>
        <v>Ativo</v>
      </c>
    </row>
    <row r="383" spans="3:18" x14ac:dyDescent="0.35">
      <c r="C383" s="18">
        <v>45992</v>
      </c>
      <c r="D383" s="5" t="s">
        <v>461</v>
      </c>
      <c r="E383" s="5" t="s">
        <v>984</v>
      </c>
      <c r="F383" s="5" t="s">
        <v>2090</v>
      </c>
      <c r="G383" s="5" t="s">
        <v>2404</v>
      </c>
      <c r="H383" s="21" t="str">
        <f t="shared" si="40"/>
        <v>k</v>
      </c>
      <c r="I383" s="22">
        <f t="shared" si="41"/>
        <v>7700</v>
      </c>
      <c r="J383" s="21" t="str">
        <f t="shared" si="42"/>
        <v>k</v>
      </c>
      <c r="K383" s="23">
        <f t="shared" si="43"/>
        <v>360200</v>
      </c>
      <c r="L383" s="21">
        <v>5.3</v>
      </c>
      <c r="M383" s="22">
        <f t="shared" si="44"/>
        <v>31</v>
      </c>
      <c r="N383" s="23">
        <f t="shared" si="45"/>
        <v>11619.354838709678</v>
      </c>
      <c r="O383" s="23">
        <f t="shared" si="46"/>
        <v>248.38709677419354</v>
      </c>
      <c r="P383" s="23">
        <f t="shared" si="47"/>
        <v>46.779220779220786</v>
      </c>
      <c r="Q383" s="21" t="str">
        <f>IF(ISNA(_xlfn.XLOOKUP(D383,'Same Seller Hist'!H:H,'Same Seller Hist'!H:H)),"Não","Sim")</f>
        <v>Sim</v>
      </c>
      <c r="R383" s="21" t="str">
        <f>_xlfn.IFNA(_xlfn.XLOOKUP(D383,'Same Seller Hist'!D:D,'Same Seller Hist'!M:M),"Não Existe")</f>
        <v>Ativo</v>
      </c>
    </row>
    <row r="384" spans="3:18" x14ac:dyDescent="0.35">
      <c r="C384" s="18">
        <v>45992</v>
      </c>
      <c r="D384" s="5" t="s">
        <v>877</v>
      </c>
      <c r="E384" s="5" t="s">
        <v>910</v>
      </c>
      <c r="F384" s="5" t="s">
        <v>2090</v>
      </c>
      <c r="G384" s="5" t="s">
        <v>2405</v>
      </c>
      <c r="H384" s="21" t="str">
        <f t="shared" si="40"/>
        <v>k</v>
      </c>
      <c r="I384" s="22">
        <f t="shared" si="41"/>
        <v>7700</v>
      </c>
      <c r="J384" s="21" t="str">
        <f t="shared" si="42"/>
        <v>k</v>
      </c>
      <c r="K384" s="23">
        <f t="shared" si="43"/>
        <v>273600</v>
      </c>
      <c r="L384" s="21">
        <v>5.3</v>
      </c>
      <c r="M384" s="22">
        <f t="shared" si="44"/>
        <v>31</v>
      </c>
      <c r="N384" s="23">
        <f t="shared" si="45"/>
        <v>8825.8064516129034</v>
      </c>
      <c r="O384" s="23">
        <f t="shared" si="46"/>
        <v>248.38709677419354</v>
      </c>
      <c r="P384" s="23">
        <f t="shared" si="47"/>
        <v>35.532467532467535</v>
      </c>
      <c r="Q384" s="21" t="str">
        <f>IF(ISNA(_xlfn.XLOOKUP(D384,'Same Seller Hist'!H:H,'Same Seller Hist'!H:H)),"Não","Sim")</f>
        <v>Sim</v>
      </c>
      <c r="R384" s="21" t="str">
        <f>_xlfn.IFNA(_xlfn.XLOOKUP(D384,'Same Seller Hist'!D:D,'Same Seller Hist'!M:M),"Não Existe")</f>
        <v>Ativo</v>
      </c>
    </row>
    <row r="385" spans="3:18" hidden="1" x14ac:dyDescent="0.35">
      <c r="C385" s="18">
        <v>45992</v>
      </c>
      <c r="D385" s="5" t="s">
        <v>1863</v>
      </c>
      <c r="E385" s="5" t="s">
        <v>926</v>
      </c>
      <c r="F385" s="5" t="s">
        <v>2091</v>
      </c>
      <c r="G385" s="5" t="s">
        <v>2406</v>
      </c>
      <c r="H385" s="21" t="str">
        <f t="shared" si="40"/>
        <v>k</v>
      </c>
      <c r="I385" s="22">
        <f t="shared" si="41"/>
        <v>7600</v>
      </c>
      <c r="J385" s="21" t="str">
        <f t="shared" si="42"/>
        <v>k</v>
      </c>
      <c r="K385" s="23">
        <f t="shared" si="43"/>
        <v>137400</v>
      </c>
      <c r="L385" s="21">
        <v>5.3</v>
      </c>
      <c r="M385" s="22">
        <f t="shared" si="44"/>
        <v>31</v>
      </c>
      <c r="N385" s="23">
        <f t="shared" si="45"/>
        <v>4432.2580645161288</v>
      </c>
      <c r="O385" s="23">
        <f t="shared" si="46"/>
        <v>245.16129032258064</v>
      </c>
      <c r="P385" s="23">
        <f t="shared" si="47"/>
        <v>18.078947368421051</v>
      </c>
      <c r="Q385" s="21" t="str">
        <f>IF(ISNA(_xlfn.XLOOKUP(D385,'Same Seller Hist'!H:H,'Same Seller Hist'!H:H)),"Não","Sim")</f>
        <v>Não</v>
      </c>
      <c r="R385" s="21" t="str">
        <f>_xlfn.IFNA(_xlfn.XLOOKUP(D385,'Same Seller Hist'!D:D,'Same Seller Hist'!M:M),"Não Existe")</f>
        <v>Não Existe</v>
      </c>
    </row>
    <row r="386" spans="3:18" hidden="1" x14ac:dyDescent="0.35">
      <c r="C386" s="18">
        <v>45992</v>
      </c>
      <c r="D386" s="5" t="s">
        <v>1864</v>
      </c>
      <c r="E386" s="5" t="s">
        <v>942</v>
      </c>
      <c r="F386" s="5" t="s">
        <v>2091</v>
      </c>
      <c r="G386" s="5" t="s">
        <v>2407</v>
      </c>
      <c r="H386" s="21" t="str">
        <f t="shared" si="40"/>
        <v>k</v>
      </c>
      <c r="I386" s="22">
        <f t="shared" si="41"/>
        <v>7600</v>
      </c>
      <c r="J386" s="21" t="str">
        <f t="shared" si="42"/>
        <v>k</v>
      </c>
      <c r="K386" s="23">
        <f t="shared" si="43"/>
        <v>152400</v>
      </c>
      <c r="L386" s="21">
        <v>5.3</v>
      </c>
      <c r="M386" s="22">
        <f t="shared" si="44"/>
        <v>31</v>
      </c>
      <c r="N386" s="23">
        <f t="shared" si="45"/>
        <v>4916.1290322580644</v>
      </c>
      <c r="O386" s="23">
        <f t="shared" si="46"/>
        <v>245.16129032258064</v>
      </c>
      <c r="P386" s="23">
        <f t="shared" si="47"/>
        <v>20.05263157894737</v>
      </c>
      <c r="Q386" s="21" t="str">
        <f>IF(ISNA(_xlfn.XLOOKUP(D386,'Same Seller Hist'!H:H,'Same Seller Hist'!H:H)),"Não","Sim")</f>
        <v>Não</v>
      </c>
      <c r="R386" s="21" t="str">
        <f>_xlfn.IFNA(_xlfn.XLOOKUP(D386,'Same Seller Hist'!D:D,'Same Seller Hist'!M:M),"Não Existe")</f>
        <v>Não Existe</v>
      </c>
    </row>
    <row r="387" spans="3:18" x14ac:dyDescent="0.35">
      <c r="C387" s="18">
        <v>45992</v>
      </c>
      <c r="D387" s="5" t="s">
        <v>241</v>
      </c>
      <c r="E387" s="5" t="s">
        <v>913</v>
      </c>
      <c r="F387" s="5" t="s">
        <v>2091</v>
      </c>
      <c r="G387" s="5" t="s">
        <v>2408</v>
      </c>
      <c r="H387" s="21" t="str">
        <f t="shared" si="40"/>
        <v>k</v>
      </c>
      <c r="I387" s="22">
        <f t="shared" si="41"/>
        <v>7600</v>
      </c>
      <c r="J387" s="21" t="str">
        <f t="shared" si="42"/>
        <v>k</v>
      </c>
      <c r="K387" s="23">
        <f t="shared" si="43"/>
        <v>677600</v>
      </c>
      <c r="L387" s="21">
        <v>5.3</v>
      </c>
      <c r="M387" s="22">
        <f t="shared" si="44"/>
        <v>31</v>
      </c>
      <c r="N387" s="23">
        <f t="shared" si="45"/>
        <v>21858.064516129034</v>
      </c>
      <c r="O387" s="23">
        <f t="shared" si="46"/>
        <v>245.16129032258064</v>
      </c>
      <c r="P387" s="23">
        <f t="shared" si="47"/>
        <v>89.15789473684211</v>
      </c>
      <c r="Q387" s="21" t="str">
        <f>IF(ISNA(_xlfn.XLOOKUP(D387,'Same Seller Hist'!H:H,'Same Seller Hist'!H:H)),"Não","Sim")</f>
        <v>Sim</v>
      </c>
      <c r="R387" s="21" t="str">
        <f>_xlfn.IFNA(_xlfn.XLOOKUP(D387,'Same Seller Hist'!D:D,'Same Seller Hist'!M:M),"Não Existe")</f>
        <v>Ativo</v>
      </c>
    </row>
    <row r="388" spans="3:18" x14ac:dyDescent="0.35">
      <c r="C388" s="18">
        <v>45992</v>
      </c>
      <c r="D388" s="5" t="s">
        <v>641</v>
      </c>
      <c r="E388" s="5" t="s">
        <v>913</v>
      </c>
      <c r="F388" s="5" t="s">
        <v>2091</v>
      </c>
      <c r="G388" s="5" t="s">
        <v>2409</v>
      </c>
      <c r="H388" s="21" t="str">
        <f t="shared" si="40"/>
        <v>k</v>
      </c>
      <c r="I388" s="22">
        <f t="shared" si="41"/>
        <v>7600</v>
      </c>
      <c r="J388" s="21" t="str">
        <f t="shared" si="42"/>
        <v>k</v>
      </c>
      <c r="K388" s="23">
        <f t="shared" si="43"/>
        <v>389000</v>
      </c>
      <c r="L388" s="21">
        <v>5.3</v>
      </c>
      <c r="M388" s="22">
        <f t="shared" si="44"/>
        <v>31</v>
      </c>
      <c r="N388" s="23">
        <f t="shared" si="45"/>
        <v>12548.387096774193</v>
      </c>
      <c r="O388" s="23">
        <f t="shared" si="46"/>
        <v>245.16129032258064</v>
      </c>
      <c r="P388" s="23">
        <f t="shared" si="47"/>
        <v>51.184210526315788</v>
      </c>
      <c r="Q388" s="21" t="str">
        <f>IF(ISNA(_xlfn.XLOOKUP(D388,'Same Seller Hist'!H:H,'Same Seller Hist'!H:H)),"Não","Sim")</f>
        <v>Sim</v>
      </c>
      <c r="R388" s="21" t="str">
        <f>_xlfn.IFNA(_xlfn.XLOOKUP(D388,'Same Seller Hist'!D:D,'Same Seller Hist'!M:M),"Não Existe")</f>
        <v>Ativo</v>
      </c>
    </row>
    <row r="389" spans="3:18" hidden="1" x14ac:dyDescent="0.35">
      <c r="C389" s="18">
        <v>45992</v>
      </c>
      <c r="D389" s="5" t="s">
        <v>394</v>
      </c>
      <c r="E389" s="5" t="s">
        <v>969</v>
      </c>
      <c r="F389" s="5" t="s">
        <v>2091</v>
      </c>
      <c r="G389" s="5" t="s">
        <v>2410</v>
      </c>
      <c r="H389" s="21" t="str">
        <f t="shared" si="40"/>
        <v>k</v>
      </c>
      <c r="I389" s="22">
        <f t="shared" si="41"/>
        <v>7600</v>
      </c>
      <c r="J389" s="21" t="str">
        <f t="shared" si="42"/>
        <v>k</v>
      </c>
      <c r="K389" s="23">
        <f t="shared" si="43"/>
        <v>718700</v>
      </c>
      <c r="L389" s="21">
        <v>5.3</v>
      </c>
      <c r="M389" s="22">
        <f t="shared" si="44"/>
        <v>31</v>
      </c>
      <c r="N389" s="23">
        <f t="shared" si="45"/>
        <v>23183.870967741936</v>
      </c>
      <c r="O389" s="23">
        <f t="shared" si="46"/>
        <v>245.16129032258064</v>
      </c>
      <c r="P389" s="23">
        <f t="shared" si="47"/>
        <v>94.56578947368422</v>
      </c>
      <c r="Q389" s="21" t="str">
        <f>IF(ISNA(_xlfn.XLOOKUP(D389,'Same Seller Hist'!H:H,'Same Seller Hist'!H:H)),"Não","Sim")</f>
        <v>Não</v>
      </c>
      <c r="R389" s="21" t="str">
        <f>_xlfn.IFNA(_xlfn.XLOOKUP(D389,'Same Seller Hist'!D:D,'Same Seller Hist'!M:M),"Não Existe")</f>
        <v>Ativo</v>
      </c>
    </row>
    <row r="390" spans="3:18" x14ac:dyDescent="0.35">
      <c r="C390" s="18">
        <v>45992</v>
      </c>
      <c r="D390" s="5" t="s">
        <v>129</v>
      </c>
      <c r="E390" s="5" t="s">
        <v>908</v>
      </c>
      <c r="F390" s="5" t="s">
        <v>2091</v>
      </c>
      <c r="G390" s="5" t="s">
        <v>2411</v>
      </c>
      <c r="H390" s="21" t="str">
        <f t="shared" si="40"/>
        <v>k</v>
      </c>
      <c r="I390" s="22">
        <f t="shared" si="41"/>
        <v>7600</v>
      </c>
      <c r="J390" s="21" t="str">
        <f t="shared" si="42"/>
        <v>k</v>
      </c>
      <c r="K390" s="23">
        <f t="shared" si="43"/>
        <v>415700</v>
      </c>
      <c r="L390" s="21">
        <v>5.3</v>
      </c>
      <c r="M390" s="22">
        <f t="shared" si="44"/>
        <v>31</v>
      </c>
      <c r="N390" s="23">
        <f t="shared" si="45"/>
        <v>13409.677419354839</v>
      </c>
      <c r="O390" s="23">
        <f t="shared" si="46"/>
        <v>245.16129032258064</v>
      </c>
      <c r="P390" s="23">
        <f t="shared" si="47"/>
        <v>54.697368421052637</v>
      </c>
      <c r="Q390" s="21" t="str">
        <f>IF(ISNA(_xlfn.XLOOKUP(D390,'Same Seller Hist'!H:H,'Same Seller Hist'!H:H)),"Não","Sim")</f>
        <v>Sim</v>
      </c>
      <c r="R390" s="21" t="str">
        <f>_xlfn.IFNA(_xlfn.XLOOKUP(D390,'Same Seller Hist'!D:D,'Same Seller Hist'!M:M),"Não Existe")</f>
        <v>Ativo</v>
      </c>
    </row>
    <row r="391" spans="3:18" x14ac:dyDescent="0.35">
      <c r="C391" s="18">
        <v>45992</v>
      </c>
      <c r="D391" s="5" t="s">
        <v>526</v>
      </c>
      <c r="E391" s="5" t="s">
        <v>908</v>
      </c>
      <c r="F391" s="5" t="s">
        <v>2091</v>
      </c>
      <c r="G391" s="5" t="s">
        <v>2412</v>
      </c>
      <c r="H391" s="21" t="str">
        <f t="shared" si="40"/>
        <v>k</v>
      </c>
      <c r="I391" s="22">
        <f t="shared" si="41"/>
        <v>7600</v>
      </c>
      <c r="J391" s="21" t="str">
        <f t="shared" si="42"/>
        <v>k</v>
      </c>
      <c r="K391" s="23">
        <f t="shared" si="43"/>
        <v>178800</v>
      </c>
      <c r="L391" s="21">
        <v>5.3</v>
      </c>
      <c r="M391" s="22">
        <f t="shared" si="44"/>
        <v>31</v>
      </c>
      <c r="N391" s="23">
        <f t="shared" si="45"/>
        <v>5767.7419354838712</v>
      </c>
      <c r="O391" s="23">
        <f t="shared" si="46"/>
        <v>245.16129032258064</v>
      </c>
      <c r="P391" s="23">
        <f t="shared" si="47"/>
        <v>23.526315789473685</v>
      </c>
      <c r="Q391" s="21" t="str">
        <f>IF(ISNA(_xlfn.XLOOKUP(D391,'Same Seller Hist'!H:H,'Same Seller Hist'!H:H)),"Não","Sim")</f>
        <v>Sim</v>
      </c>
      <c r="R391" s="21" t="str">
        <f>_xlfn.IFNA(_xlfn.XLOOKUP(D391,'Same Seller Hist'!D:D,'Same Seller Hist'!M:M),"Não Existe")</f>
        <v>Ativo</v>
      </c>
    </row>
    <row r="392" spans="3:18" hidden="1" x14ac:dyDescent="0.35">
      <c r="C392" s="18">
        <v>45992</v>
      </c>
      <c r="D392" s="5" t="s">
        <v>1865</v>
      </c>
      <c r="E392" s="5" t="s">
        <v>975</v>
      </c>
      <c r="F392" s="5" t="s">
        <v>2091</v>
      </c>
      <c r="G392" s="5" t="s">
        <v>2413</v>
      </c>
      <c r="H392" s="21" t="str">
        <f t="shared" si="40"/>
        <v>k</v>
      </c>
      <c r="I392" s="22">
        <f t="shared" si="41"/>
        <v>7600</v>
      </c>
      <c r="J392" s="21" t="str">
        <f t="shared" si="42"/>
        <v>k</v>
      </c>
      <c r="K392" s="23">
        <f t="shared" si="43"/>
        <v>185100</v>
      </c>
      <c r="L392" s="21">
        <v>5.3</v>
      </c>
      <c r="M392" s="22">
        <f t="shared" si="44"/>
        <v>31</v>
      </c>
      <c r="N392" s="23">
        <f t="shared" si="45"/>
        <v>5970.9677419354839</v>
      </c>
      <c r="O392" s="23">
        <f t="shared" si="46"/>
        <v>245.16129032258064</v>
      </c>
      <c r="P392" s="23">
        <f t="shared" si="47"/>
        <v>24.355263157894736</v>
      </c>
      <c r="Q392" s="21" t="str">
        <f>IF(ISNA(_xlfn.XLOOKUP(D392,'Same Seller Hist'!H:H,'Same Seller Hist'!H:H)),"Não","Sim")</f>
        <v>Não</v>
      </c>
      <c r="R392" s="21" t="str">
        <f>_xlfn.IFNA(_xlfn.XLOOKUP(D392,'Same Seller Hist'!D:D,'Same Seller Hist'!M:M),"Não Existe")</f>
        <v>Não Existe</v>
      </c>
    </row>
    <row r="393" spans="3:18" hidden="1" x14ac:dyDescent="0.35">
      <c r="C393" s="18">
        <v>45992</v>
      </c>
      <c r="D393" s="5" t="s">
        <v>1866</v>
      </c>
      <c r="E393" s="5" t="s">
        <v>969</v>
      </c>
      <c r="F393" s="5" t="s">
        <v>2092</v>
      </c>
      <c r="G393" s="5" t="s">
        <v>2414</v>
      </c>
      <c r="H393" s="21" t="str">
        <f t="shared" ref="H393:H456" si="48">RIGHT(F393,1)</f>
        <v>k</v>
      </c>
      <c r="I393" s="22">
        <f t="shared" ref="I393:I456" si="49">VALUE(SUBSTITUTE(_xlfn.REGEXREPLACE(F393,"[^0-9.]",""),".",",")) * IF(H393="m",1000000,IF(H393="k",1000,"Erro"))</f>
        <v>7500</v>
      </c>
      <c r="J393" s="21" t="str">
        <f t="shared" ref="J393:J456" si="50">RIGHT(G393,1)</f>
        <v>k</v>
      </c>
      <c r="K393" s="23">
        <f t="shared" ref="K393:K456" si="51">VALUE(SUBSTITUTE(_xlfn.REGEXREPLACE(G393,"[^0-9.]",""),".",",")) * IF(J393="m",1000000,IF(J393="k",1000,"Erro"))</f>
        <v>475500</v>
      </c>
      <c r="L393" s="21">
        <v>5.3</v>
      </c>
      <c r="M393" s="22">
        <f t="shared" ref="M393:M456" si="52">DAY(EOMONTH(C393,0))</f>
        <v>31</v>
      </c>
      <c r="N393" s="23">
        <f t="shared" ref="N393:N456" si="53">K393/M393</f>
        <v>15338.709677419354</v>
      </c>
      <c r="O393" s="23">
        <f t="shared" ref="O393:O456" si="54">I393/M393</f>
        <v>241.93548387096774</v>
      </c>
      <c r="P393" s="23">
        <f t="shared" ref="P393:P456" si="55">N393/O393</f>
        <v>63.4</v>
      </c>
      <c r="Q393" s="21" t="str">
        <f>IF(ISNA(_xlfn.XLOOKUP(D393,'Same Seller Hist'!H:H,'Same Seller Hist'!H:H)),"Não","Sim")</f>
        <v>Não</v>
      </c>
      <c r="R393" s="21" t="str">
        <f>_xlfn.IFNA(_xlfn.XLOOKUP(D393,'Same Seller Hist'!D:D,'Same Seller Hist'!M:M),"Não Existe")</f>
        <v>Não Existe</v>
      </c>
    </row>
    <row r="394" spans="3:18" x14ac:dyDescent="0.35">
      <c r="C394" s="18">
        <v>45992</v>
      </c>
      <c r="D394" s="5" t="s">
        <v>531</v>
      </c>
      <c r="E394" s="5" t="s">
        <v>1037</v>
      </c>
      <c r="F394" s="5" t="s">
        <v>2092</v>
      </c>
      <c r="G394" s="5" t="s">
        <v>2415</v>
      </c>
      <c r="H394" s="21" t="str">
        <f t="shared" si="48"/>
        <v>k</v>
      </c>
      <c r="I394" s="22">
        <f t="shared" si="49"/>
        <v>7500</v>
      </c>
      <c r="J394" s="21" t="str">
        <f t="shared" si="50"/>
        <v>k</v>
      </c>
      <c r="K394" s="23">
        <f t="shared" si="51"/>
        <v>390900</v>
      </c>
      <c r="L394" s="21">
        <v>5.3</v>
      </c>
      <c r="M394" s="22">
        <f t="shared" si="52"/>
        <v>31</v>
      </c>
      <c r="N394" s="23">
        <f t="shared" si="53"/>
        <v>12609.677419354839</v>
      </c>
      <c r="O394" s="23">
        <f t="shared" si="54"/>
        <v>241.93548387096774</v>
      </c>
      <c r="P394" s="23">
        <f t="shared" si="55"/>
        <v>52.12</v>
      </c>
      <c r="Q394" s="21" t="str">
        <f>IF(ISNA(_xlfn.XLOOKUP(D394,'Same Seller Hist'!H:H,'Same Seller Hist'!H:H)),"Não","Sim")</f>
        <v>Sim</v>
      </c>
      <c r="R394" s="21" t="str">
        <f>_xlfn.IFNA(_xlfn.XLOOKUP(D394,'Same Seller Hist'!D:D,'Same Seller Hist'!M:M),"Não Existe")</f>
        <v>Ativo</v>
      </c>
    </row>
    <row r="395" spans="3:18" hidden="1" x14ac:dyDescent="0.35">
      <c r="C395" s="18">
        <v>45992</v>
      </c>
      <c r="D395" s="5" t="s">
        <v>1867</v>
      </c>
      <c r="E395" s="5" t="s">
        <v>941</v>
      </c>
      <c r="F395" s="5" t="s">
        <v>2092</v>
      </c>
      <c r="G395" s="5" t="s">
        <v>2416</v>
      </c>
      <c r="H395" s="21" t="str">
        <f t="shared" si="48"/>
        <v>k</v>
      </c>
      <c r="I395" s="22">
        <f t="shared" si="49"/>
        <v>7500</v>
      </c>
      <c r="J395" s="21" t="str">
        <f t="shared" si="50"/>
        <v>k</v>
      </c>
      <c r="K395" s="23">
        <f t="shared" si="51"/>
        <v>414100</v>
      </c>
      <c r="L395" s="21">
        <v>5.3</v>
      </c>
      <c r="M395" s="22">
        <f t="shared" si="52"/>
        <v>31</v>
      </c>
      <c r="N395" s="23">
        <f t="shared" si="53"/>
        <v>13358.064516129032</v>
      </c>
      <c r="O395" s="23">
        <f t="shared" si="54"/>
        <v>241.93548387096774</v>
      </c>
      <c r="P395" s="23">
        <f t="shared" si="55"/>
        <v>55.213333333333331</v>
      </c>
      <c r="Q395" s="21" t="str">
        <f>IF(ISNA(_xlfn.XLOOKUP(D395,'Same Seller Hist'!H:H,'Same Seller Hist'!H:H)),"Não","Sim")</f>
        <v>Não</v>
      </c>
      <c r="R395" s="21" t="str">
        <f>_xlfn.IFNA(_xlfn.XLOOKUP(D395,'Same Seller Hist'!D:D,'Same Seller Hist'!M:M),"Não Existe")</f>
        <v>Não Existe</v>
      </c>
    </row>
    <row r="396" spans="3:18" x14ac:dyDescent="0.35">
      <c r="C396" s="18">
        <v>45992</v>
      </c>
      <c r="D396" s="5" t="s">
        <v>851</v>
      </c>
      <c r="E396" s="5" t="s">
        <v>916</v>
      </c>
      <c r="F396" s="5" t="s">
        <v>2092</v>
      </c>
      <c r="G396" s="5" t="s">
        <v>2417</v>
      </c>
      <c r="H396" s="21" t="str">
        <f t="shared" si="48"/>
        <v>k</v>
      </c>
      <c r="I396" s="22">
        <f t="shared" si="49"/>
        <v>7500</v>
      </c>
      <c r="J396" s="21" t="str">
        <f t="shared" si="50"/>
        <v>k</v>
      </c>
      <c r="K396" s="23">
        <f t="shared" si="51"/>
        <v>272300</v>
      </c>
      <c r="L396" s="21">
        <v>5.3</v>
      </c>
      <c r="M396" s="22">
        <f t="shared" si="52"/>
        <v>31</v>
      </c>
      <c r="N396" s="23">
        <f t="shared" si="53"/>
        <v>8783.8709677419356</v>
      </c>
      <c r="O396" s="23">
        <f t="shared" si="54"/>
        <v>241.93548387096774</v>
      </c>
      <c r="P396" s="23">
        <f t="shared" si="55"/>
        <v>36.306666666666665</v>
      </c>
      <c r="Q396" s="21" t="str">
        <f>IF(ISNA(_xlfn.XLOOKUP(D396,'Same Seller Hist'!H:H,'Same Seller Hist'!H:H)),"Não","Sim")</f>
        <v>Sim</v>
      </c>
      <c r="R396" s="21" t="str">
        <f>_xlfn.IFNA(_xlfn.XLOOKUP(D396,'Same Seller Hist'!D:D,'Same Seller Hist'!M:M),"Não Existe")</f>
        <v>Ativo</v>
      </c>
    </row>
    <row r="397" spans="3:18" x14ac:dyDescent="0.35">
      <c r="C397" s="18">
        <v>45992</v>
      </c>
      <c r="D397" s="5" t="s">
        <v>748</v>
      </c>
      <c r="E397" s="5" t="s">
        <v>931</v>
      </c>
      <c r="F397" s="5" t="s">
        <v>2092</v>
      </c>
      <c r="G397" s="5" t="s">
        <v>2418</v>
      </c>
      <c r="H397" s="21" t="str">
        <f t="shared" si="48"/>
        <v>k</v>
      </c>
      <c r="I397" s="22">
        <f t="shared" si="49"/>
        <v>7500</v>
      </c>
      <c r="J397" s="21" t="str">
        <f t="shared" si="50"/>
        <v>k</v>
      </c>
      <c r="K397" s="23">
        <f t="shared" si="51"/>
        <v>428600</v>
      </c>
      <c r="L397" s="21">
        <v>5.3</v>
      </c>
      <c r="M397" s="22">
        <f t="shared" si="52"/>
        <v>31</v>
      </c>
      <c r="N397" s="23">
        <f t="shared" si="53"/>
        <v>13825.806451612903</v>
      </c>
      <c r="O397" s="23">
        <f t="shared" si="54"/>
        <v>241.93548387096774</v>
      </c>
      <c r="P397" s="23">
        <f t="shared" si="55"/>
        <v>57.146666666666668</v>
      </c>
      <c r="Q397" s="21" t="str">
        <f>IF(ISNA(_xlfn.XLOOKUP(D397,'Same Seller Hist'!H:H,'Same Seller Hist'!H:H)),"Não","Sim")</f>
        <v>Sim</v>
      </c>
      <c r="R397" s="21" t="str">
        <f>_xlfn.IFNA(_xlfn.XLOOKUP(D397,'Same Seller Hist'!D:D,'Same Seller Hist'!M:M),"Não Existe")</f>
        <v>Ativo</v>
      </c>
    </row>
    <row r="398" spans="3:18" hidden="1" x14ac:dyDescent="0.35">
      <c r="C398" s="18">
        <v>45992</v>
      </c>
      <c r="D398" s="5" t="s">
        <v>1868</v>
      </c>
      <c r="E398" s="5" t="s">
        <v>908</v>
      </c>
      <c r="F398" s="5" t="s">
        <v>2093</v>
      </c>
      <c r="G398" s="5" t="s">
        <v>2419</v>
      </c>
      <c r="H398" s="21" t="str">
        <f t="shared" si="48"/>
        <v>k</v>
      </c>
      <c r="I398" s="22">
        <f t="shared" si="49"/>
        <v>7400</v>
      </c>
      <c r="J398" s="21" t="str">
        <f t="shared" si="50"/>
        <v>k</v>
      </c>
      <c r="K398" s="23">
        <f t="shared" si="51"/>
        <v>337900</v>
      </c>
      <c r="L398" s="21">
        <v>5.3</v>
      </c>
      <c r="M398" s="22">
        <f t="shared" si="52"/>
        <v>31</v>
      </c>
      <c r="N398" s="23">
        <f t="shared" si="53"/>
        <v>10900</v>
      </c>
      <c r="O398" s="23">
        <f t="shared" si="54"/>
        <v>238.70967741935485</v>
      </c>
      <c r="P398" s="23">
        <f t="shared" si="55"/>
        <v>45.662162162162161</v>
      </c>
      <c r="Q398" s="21" t="str">
        <f>IF(ISNA(_xlfn.XLOOKUP(D398,'Same Seller Hist'!H:H,'Same Seller Hist'!H:H)),"Não","Sim")</f>
        <v>Não</v>
      </c>
      <c r="R398" s="21" t="str">
        <f>_xlfn.IFNA(_xlfn.XLOOKUP(D398,'Same Seller Hist'!D:D,'Same Seller Hist'!M:M),"Não Existe")</f>
        <v>Não Existe</v>
      </c>
    </row>
    <row r="399" spans="3:18" hidden="1" x14ac:dyDescent="0.35">
      <c r="C399" s="18">
        <v>45992</v>
      </c>
      <c r="D399" s="5" t="s">
        <v>471</v>
      </c>
      <c r="E399" s="5" t="s">
        <v>908</v>
      </c>
      <c r="F399" s="5" t="s">
        <v>2093</v>
      </c>
      <c r="G399" s="5" t="s">
        <v>2420</v>
      </c>
      <c r="H399" s="21" t="str">
        <f t="shared" si="48"/>
        <v>k</v>
      </c>
      <c r="I399" s="22">
        <f t="shared" si="49"/>
        <v>7400</v>
      </c>
      <c r="J399" s="21" t="str">
        <f t="shared" si="50"/>
        <v>k</v>
      </c>
      <c r="K399" s="23">
        <f t="shared" si="51"/>
        <v>124300</v>
      </c>
      <c r="L399" s="21">
        <v>5.3</v>
      </c>
      <c r="M399" s="22">
        <f t="shared" si="52"/>
        <v>31</v>
      </c>
      <c r="N399" s="23">
        <f t="shared" si="53"/>
        <v>4009.6774193548385</v>
      </c>
      <c r="O399" s="23">
        <f t="shared" si="54"/>
        <v>238.70967741935485</v>
      </c>
      <c r="P399" s="23">
        <f t="shared" si="55"/>
        <v>16.797297297297295</v>
      </c>
      <c r="Q399" s="21" t="str">
        <f>IF(ISNA(_xlfn.XLOOKUP(D399,'Same Seller Hist'!H:H,'Same Seller Hist'!H:H)),"Não","Sim")</f>
        <v>Não</v>
      </c>
      <c r="R399" s="21" t="str">
        <f>_xlfn.IFNA(_xlfn.XLOOKUP(D399,'Same Seller Hist'!D:D,'Same Seller Hist'!M:M),"Não Existe")</f>
        <v>Ativo</v>
      </c>
    </row>
    <row r="400" spans="3:18" x14ac:dyDescent="0.35">
      <c r="C400" s="18">
        <v>45992</v>
      </c>
      <c r="D400" s="5" t="s">
        <v>590</v>
      </c>
      <c r="E400" s="5" t="s">
        <v>908</v>
      </c>
      <c r="F400" s="5" t="s">
        <v>2093</v>
      </c>
      <c r="G400" s="5" t="s">
        <v>2421</v>
      </c>
      <c r="H400" s="21" t="str">
        <f t="shared" si="48"/>
        <v>k</v>
      </c>
      <c r="I400" s="22">
        <f t="shared" si="49"/>
        <v>7400</v>
      </c>
      <c r="J400" s="21" t="str">
        <f t="shared" si="50"/>
        <v>k</v>
      </c>
      <c r="K400" s="23">
        <f t="shared" si="51"/>
        <v>202400</v>
      </c>
      <c r="L400" s="21">
        <v>5.3</v>
      </c>
      <c r="M400" s="22">
        <f t="shared" si="52"/>
        <v>31</v>
      </c>
      <c r="N400" s="23">
        <f t="shared" si="53"/>
        <v>6529.0322580645161</v>
      </c>
      <c r="O400" s="23">
        <f t="shared" si="54"/>
        <v>238.70967741935485</v>
      </c>
      <c r="P400" s="23">
        <f t="shared" si="55"/>
        <v>27.351351351351351</v>
      </c>
      <c r="Q400" s="21" t="str">
        <f>IF(ISNA(_xlfn.XLOOKUP(D400,'Same Seller Hist'!H:H,'Same Seller Hist'!H:H)),"Não","Sim")</f>
        <v>Sim</v>
      </c>
      <c r="R400" s="21" t="str">
        <f>_xlfn.IFNA(_xlfn.XLOOKUP(D400,'Same Seller Hist'!D:D,'Same Seller Hist'!M:M),"Não Existe")</f>
        <v>Ativo</v>
      </c>
    </row>
    <row r="401" spans="3:18" hidden="1" x14ac:dyDescent="0.35">
      <c r="C401" s="18">
        <v>45992</v>
      </c>
      <c r="D401" s="5" t="s">
        <v>1869</v>
      </c>
      <c r="E401" s="5" t="s">
        <v>931</v>
      </c>
      <c r="F401" s="5" t="s">
        <v>2093</v>
      </c>
      <c r="G401" s="5" t="s">
        <v>2422</v>
      </c>
      <c r="H401" s="21" t="str">
        <f t="shared" si="48"/>
        <v>k</v>
      </c>
      <c r="I401" s="22">
        <f t="shared" si="49"/>
        <v>7400</v>
      </c>
      <c r="J401" s="21" t="str">
        <f t="shared" si="50"/>
        <v>k</v>
      </c>
      <c r="K401" s="23">
        <f t="shared" si="51"/>
        <v>226500</v>
      </c>
      <c r="L401" s="21">
        <v>5.3</v>
      </c>
      <c r="M401" s="22">
        <f t="shared" si="52"/>
        <v>31</v>
      </c>
      <c r="N401" s="23">
        <f t="shared" si="53"/>
        <v>7306.4516129032254</v>
      </c>
      <c r="O401" s="23">
        <f t="shared" si="54"/>
        <v>238.70967741935485</v>
      </c>
      <c r="P401" s="23">
        <f t="shared" si="55"/>
        <v>30.608108108108105</v>
      </c>
      <c r="Q401" s="21" t="str">
        <f>IF(ISNA(_xlfn.XLOOKUP(D401,'Same Seller Hist'!H:H,'Same Seller Hist'!H:H)),"Não","Sim")</f>
        <v>Não</v>
      </c>
      <c r="R401" s="21" t="str">
        <f>_xlfn.IFNA(_xlfn.XLOOKUP(D401,'Same Seller Hist'!D:D,'Same Seller Hist'!M:M),"Não Existe")</f>
        <v>Não Existe</v>
      </c>
    </row>
    <row r="402" spans="3:18" hidden="1" x14ac:dyDescent="0.35">
      <c r="C402" s="18">
        <v>45992</v>
      </c>
      <c r="D402" s="5" t="s">
        <v>1870</v>
      </c>
      <c r="E402" s="5" t="s">
        <v>1037</v>
      </c>
      <c r="F402" s="5" t="s">
        <v>2093</v>
      </c>
      <c r="G402" s="5" t="s">
        <v>2423</v>
      </c>
      <c r="H402" s="21" t="str">
        <f t="shared" si="48"/>
        <v>k</v>
      </c>
      <c r="I402" s="22">
        <f t="shared" si="49"/>
        <v>7400</v>
      </c>
      <c r="J402" s="21" t="str">
        <f t="shared" si="50"/>
        <v>k</v>
      </c>
      <c r="K402" s="23">
        <f t="shared" si="51"/>
        <v>57100</v>
      </c>
      <c r="L402" s="21">
        <v>5.3</v>
      </c>
      <c r="M402" s="22">
        <f t="shared" si="52"/>
        <v>31</v>
      </c>
      <c r="N402" s="23">
        <f t="shared" si="53"/>
        <v>1841.9354838709678</v>
      </c>
      <c r="O402" s="23">
        <f t="shared" si="54"/>
        <v>238.70967741935485</v>
      </c>
      <c r="P402" s="23">
        <f t="shared" si="55"/>
        <v>7.7162162162162158</v>
      </c>
      <c r="Q402" s="21" t="str">
        <f>IF(ISNA(_xlfn.XLOOKUP(D402,'Same Seller Hist'!H:H,'Same Seller Hist'!H:H)),"Não","Sim")</f>
        <v>Não</v>
      </c>
      <c r="R402" s="21" t="str">
        <f>_xlfn.IFNA(_xlfn.XLOOKUP(D402,'Same Seller Hist'!D:D,'Same Seller Hist'!M:M),"Não Existe")</f>
        <v>Não Existe</v>
      </c>
    </row>
    <row r="403" spans="3:18" hidden="1" x14ac:dyDescent="0.35">
      <c r="C403" s="18">
        <v>45992</v>
      </c>
      <c r="D403" s="5" t="s">
        <v>1871</v>
      </c>
      <c r="E403" s="5" t="s">
        <v>916</v>
      </c>
      <c r="F403" s="5" t="s">
        <v>2093</v>
      </c>
      <c r="G403" s="5" t="s">
        <v>2424</v>
      </c>
      <c r="H403" s="21" t="str">
        <f t="shared" si="48"/>
        <v>k</v>
      </c>
      <c r="I403" s="22">
        <f t="shared" si="49"/>
        <v>7400</v>
      </c>
      <c r="J403" s="21" t="str">
        <f t="shared" si="50"/>
        <v>k</v>
      </c>
      <c r="K403" s="23">
        <f t="shared" si="51"/>
        <v>381000</v>
      </c>
      <c r="L403" s="21">
        <v>5.3</v>
      </c>
      <c r="M403" s="22">
        <f t="shared" si="52"/>
        <v>31</v>
      </c>
      <c r="N403" s="23">
        <f t="shared" si="53"/>
        <v>12290.322580645161</v>
      </c>
      <c r="O403" s="23">
        <f t="shared" si="54"/>
        <v>238.70967741935485</v>
      </c>
      <c r="P403" s="23">
        <f t="shared" si="55"/>
        <v>51.486486486486484</v>
      </c>
      <c r="Q403" s="21" t="str">
        <f>IF(ISNA(_xlfn.XLOOKUP(D403,'Same Seller Hist'!H:H,'Same Seller Hist'!H:H)),"Não","Sim")</f>
        <v>Não</v>
      </c>
      <c r="R403" s="21" t="str">
        <f>_xlfn.IFNA(_xlfn.XLOOKUP(D403,'Same Seller Hist'!D:D,'Same Seller Hist'!M:M),"Não Existe")</f>
        <v>Não Existe</v>
      </c>
    </row>
    <row r="404" spans="3:18" hidden="1" x14ac:dyDescent="0.35">
      <c r="C404" s="18">
        <v>45992</v>
      </c>
      <c r="D404" s="5" t="s">
        <v>1872</v>
      </c>
      <c r="E404" s="5" t="s">
        <v>926</v>
      </c>
      <c r="F404" s="5" t="s">
        <v>2093</v>
      </c>
      <c r="G404" s="5" t="s">
        <v>2425</v>
      </c>
      <c r="H404" s="21" t="str">
        <f t="shared" si="48"/>
        <v>k</v>
      </c>
      <c r="I404" s="22">
        <f t="shared" si="49"/>
        <v>7400</v>
      </c>
      <c r="J404" s="21" t="str">
        <f t="shared" si="50"/>
        <v>k</v>
      </c>
      <c r="K404" s="23">
        <f t="shared" si="51"/>
        <v>282500</v>
      </c>
      <c r="L404" s="21">
        <v>5.3</v>
      </c>
      <c r="M404" s="22">
        <f t="shared" si="52"/>
        <v>31</v>
      </c>
      <c r="N404" s="23">
        <f t="shared" si="53"/>
        <v>9112.9032258064508</v>
      </c>
      <c r="O404" s="23">
        <f t="shared" si="54"/>
        <v>238.70967741935485</v>
      </c>
      <c r="P404" s="23">
        <f t="shared" si="55"/>
        <v>38.17567567567567</v>
      </c>
      <c r="Q404" s="21" t="str">
        <f>IF(ISNA(_xlfn.XLOOKUP(D404,'Same Seller Hist'!H:H,'Same Seller Hist'!H:H)),"Não","Sim")</f>
        <v>Não</v>
      </c>
      <c r="R404" s="21" t="str">
        <f>_xlfn.IFNA(_xlfn.XLOOKUP(D404,'Same Seller Hist'!D:D,'Same Seller Hist'!M:M),"Não Existe")</f>
        <v>Não Existe</v>
      </c>
    </row>
    <row r="405" spans="3:18" hidden="1" x14ac:dyDescent="0.35">
      <c r="C405" s="18">
        <v>45992</v>
      </c>
      <c r="D405" s="5" t="s">
        <v>1873</v>
      </c>
      <c r="E405" s="5" t="s">
        <v>908</v>
      </c>
      <c r="F405" s="5" t="s">
        <v>2093</v>
      </c>
      <c r="G405" s="5" t="s">
        <v>2119</v>
      </c>
      <c r="H405" s="21" t="str">
        <f t="shared" si="48"/>
        <v>k</v>
      </c>
      <c r="I405" s="22">
        <f t="shared" si="49"/>
        <v>7400</v>
      </c>
      <c r="J405" s="21" t="str">
        <f t="shared" si="50"/>
        <v>m</v>
      </c>
      <c r="K405" s="23">
        <f t="shared" si="51"/>
        <v>1500000</v>
      </c>
      <c r="L405" s="21">
        <v>5.3</v>
      </c>
      <c r="M405" s="22">
        <f t="shared" si="52"/>
        <v>31</v>
      </c>
      <c r="N405" s="23">
        <f t="shared" si="53"/>
        <v>48387.096774193546</v>
      </c>
      <c r="O405" s="23">
        <f t="shared" si="54"/>
        <v>238.70967741935485</v>
      </c>
      <c r="P405" s="23">
        <f t="shared" si="55"/>
        <v>202.70270270270268</v>
      </c>
      <c r="Q405" s="21" t="str">
        <f>IF(ISNA(_xlfn.XLOOKUP(D405,'Same Seller Hist'!H:H,'Same Seller Hist'!H:H)),"Não","Sim")</f>
        <v>Não</v>
      </c>
      <c r="R405" s="21" t="str">
        <f>_xlfn.IFNA(_xlfn.XLOOKUP(D405,'Same Seller Hist'!D:D,'Same Seller Hist'!M:M),"Não Existe")</f>
        <v>Não Existe</v>
      </c>
    </row>
    <row r="406" spans="3:18" hidden="1" x14ac:dyDescent="0.35">
      <c r="C406" s="18">
        <v>45992</v>
      </c>
      <c r="D406" s="5" t="s">
        <v>1874</v>
      </c>
      <c r="E406" s="5" t="s">
        <v>924</v>
      </c>
      <c r="F406" s="5" t="s">
        <v>2093</v>
      </c>
      <c r="G406" s="5" t="s">
        <v>2426</v>
      </c>
      <c r="H406" s="21" t="str">
        <f t="shared" si="48"/>
        <v>k</v>
      </c>
      <c r="I406" s="22">
        <f t="shared" si="49"/>
        <v>7400</v>
      </c>
      <c r="J406" s="21" t="str">
        <f t="shared" si="50"/>
        <v>k</v>
      </c>
      <c r="K406" s="23">
        <f t="shared" si="51"/>
        <v>235400</v>
      </c>
      <c r="L406" s="21">
        <v>5.3</v>
      </c>
      <c r="M406" s="22">
        <f t="shared" si="52"/>
        <v>31</v>
      </c>
      <c r="N406" s="23">
        <f t="shared" si="53"/>
        <v>7593.5483870967746</v>
      </c>
      <c r="O406" s="23">
        <f t="shared" si="54"/>
        <v>238.70967741935485</v>
      </c>
      <c r="P406" s="23">
        <f t="shared" si="55"/>
        <v>31.810810810810811</v>
      </c>
      <c r="Q406" s="21" t="str">
        <f>IF(ISNA(_xlfn.XLOOKUP(D406,'Same Seller Hist'!H:H,'Same Seller Hist'!H:H)),"Não","Sim")</f>
        <v>Não</v>
      </c>
      <c r="R406" s="21" t="str">
        <f>_xlfn.IFNA(_xlfn.XLOOKUP(D406,'Same Seller Hist'!D:D,'Same Seller Hist'!M:M),"Não Existe")</f>
        <v>Não Existe</v>
      </c>
    </row>
    <row r="407" spans="3:18" x14ac:dyDescent="0.35">
      <c r="C407" s="18">
        <v>45992</v>
      </c>
      <c r="D407" s="5" t="s">
        <v>629</v>
      </c>
      <c r="E407" s="5" t="s">
        <v>936</v>
      </c>
      <c r="F407" s="5" t="s">
        <v>2093</v>
      </c>
      <c r="G407" s="5" t="s">
        <v>2427</v>
      </c>
      <c r="H407" s="21" t="str">
        <f t="shared" si="48"/>
        <v>k</v>
      </c>
      <c r="I407" s="22">
        <f t="shared" si="49"/>
        <v>7400</v>
      </c>
      <c r="J407" s="21" t="str">
        <f t="shared" si="50"/>
        <v>k</v>
      </c>
      <c r="K407" s="23">
        <f t="shared" si="51"/>
        <v>367000</v>
      </c>
      <c r="L407" s="21">
        <v>5.3</v>
      </c>
      <c r="M407" s="22">
        <f t="shared" si="52"/>
        <v>31</v>
      </c>
      <c r="N407" s="23">
        <f t="shared" si="53"/>
        <v>11838.709677419354</v>
      </c>
      <c r="O407" s="23">
        <f t="shared" si="54"/>
        <v>238.70967741935485</v>
      </c>
      <c r="P407" s="23">
        <f t="shared" si="55"/>
        <v>49.594594594594589</v>
      </c>
      <c r="Q407" s="21" t="str">
        <f>IF(ISNA(_xlfn.XLOOKUP(D407,'Same Seller Hist'!H:H,'Same Seller Hist'!H:H)),"Não","Sim")</f>
        <v>Sim</v>
      </c>
      <c r="R407" s="21" t="str">
        <f>_xlfn.IFNA(_xlfn.XLOOKUP(D407,'Same Seller Hist'!D:D,'Same Seller Hist'!M:M),"Não Existe")</f>
        <v>Ativo</v>
      </c>
    </row>
    <row r="408" spans="3:18" x14ac:dyDescent="0.35">
      <c r="C408" s="18">
        <v>45992</v>
      </c>
      <c r="D408" s="5" t="s">
        <v>60</v>
      </c>
      <c r="E408" s="5" t="s">
        <v>926</v>
      </c>
      <c r="F408" s="5" t="s">
        <v>2094</v>
      </c>
      <c r="G408" s="5" t="s">
        <v>2428</v>
      </c>
      <c r="H408" s="21" t="str">
        <f t="shared" si="48"/>
        <v>k</v>
      </c>
      <c r="I408" s="22">
        <f t="shared" si="49"/>
        <v>7300</v>
      </c>
      <c r="J408" s="21" t="str">
        <f t="shared" si="50"/>
        <v>k</v>
      </c>
      <c r="K408" s="23">
        <f t="shared" si="51"/>
        <v>548900</v>
      </c>
      <c r="L408" s="21">
        <v>5.3</v>
      </c>
      <c r="M408" s="22">
        <f t="shared" si="52"/>
        <v>31</v>
      </c>
      <c r="N408" s="23">
        <f t="shared" si="53"/>
        <v>17706.451612903227</v>
      </c>
      <c r="O408" s="23">
        <f t="shared" si="54"/>
        <v>235.48387096774192</v>
      </c>
      <c r="P408" s="23">
        <f t="shared" si="55"/>
        <v>75.191780821917817</v>
      </c>
      <c r="Q408" s="21" t="str">
        <f>IF(ISNA(_xlfn.XLOOKUP(D408,'Same Seller Hist'!H:H,'Same Seller Hist'!H:H)),"Não","Sim")</f>
        <v>Sim</v>
      </c>
      <c r="R408" s="21" t="str">
        <f>_xlfn.IFNA(_xlfn.XLOOKUP(D408,'Same Seller Hist'!D:D,'Same Seller Hist'!M:M),"Não Existe")</f>
        <v>Ativo</v>
      </c>
    </row>
    <row r="409" spans="3:18" x14ac:dyDescent="0.35">
      <c r="C409" s="18">
        <v>45992</v>
      </c>
      <c r="D409" s="5" t="s">
        <v>896</v>
      </c>
      <c r="E409" s="5" t="s">
        <v>984</v>
      </c>
      <c r="F409" s="5" t="s">
        <v>2094</v>
      </c>
      <c r="G409" s="5" t="s">
        <v>2429</v>
      </c>
      <c r="H409" s="21" t="str">
        <f t="shared" si="48"/>
        <v>k</v>
      </c>
      <c r="I409" s="22">
        <f t="shared" si="49"/>
        <v>7300</v>
      </c>
      <c r="J409" s="21" t="str">
        <f t="shared" si="50"/>
        <v>k</v>
      </c>
      <c r="K409" s="23">
        <f t="shared" si="51"/>
        <v>227300</v>
      </c>
      <c r="L409" s="21">
        <v>5.3</v>
      </c>
      <c r="M409" s="22">
        <f t="shared" si="52"/>
        <v>31</v>
      </c>
      <c r="N409" s="23">
        <f t="shared" si="53"/>
        <v>7332.2580645161288</v>
      </c>
      <c r="O409" s="23">
        <f t="shared" si="54"/>
        <v>235.48387096774192</v>
      </c>
      <c r="P409" s="23">
        <f t="shared" si="55"/>
        <v>31.136986301369863</v>
      </c>
      <c r="Q409" s="21" t="str">
        <f>IF(ISNA(_xlfn.XLOOKUP(D409,'Same Seller Hist'!H:H,'Same Seller Hist'!H:H)),"Não","Sim")</f>
        <v>Sim</v>
      </c>
      <c r="R409" s="21" t="str">
        <f>_xlfn.IFNA(_xlfn.XLOOKUP(D409,'Same Seller Hist'!D:D,'Same Seller Hist'!M:M),"Não Existe")</f>
        <v>Ativo</v>
      </c>
    </row>
    <row r="410" spans="3:18" x14ac:dyDescent="0.35">
      <c r="C410" s="18">
        <v>45992</v>
      </c>
      <c r="D410" s="5" t="s">
        <v>578</v>
      </c>
      <c r="E410" s="5" t="s">
        <v>908</v>
      </c>
      <c r="F410" s="5" t="s">
        <v>2095</v>
      </c>
      <c r="G410" s="5" t="s">
        <v>2132</v>
      </c>
      <c r="H410" s="21" t="str">
        <f t="shared" si="48"/>
        <v>k</v>
      </c>
      <c r="I410" s="22">
        <f t="shared" si="49"/>
        <v>7200</v>
      </c>
      <c r="J410" s="21" t="str">
        <f t="shared" si="50"/>
        <v>m</v>
      </c>
      <c r="K410" s="23">
        <f t="shared" si="51"/>
        <v>1200000</v>
      </c>
      <c r="L410" s="21">
        <v>5.3</v>
      </c>
      <c r="M410" s="22">
        <f t="shared" si="52"/>
        <v>31</v>
      </c>
      <c r="N410" s="23">
        <f t="shared" si="53"/>
        <v>38709.677419354841</v>
      </c>
      <c r="O410" s="23">
        <f t="shared" si="54"/>
        <v>232.25806451612902</v>
      </c>
      <c r="P410" s="23">
        <f t="shared" si="55"/>
        <v>166.66666666666669</v>
      </c>
      <c r="Q410" s="21" t="str">
        <f>IF(ISNA(_xlfn.XLOOKUP(D410,'Same Seller Hist'!H:H,'Same Seller Hist'!H:H)),"Não","Sim")</f>
        <v>Sim</v>
      </c>
      <c r="R410" s="21" t="str">
        <f>_xlfn.IFNA(_xlfn.XLOOKUP(D410,'Same Seller Hist'!D:D,'Same Seller Hist'!M:M),"Não Existe")</f>
        <v>Ativo</v>
      </c>
    </row>
    <row r="411" spans="3:18" hidden="1" x14ac:dyDescent="0.35">
      <c r="C411" s="18">
        <v>45992</v>
      </c>
      <c r="D411" s="5" t="s">
        <v>1875</v>
      </c>
      <c r="E411" s="5" t="s">
        <v>913</v>
      </c>
      <c r="F411" s="5" t="s">
        <v>2095</v>
      </c>
      <c r="G411" s="5" t="s">
        <v>2430</v>
      </c>
      <c r="H411" s="21" t="str">
        <f t="shared" si="48"/>
        <v>k</v>
      </c>
      <c r="I411" s="22">
        <f t="shared" si="49"/>
        <v>7200</v>
      </c>
      <c r="J411" s="21" t="str">
        <f t="shared" si="50"/>
        <v>k</v>
      </c>
      <c r="K411" s="23">
        <f t="shared" si="51"/>
        <v>505500</v>
      </c>
      <c r="L411" s="21">
        <v>5.3</v>
      </c>
      <c r="M411" s="22">
        <f t="shared" si="52"/>
        <v>31</v>
      </c>
      <c r="N411" s="23">
        <f t="shared" si="53"/>
        <v>16306.451612903225</v>
      </c>
      <c r="O411" s="23">
        <f t="shared" si="54"/>
        <v>232.25806451612902</v>
      </c>
      <c r="P411" s="23">
        <f t="shared" si="55"/>
        <v>70.208333333333329</v>
      </c>
      <c r="Q411" s="21" t="str">
        <f>IF(ISNA(_xlfn.XLOOKUP(D411,'Same Seller Hist'!H:H,'Same Seller Hist'!H:H)),"Não","Sim")</f>
        <v>Não</v>
      </c>
      <c r="R411" s="21" t="str">
        <f>_xlfn.IFNA(_xlfn.XLOOKUP(D411,'Same Seller Hist'!D:D,'Same Seller Hist'!M:M),"Não Existe")</f>
        <v>Não Existe</v>
      </c>
    </row>
    <row r="412" spans="3:18" x14ac:dyDescent="0.35">
      <c r="C412" s="18">
        <v>45992</v>
      </c>
      <c r="D412" s="5" t="s">
        <v>403</v>
      </c>
      <c r="E412" s="5" t="s">
        <v>933</v>
      </c>
      <c r="F412" s="5" t="s">
        <v>2096</v>
      </c>
      <c r="G412" s="5" t="s">
        <v>2431</v>
      </c>
      <c r="H412" s="21" t="str">
        <f t="shared" si="48"/>
        <v>k</v>
      </c>
      <c r="I412" s="22">
        <f t="shared" si="49"/>
        <v>7100</v>
      </c>
      <c r="J412" s="21" t="str">
        <f t="shared" si="50"/>
        <v>k</v>
      </c>
      <c r="K412" s="23">
        <f t="shared" si="51"/>
        <v>411900</v>
      </c>
      <c r="L412" s="21">
        <v>5.3</v>
      </c>
      <c r="M412" s="22">
        <f t="shared" si="52"/>
        <v>31</v>
      </c>
      <c r="N412" s="23">
        <f t="shared" si="53"/>
        <v>13287.096774193549</v>
      </c>
      <c r="O412" s="23">
        <f t="shared" si="54"/>
        <v>229.03225806451613</v>
      </c>
      <c r="P412" s="23">
        <f t="shared" si="55"/>
        <v>58.014084507042256</v>
      </c>
      <c r="Q412" s="21" t="str">
        <f>IF(ISNA(_xlfn.XLOOKUP(D412,'Same Seller Hist'!H:H,'Same Seller Hist'!H:H)),"Não","Sim")</f>
        <v>Sim</v>
      </c>
      <c r="R412" s="21" t="str">
        <f>_xlfn.IFNA(_xlfn.XLOOKUP(D412,'Same Seller Hist'!D:D,'Same Seller Hist'!M:M),"Não Existe")</f>
        <v>Ativo</v>
      </c>
    </row>
    <row r="413" spans="3:18" x14ac:dyDescent="0.35">
      <c r="C413" s="18">
        <v>45992</v>
      </c>
      <c r="D413" s="5" t="s">
        <v>892</v>
      </c>
      <c r="E413" s="5" t="s">
        <v>924</v>
      </c>
      <c r="F413" s="5" t="s">
        <v>2096</v>
      </c>
      <c r="G413" s="5" t="s">
        <v>2432</v>
      </c>
      <c r="H413" s="21" t="str">
        <f t="shared" si="48"/>
        <v>k</v>
      </c>
      <c r="I413" s="22">
        <f t="shared" si="49"/>
        <v>7100</v>
      </c>
      <c r="J413" s="21" t="str">
        <f t="shared" si="50"/>
        <v>k</v>
      </c>
      <c r="K413" s="23">
        <f t="shared" si="51"/>
        <v>391400</v>
      </c>
      <c r="L413" s="21">
        <v>5.3</v>
      </c>
      <c r="M413" s="22">
        <f t="shared" si="52"/>
        <v>31</v>
      </c>
      <c r="N413" s="23">
        <f t="shared" si="53"/>
        <v>12625.806451612903</v>
      </c>
      <c r="O413" s="23">
        <f t="shared" si="54"/>
        <v>229.03225806451613</v>
      </c>
      <c r="P413" s="23">
        <f t="shared" si="55"/>
        <v>55.12676056338028</v>
      </c>
      <c r="Q413" s="21" t="str">
        <f>IF(ISNA(_xlfn.XLOOKUP(D413,'Same Seller Hist'!H:H,'Same Seller Hist'!H:H)),"Não","Sim")</f>
        <v>Sim</v>
      </c>
      <c r="R413" s="21" t="str">
        <f>_xlfn.IFNA(_xlfn.XLOOKUP(D413,'Same Seller Hist'!D:D,'Same Seller Hist'!M:M),"Não Existe")</f>
        <v>Ativo</v>
      </c>
    </row>
    <row r="414" spans="3:18" hidden="1" x14ac:dyDescent="0.35">
      <c r="C414" s="18">
        <v>45992</v>
      </c>
      <c r="D414" s="5" t="s">
        <v>1876</v>
      </c>
      <c r="E414" s="5" t="s">
        <v>936</v>
      </c>
      <c r="F414" s="5" t="s">
        <v>2096</v>
      </c>
      <c r="G414" s="5" t="s">
        <v>2433</v>
      </c>
      <c r="H414" s="21" t="str">
        <f t="shared" si="48"/>
        <v>k</v>
      </c>
      <c r="I414" s="22">
        <f t="shared" si="49"/>
        <v>7100</v>
      </c>
      <c r="J414" s="21" t="str">
        <f t="shared" si="50"/>
        <v>k</v>
      </c>
      <c r="K414" s="23">
        <f t="shared" si="51"/>
        <v>132500</v>
      </c>
      <c r="L414" s="21">
        <v>5.3</v>
      </c>
      <c r="M414" s="22">
        <f t="shared" si="52"/>
        <v>31</v>
      </c>
      <c r="N414" s="23">
        <f t="shared" si="53"/>
        <v>4274.1935483870966</v>
      </c>
      <c r="O414" s="23">
        <f t="shared" si="54"/>
        <v>229.03225806451613</v>
      </c>
      <c r="P414" s="23">
        <f t="shared" si="55"/>
        <v>18.661971830985916</v>
      </c>
      <c r="Q414" s="21" t="str">
        <f>IF(ISNA(_xlfn.XLOOKUP(D414,'Same Seller Hist'!H:H,'Same Seller Hist'!H:H)),"Não","Sim")</f>
        <v>Não</v>
      </c>
      <c r="R414" s="21" t="str">
        <f>_xlfn.IFNA(_xlfn.XLOOKUP(D414,'Same Seller Hist'!D:D,'Same Seller Hist'!M:M),"Não Existe")</f>
        <v>Não Existe</v>
      </c>
    </row>
    <row r="415" spans="3:18" x14ac:dyDescent="0.35">
      <c r="C415" s="18">
        <v>45992</v>
      </c>
      <c r="D415" s="5" t="s">
        <v>663</v>
      </c>
      <c r="E415" s="5" t="s">
        <v>910</v>
      </c>
      <c r="F415" s="5" t="s">
        <v>2096</v>
      </c>
      <c r="G415" s="5" t="s">
        <v>2434</v>
      </c>
      <c r="H415" s="21" t="str">
        <f t="shared" si="48"/>
        <v>k</v>
      </c>
      <c r="I415" s="22">
        <f t="shared" si="49"/>
        <v>7100</v>
      </c>
      <c r="J415" s="21" t="str">
        <f t="shared" si="50"/>
        <v>k</v>
      </c>
      <c r="K415" s="23">
        <f t="shared" si="51"/>
        <v>447100</v>
      </c>
      <c r="L415" s="21">
        <v>5.3</v>
      </c>
      <c r="M415" s="22">
        <f t="shared" si="52"/>
        <v>31</v>
      </c>
      <c r="N415" s="23">
        <f t="shared" si="53"/>
        <v>14422.58064516129</v>
      </c>
      <c r="O415" s="23">
        <f t="shared" si="54"/>
        <v>229.03225806451613</v>
      </c>
      <c r="P415" s="23">
        <f t="shared" si="55"/>
        <v>62.971830985915489</v>
      </c>
      <c r="Q415" s="21" t="str">
        <f>IF(ISNA(_xlfn.XLOOKUP(D415,'Same Seller Hist'!H:H,'Same Seller Hist'!H:H)),"Não","Sim")</f>
        <v>Sim</v>
      </c>
      <c r="R415" s="21" t="str">
        <f>_xlfn.IFNA(_xlfn.XLOOKUP(D415,'Same Seller Hist'!D:D,'Same Seller Hist'!M:M),"Não Existe")</f>
        <v>Ativo</v>
      </c>
    </row>
    <row r="416" spans="3:18" x14ac:dyDescent="0.35">
      <c r="C416" s="18">
        <v>45992</v>
      </c>
      <c r="D416" s="5" t="s">
        <v>316</v>
      </c>
      <c r="E416" s="5" t="s">
        <v>924</v>
      </c>
      <c r="F416" s="5" t="s">
        <v>2096</v>
      </c>
      <c r="G416" s="5" t="s">
        <v>2435</v>
      </c>
      <c r="H416" s="21" t="str">
        <f t="shared" si="48"/>
        <v>k</v>
      </c>
      <c r="I416" s="22">
        <f t="shared" si="49"/>
        <v>7100</v>
      </c>
      <c r="J416" s="21" t="str">
        <f t="shared" si="50"/>
        <v>k</v>
      </c>
      <c r="K416" s="23">
        <f t="shared" si="51"/>
        <v>114600</v>
      </c>
      <c r="L416" s="21">
        <v>5.3</v>
      </c>
      <c r="M416" s="22">
        <f t="shared" si="52"/>
        <v>31</v>
      </c>
      <c r="N416" s="23">
        <f t="shared" si="53"/>
        <v>3696.7741935483873</v>
      </c>
      <c r="O416" s="23">
        <f t="shared" si="54"/>
        <v>229.03225806451613</v>
      </c>
      <c r="P416" s="23">
        <f t="shared" si="55"/>
        <v>16.140845070422536</v>
      </c>
      <c r="Q416" s="21" t="str">
        <f>IF(ISNA(_xlfn.XLOOKUP(D416,'Same Seller Hist'!H:H,'Same Seller Hist'!H:H)),"Não","Sim")</f>
        <v>Sim</v>
      </c>
      <c r="R416" s="21" t="str">
        <f>_xlfn.IFNA(_xlfn.XLOOKUP(D416,'Same Seller Hist'!D:D,'Same Seller Hist'!M:M),"Não Existe")</f>
        <v>Ativo</v>
      </c>
    </row>
    <row r="417" spans="3:18" x14ac:dyDescent="0.35">
      <c r="C417" s="18">
        <v>45992</v>
      </c>
      <c r="D417" s="5" t="s">
        <v>862</v>
      </c>
      <c r="E417" s="5" t="s">
        <v>936</v>
      </c>
      <c r="F417" s="5" t="s">
        <v>2096</v>
      </c>
      <c r="G417" s="5" t="s">
        <v>2436</v>
      </c>
      <c r="H417" s="21" t="str">
        <f t="shared" si="48"/>
        <v>k</v>
      </c>
      <c r="I417" s="22">
        <f t="shared" si="49"/>
        <v>7100</v>
      </c>
      <c r="J417" s="21" t="str">
        <f t="shared" si="50"/>
        <v>k</v>
      </c>
      <c r="K417" s="23">
        <f t="shared" si="51"/>
        <v>205400</v>
      </c>
      <c r="L417" s="21">
        <v>5.3</v>
      </c>
      <c r="M417" s="22">
        <f t="shared" si="52"/>
        <v>31</v>
      </c>
      <c r="N417" s="23">
        <f t="shared" si="53"/>
        <v>6625.8064516129034</v>
      </c>
      <c r="O417" s="23">
        <f t="shared" si="54"/>
        <v>229.03225806451613</v>
      </c>
      <c r="P417" s="23">
        <f t="shared" si="55"/>
        <v>28.929577464788732</v>
      </c>
      <c r="Q417" s="21" t="str">
        <f>IF(ISNA(_xlfn.XLOOKUP(D417,'Same Seller Hist'!H:H,'Same Seller Hist'!H:H)),"Não","Sim")</f>
        <v>Sim</v>
      </c>
      <c r="R417" s="21" t="str">
        <f>_xlfn.IFNA(_xlfn.XLOOKUP(D417,'Same Seller Hist'!D:D,'Same Seller Hist'!M:M),"Não Existe")</f>
        <v>Ativo</v>
      </c>
    </row>
    <row r="418" spans="3:18" x14ac:dyDescent="0.35">
      <c r="C418" s="18">
        <v>45992</v>
      </c>
      <c r="D418" s="5" t="s">
        <v>787</v>
      </c>
      <c r="E418" s="5" t="s">
        <v>918</v>
      </c>
      <c r="F418" s="5" t="s">
        <v>2096</v>
      </c>
      <c r="G418" s="5" t="s">
        <v>2437</v>
      </c>
      <c r="H418" s="21" t="str">
        <f t="shared" si="48"/>
        <v>k</v>
      </c>
      <c r="I418" s="22">
        <f t="shared" si="49"/>
        <v>7100</v>
      </c>
      <c r="J418" s="21" t="str">
        <f t="shared" si="50"/>
        <v>k</v>
      </c>
      <c r="K418" s="23">
        <f t="shared" si="51"/>
        <v>394700</v>
      </c>
      <c r="L418" s="21">
        <v>5.3</v>
      </c>
      <c r="M418" s="22">
        <f t="shared" si="52"/>
        <v>31</v>
      </c>
      <c r="N418" s="23">
        <f t="shared" si="53"/>
        <v>12732.258064516129</v>
      </c>
      <c r="O418" s="23">
        <f t="shared" si="54"/>
        <v>229.03225806451613</v>
      </c>
      <c r="P418" s="23">
        <f t="shared" si="55"/>
        <v>55.591549295774648</v>
      </c>
      <c r="Q418" s="21" t="str">
        <f>IF(ISNA(_xlfn.XLOOKUP(D418,'Same Seller Hist'!H:H,'Same Seller Hist'!H:H)),"Não","Sim")</f>
        <v>Sim</v>
      </c>
      <c r="R418" s="21" t="str">
        <f>_xlfn.IFNA(_xlfn.XLOOKUP(D418,'Same Seller Hist'!D:D,'Same Seller Hist'!M:M),"Não Existe")</f>
        <v>Ativo</v>
      </c>
    </row>
    <row r="419" spans="3:18" x14ac:dyDescent="0.35">
      <c r="C419" s="18">
        <v>45992</v>
      </c>
      <c r="D419" s="5" t="s">
        <v>359</v>
      </c>
      <c r="E419" s="5" t="s">
        <v>908</v>
      </c>
      <c r="F419" s="5" t="s">
        <v>2096</v>
      </c>
      <c r="G419" s="5" t="s">
        <v>2438</v>
      </c>
      <c r="H419" s="21" t="str">
        <f t="shared" si="48"/>
        <v>k</v>
      </c>
      <c r="I419" s="22">
        <f t="shared" si="49"/>
        <v>7100</v>
      </c>
      <c r="J419" s="21" t="str">
        <f t="shared" si="50"/>
        <v>k</v>
      </c>
      <c r="K419" s="23">
        <f t="shared" si="51"/>
        <v>591700</v>
      </c>
      <c r="L419" s="21">
        <v>5.3</v>
      </c>
      <c r="M419" s="22">
        <f t="shared" si="52"/>
        <v>31</v>
      </c>
      <c r="N419" s="23">
        <f t="shared" si="53"/>
        <v>19087.096774193549</v>
      </c>
      <c r="O419" s="23">
        <f t="shared" si="54"/>
        <v>229.03225806451613</v>
      </c>
      <c r="P419" s="23">
        <f t="shared" si="55"/>
        <v>83.338028169014095</v>
      </c>
      <c r="Q419" s="21" t="str">
        <f>IF(ISNA(_xlfn.XLOOKUP(D419,'Same Seller Hist'!H:H,'Same Seller Hist'!H:H)),"Não","Sim")</f>
        <v>Sim</v>
      </c>
      <c r="R419" s="21" t="str">
        <f>_xlfn.IFNA(_xlfn.XLOOKUP(D419,'Same Seller Hist'!D:D,'Same Seller Hist'!M:M),"Não Existe")</f>
        <v>Ativo</v>
      </c>
    </row>
    <row r="420" spans="3:18" x14ac:dyDescent="0.35">
      <c r="C420" s="18">
        <v>45992</v>
      </c>
      <c r="D420" s="5" t="s">
        <v>539</v>
      </c>
      <c r="E420" s="5" t="s">
        <v>942</v>
      </c>
      <c r="F420" s="5" t="s">
        <v>2097</v>
      </c>
      <c r="G420" s="5" t="s">
        <v>2439</v>
      </c>
      <c r="H420" s="21" t="str">
        <f t="shared" si="48"/>
        <v>k</v>
      </c>
      <c r="I420" s="22">
        <f t="shared" si="49"/>
        <v>7000</v>
      </c>
      <c r="J420" s="21" t="str">
        <f t="shared" si="50"/>
        <v>k</v>
      </c>
      <c r="K420" s="23">
        <f t="shared" si="51"/>
        <v>128300.00000000001</v>
      </c>
      <c r="L420" s="21">
        <v>5.3</v>
      </c>
      <c r="M420" s="22">
        <f t="shared" si="52"/>
        <v>31</v>
      </c>
      <c r="N420" s="23">
        <f t="shared" si="53"/>
        <v>4138.7096774193551</v>
      </c>
      <c r="O420" s="23">
        <f t="shared" si="54"/>
        <v>225.80645161290323</v>
      </c>
      <c r="P420" s="23">
        <f t="shared" si="55"/>
        <v>18.328571428571429</v>
      </c>
      <c r="Q420" s="21" t="str">
        <f>IF(ISNA(_xlfn.XLOOKUP(D420,'Same Seller Hist'!H:H,'Same Seller Hist'!H:H)),"Não","Sim")</f>
        <v>Sim</v>
      </c>
      <c r="R420" s="21" t="str">
        <f>_xlfn.IFNA(_xlfn.XLOOKUP(D420,'Same Seller Hist'!D:D,'Same Seller Hist'!M:M),"Não Existe")</f>
        <v>Ativo</v>
      </c>
    </row>
    <row r="421" spans="3:18" hidden="1" x14ac:dyDescent="0.35">
      <c r="C421" s="18">
        <v>45992</v>
      </c>
      <c r="D421" s="5" t="s">
        <v>385</v>
      </c>
      <c r="E421" s="5" t="s">
        <v>916</v>
      </c>
      <c r="F421" s="5" t="s">
        <v>2097</v>
      </c>
      <c r="G421" s="5" t="s">
        <v>2440</v>
      </c>
      <c r="H421" s="21" t="str">
        <f t="shared" si="48"/>
        <v>k</v>
      </c>
      <c r="I421" s="22">
        <f t="shared" si="49"/>
        <v>7000</v>
      </c>
      <c r="J421" s="21" t="str">
        <f t="shared" si="50"/>
        <v>k</v>
      </c>
      <c r="K421" s="23">
        <f t="shared" si="51"/>
        <v>179700</v>
      </c>
      <c r="L421" s="21">
        <v>5.3</v>
      </c>
      <c r="M421" s="22">
        <f t="shared" si="52"/>
        <v>31</v>
      </c>
      <c r="N421" s="23">
        <f t="shared" si="53"/>
        <v>5796.7741935483873</v>
      </c>
      <c r="O421" s="23">
        <f t="shared" si="54"/>
        <v>225.80645161290323</v>
      </c>
      <c r="P421" s="23">
        <f t="shared" si="55"/>
        <v>25.671428571428571</v>
      </c>
      <c r="Q421" s="21" t="str">
        <f>IF(ISNA(_xlfn.XLOOKUP(D421,'Same Seller Hist'!H:H,'Same Seller Hist'!H:H)),"Não","Sim")</f>
        <v>Não</v>
      </c>
      <c r="R421" s="21" t="str">
        <f>_xlfn.IFNA(_xlfn.XLOOKUP(D421,'Same Seller Hist'!D:D,'Same Seller Hist'!M:M),"Não Existe")</f>
        <v>Ativo</v>
      </c>
    </row>
    <row r="422" spans="3:18" hidden="1" x14ac:dyDescent="0.35">
      <c r="C422" s="18">
        <v>45992</v>
      </c>
      <c r="D422" s="5" t="s">
        <v>547</v>
      </c>
      <c r="E422" s="5" t="s">
        <v>913</v>
      </c>
      <c r="F422" s="5" t="s">
        <v>2097</v>
      </c>
      <c r="G422" s="5" t="s">
        <v>2156</v>
      </c>
      <c r="H422" s="21" t="str">
        <f t="shared" si="48"/>
        <v>k</v>
      </c>
      <c r="I422" s="22">
        <f t="shared" si="49"/>
        <v>7000</v>
      </c>
      <c r="J422" s="21" t="str">
        <f t="shared" si="50"/>
        <v>k</v>
      </c>
      <c r="K422" s="23">
        <f t="shared" si="51"/>
        <v>383500</v>
      </c>
      <c r="L422" s="21">
        <v>5.3</v>
      </c>
      <c r="M422" s="22">
        <f t="shared" si="52"/>
        <v>31</v>
      </c>
      <c r="N422" s="23">
        <f t="shared" si="53"/>
        <v>12370.967741935483</v>
      </c>
      <c r="O422" s="23">
        <f t="shared" si="54"/>
        <v>225.80645161290323</v>
      </c>
      <c r="P422" s="23">
        <f t="shared" si="55"/>
        <v>54.785714285714278</v>
      </c>
      <c r="Q422" s="21" t="str">
        <f>IF(ISNA(_xlfn.XLOOKUP(D422,'Same Seller Hist'!H:H,'Same Seller Hist'!H:H)),"Não","Sim")</f>
        <v>Não</v>
      </c>
      <c r="R422" s="21" t="str">
        <f>_xlfn.IFNA(_xlfn.XLOOKUP(D422,'Same Seller Hist'!D:D,'Same Seller Hist'!M:M),"Não Existe")</f>
        <v>Ativo</v>
      </c>
    </row>
    <row r="423" spans="3:18" x14ac:dyDescent="0.35">
      <c r="C423" s="18">
        <v>45992</v>
      </c>
      <c r="D423" s="5" t="s">
        <v>767</v>
      </c>
      <c r="E423" s="5" t="s">
        <v>984</v>
      </c>
      <c r="F423" s="5" t="s">
        <v>2097</v>
      </c>
      <c r="G423" s="5" t="s">
        <v>2339</v>
      </c>
      <c r="H423" s="21" t="str">
        <f t="shared" si="48"/>
        <v>k</v>
      </c>
      <c r="I423" s="22">
        <f t="shared" si="49"/>
        <v>7000</v>
      </c>
      <c r="J423" s="21" t="str">
        <f t="shared" si="50"/>
        <v>k</v>
      </c>
      <c r="K423" s="23">
        <f t="shared" si="51"/>
        <v>301400</v>
      </c>
      <c r="L423" s="21">
        <v>5.3</v>
      </c>
      <c r="M423" s="22">
        <f t="shared" si="52"/>
        <v>31</v>
      </c>
      <c r="N423" s="23">
        <f t="shared" si="53"/>
        <v>9722.5806451612898</v>
      </c>
      <c r="O423" s="23">
        <f t="shared" si="54"/>
        <v>225.80645161290323</v>
      </c>
      <c r="P423" s="23">
        <f t="shared" si="55"/>
        <v>43.057142857142857</v>
      </c>
      <c r="Q423" s="21" t="str">
        <f>IF(ISNA(_xlfn.XLOOKUP(D423,'Same Seller Hist'!H:H,'Same Seller Hist'!H:H)),"Não","Sim")</f>
        <v>Sim</v>
      </c>
      <c r="R423" s="21" t="str">
        <f>_xlfn.IFNA(_xlfn.XLOOKUP(D423,'Same Seller Hist'!D:D,'Same Seller Hist'!M:M),"Não Existe")</f>
        <v>Ativo</v>
      </c>
    </row>
    <row r="424" spans="3:18" hidden="1" x14ac:dyDescent="0.35">
      <c r="C424" s="18">
        <v>45992</v>
      </c>
      <c r="D424" s="5" t="s">
        <v>1877</v>
      </c>
      <c r="E424" s="5" t="s">
        <v>908</v>
      </c>
      <c r="F424" s="5" t="s">
        <v>2097</v>
      </c>
      <c r="G424" s="5" t="s">
        <v>2441</v>
      </c>
      <c r="H424" s="21" t="str">
        <f t="shared" si="48"/>
        <v>k</v>
      </c>
      <c r="I424" s="22">
        <f t="shared" si="49"/>
        <v>7000</v>
      </c>
      <c r="J424" s="21" t="str">
        <f t="shared" si="50"/>
        <v>k</v>
      </c>
      <c r="K424" s="23">
        <f t="shared" si="51"/>
        <v>216200</v>
      </c>
      <c r="L424" s="21">
        <v>5.3</v>
      </c>
      <c r="M424" s="22">
        <f t="shared" si="52"/>
        <v>31</v>
      </c>
      <c r="N424" s="23">
        <f t="shared" si="53"/>
        <v>6974.1935483870966</v>
      </c>
      <c r="O424" s="23">
        <f t="shared" si="54"/>
        <v>225.80645161290323</v>
      </c>
      <c r="P424" s="23">
        <f t="shared" si="55"/>
        <v>30.885714285714283</v>
      </c>
      <c r="Q424" s="21" t="str">
        <f>IF(ISNA(_xlfn.XLOOKUP(D424,'Same Seller Hist'!H:H,'Same Seller Hist'!H:H)),"Não","Sim")</f>
        <v>Não</v>
      </c>
      <c r="R424" s="21" t="str">
        <f>_xlfn.IFNA(_xlfn.XLOOKUP(D424,'Same Seller Hist'!D:D,'Same Seller Hist'!M:M),"Não Existe")</f>
        <v>Não Existe</v>
      </c>
    </row>
    <row r="425" spans="3:18" x14ac:dyDescent="0.35">
      <c r="C425" s="18">
        <v>45992</v>
      </c>
      <c r="D425" s="5" t="s">
        <v>152</v>
      </c>
      <c r="E425" s="5" t="s">
        <v>908</v>
      </c>
      <c r="F425" s="5" t="s">
        <v>2097</v>
      </c>
      <c r="G425" s="5" t="s">
        <v>2442</v>
      </c>
      <c r="H425" s="21" t="str">
        <f t="shared" si="48"/>
        <v>k</v>
      </c>
      <c r="I425" s="22">
        <f t="shared" si="49"/>
        <v>7000</v>
      </c>
      <c r="J425" s="21" t="str">
        <f t="shared" si="50"/>
        <v>k</v>
      </c>
      <c r="K425" s="23">
        <f t="shared" si="51"/>
        <v>278300</v>
      </c>
      <c r="L425" s="21">
        <v>5.3</v>
      </c>
      <c r="M425" s="22">
        <f t="shared" si="52"/>
        <v>31</v>
      </c>
      <c r="N425" s="23">
        <f t="shared" si="53"/>
        <v>8977.4193548387102</v>
      </c>
      <c r="O425" s="23">
        <f t="shared" si="54"/>
        <v>225.80645161290323</v>
      </c>
      <c r="P425" s="23">
        <f t="shared" si="55"/>
        <v>39.75714285714286</v>
      </c>
      <c r="Q425" s="21" t="str">
        <f>IF(ISNA(_xlfn.XLOOKUP(D425,'Same Seller Hist'!H:H,'Same Seller Hist'!H:H)),"Não","Sim")</f>
        <v>Sim</v>
      </c>
      <c r="R425" s="21" t="str">
        <f>_xlfn.IFNA(_xlfn.XLOOKUP(D425,'Same Seller Hist'!D:D,'Same Seller Hist'!M:M),"Não Existe")</f>
        <v>Ativo</v>
      </c>
    </row>
    <row r="426" spans="3:18" hidden="1" x14ac:dyDescent="0.35">
      <c r="C426" s="18">
        <v>45992</v>
      </c>
      <c r="D426" s="5" t="s">
        <v>1878</v>
      </c>
      <c r="E426" s="5" t="s">
        <v>984</v>
      </c>
      <c r="F426" s="5" t="s">
        <v>2097</v>
      </c>
      <c r="G426" s="5" t="s">
        <v>2443</v>
      </c>
      <c r="H426" s="21" t="str">
        <f t="shared" si="48"/>
        <v>k</v>
      </c>
      <c r="I426" s="22">
        <f t="shared" si="49"/>
        <v>7000</v>
      </c>
      <c r="J426" s="21" t="str">
        <f t="shared" si="50"/>
        <v>k</v>
      </c>
      <c r="K426" s="23">
        <f t="shared" si="51"/>
        <v>441200</v>
      </c>
      <c r="L426" s="21">
        <v>5.3</v>
      </c>
      <c r="M426" s="22">
        <f t="shared" si="52"/>
        <v>31</v>
      </c>
      <c r="N426" s="23">
        <f t="shared" si="53"/>
        <v>14232.258064516129</v>
      </c>
      <c r="O426" s="23">
        <f t="shared" si="54"/>
        <v>225.80645161290323</v>
      </c>
      <c r="P426" s="23">
        <f t="shared" si="55"/>
        <v>63.028571428571425</v>
      </c>
      <c r="Q426" s="21" t="str">
        <f>IF(ISNA(_xlfn.XLOOKUP(D426,'Same Seller Hist'!H:H,'Same Seller Hist'!H:H)),"Não","Sim")</f>
        <v>Não</v>
      </c>
      <c r="R426" s="21" t="str">
        <f>_xlfn.IFNA(_xlfn.XLOOKUP(D426,'Same Seller Hist'!D:D,'Same Seller Hist'!M:M),"Não Existe")</f>
        <v>Não Existe</v>
      </c>
    </row>
    <row r="427" spans="3:18" x14ac:dyDescent="0.35">
      <c r="C427" s="18">
        <v>45992</v>
      </c>
      <c r="D427" s="5" t="s">
        <v>94</v>
      </c>
      <c r="E427" s="5" t="s">
        <v>913</v>
      </c>
      <c r="F427" s="5" t="s">
        <v>2097</v>
      </c>
      <c r="G427" s="5" t="s">
        <v>2444</v>
      </c>
      <c r="H427" s="21" t="str">
        <f t="shared" si="48"/>
        <v>k</v>
      </c>
      <c r="I427" s="22">
        <f t="shared" si="49"/>
        <v>7000</v>
      </c>
      <c r="J427" s="21" t="str">
        <f t="shared" si="50"/>
        <v>k</v>
      </c>
      <c r="K427" s="23">
        <f t="shared" si="51"/>
        <v>220900</v>
      </c>
      <c r="L427" s="21">
        <v>5.3</v>
      </c>
      <c r="M427" s="22">
        <f t="shared" si="52"/>
        <v>31</v>
      </c>
      <c r="N427" s="23">
        <f t="shared" si="53"/>
        <v>7125.8064516129034</v>
      </c>
      <c r="O427" s="23">
        <f t="shared" si="54"/>
        <v>225.80645161290323</v>
      </c>
      <c r="P427" s="23">
        <f t="shared" si="55"/>
        <v>31.557142857142857</v>
      </c>
      <c r="Q427" s="21" t="str">
        <f>IF(ISNA(_xlfn.XLOOKUP(D427,'Same Seller Hist'!H:H,'Same Seller Hist'!H:H)),"Não","Sim")</f>
        <v>Sim</v>
      </c>
      <c r="R427" s="21" t="str">
        <f>_xlfn.IFNA(_xlfn.XLOOKUP(D427,'Same Seller Hist'!D:D,'Same Seller Hist'!M:M),"Não Existe")</f>
        <v>Ativo</v>
      </c>
    </row>
    <row r="428" spans="3:18" hidden="1" x14ac:dyDescent="0.35">
      <c r="C428" s="18">
        <v>45992</v>
      </c>
      <c r="D428" s="5" t="s">
        <v>1879</v>
      </c>
      <c r="E428" s="5" t="s">
        <v>908</v>
      </c>
      <c r="F428" s="5" t="s">
        <v>2097</v>
      </c>
      <c r="G428" s="5" t="s">
        <v>2445</v>
      </c>
      <c r="H428" s="21" t="str">
        <f t="shared" si="48"/>
        <v>k</v>
      </c>
      <c r="I428" s="22">
        <f t="shared" si="49"/>
        <v>7000</v>
      </c>
      <c r="J428" s="21" t="str">
        <f t="shared" si="50"/>
        <v>k</v>
      </c>
      <c r="K428" s="23">
        <f t="shared" si="51"/>
        <v>162100</v>
      </c>
      <c r="L428" s="21">
        <v>5.3</v>
      </c>
      <c r="M428" s="22">
        <f t="shared" si="52"/>
        <v>31</v>
      </c>
      <c r="N428" s="23">
        <f t="shared" si="53"/>
        <v>5229.0322580645161</v>
      </c>
      <c r="O428" s="23">
        <f t="shared" si="54"/>
        <v>225.80645161290323</v>
      </c>
      <c r="P428" s="23">
        <f t="shared" si="55"/>
        <v>23.157142857142855</v>
      </c>
      <c r="Q428" s="21" t="str">
        <f>IF(ISNA(_xlfn.XLOOKUP(D428,'Same Seller Hist'!H:H,'Same Seller Hist'!H:H)),"Não","Sim")</f>
        <v>Não</v>
      </c>
      <c r="R428" s="21" t="str">
        <f>_xlfn.IFNA(_xlfn.XLOOKUP(D428,'Same Seller Hist'!D:D,'Same Seller Hist'!M:M),"Não Existe")</f>
        <v>Não Existe</v>
      </c>
    </row>
    <row r="429" spans="3:18" x14ac:dyDescent="0.35">
      <c r="C429" s="18">
        <v>45992</v>
      </c>
      <c r="D429" s="5" t="s">
        <v>114</v>
      </c>
      <c r="E429" s="5" t="s">
        <v>975</v>
      </c>
      <c r="F429" s="5" t="s">
        <v>2097</v>
      </c>
      <c r="G429" s="5" t="s">
        <v>2446</v>
      </c>
      <c r="H429" s="21" t="str">
        <f t="shared" si="48"/>
        <v>k</v>
      </c>
      <c r="I429" s="22">
        <f t="shared" si="49"/>
        <v>7000</v>
      </c>
      <c r="J429" s="21" t="str">
        <f t="shared" si="50"/>
        <v>k</v>
      </c>
      <c r="K429" s="23">
        <f t="shared" si="51"/>
        <v>192200</v>
      </c>
      <c r="L429" s="21">
        <v>5.3</v>
      </c>
      <c r="M429" s="22">
        <f t="shared" si="52"/>
        <v>31</v>
      </c>
      <c r="N429" s="23">
        <f t="shared" si="53"/>
        <v>6200</v>
      </c>
      <c r="O429" s="23">
        <f t="shared" si="54"/>
        <v>225.80645161290323</v>
      </c>
      <c r="P429" s="23">
        <f t="shared" si="55"/>
        <v>27.457142857142856</v>
      </c>
      <c r="Q429" s="21" t="str">
        <f>IF(ISNA(_xlfn.XLOOKUP(D429,'Same Seller Hist'!H:H,'Same Seller Hist'!H:H)),"Não","Sim")</f>
        <v>Sim</v>
      </c>
      <c r="R429" s="21" t="str">
        <f>_xlfn.IFNA(_xlfn.XLOOKUP(D429,'Same Seller Hist'!D:D,'Same Seller Hist'!M:M),"Não Existe")</f>
        <v>Ativo</v>
      </c>
    </row>
    <row r="430" spans="3:18" x14ac:dyDescent="0.35">
      <c r="C430" s="18">
        <v>45992</v>
      </c>
      <c r="D430" s="5" t="s">
        <v>869</v>
      </c>
      <c r="E430" s="5" t="s">
        <v>913</v>
      </c>
      <c r="F430" s="5" t="s">
        <v>2097</v>
      </c>
      <c r="G430" s="5" t="s">
        <v>2447</v>
      </c>
      <c r="H430" s="21" t="str">
        <f t="shared" si="48"/>
        <v>k</v>
      </c>
      <c r="I430" s="22">
        <f t="shared" si="49"/>
        <v>7000</v>
      </c>
      <c r="J430" s="21" t="str">
        <f t="shared" si="50"/>
        <v>k</v>
      </c>
      <c r="K430" s="23">
        <f t="shared" si="51"/>
        <v>280100</v>
      </c>
      <c r="L430" s="21">
        <v>5.3</v>
      </c>
      <c r="M430" s="22">
        <f t="shared" si="52"/>
        <v>31</v>
      </c>
      <c r="N430" s="23">
        <f t="shared" si="53"/>
        <v>9035.4838709677424</v>
      </c>
      <c r="O430" s="23">
        <f t="shared" si="54"/>
        <v>225.80645161290323</v>
      </c>
      <c r="P430" s="23">
        <f t="shared" si="55"/>
        <v>40.014285714285712</v>
      </c>
      <c r="Q430" s="21" t="str">
        <f>IF(ISNA(_xlfn.XLOOKUP(D430,'Same Seller Hist'!H:H,'Same Seller Hist'!H:H)),"Não","Sim")</f>
        <v>Sim</v>
      </c>
      <c r="R430" s="21" t="str">
        <f>_xlfn.IFNA(_xlfn.XLOOKUP(D430,'Same Seller Hist'!D:D,'Same Seller Hist'!M:M),"Não Existe")</f>
        <v>Ativo</v>
      </c>
    </row>
    <row r="431" spans="3:18" x14ac:dyDescent="0.35">
      <c r="C431" s="18">
        <v>45992</v>
      </c>
      <c r="D431" s="5" t="s">
        <v>573</v>
      </c>
      <c r="E431" s="5" t="s">
        <v>1275</v>
      </c>
      <c r="F431" s="5" t="s">
        <v>2097</v>
      </c>
      <c r="G431" s="5" t="s">
        <v>2448</v>
      </c>
      <c r="H431" s="21" t="str">
        <f t="shared" si="48"/>
        <v>k</v>
      </c>
      <c r="I431" s="22">
        <f t="shared" si="49"/>
        <v>7000</v>
      </c>
      <c r="J431" s="21" t="str">
        <f t="shared" si="50"/>
        <v>k</v>
      </c>
      <c r="K431" s="23">
        <f t="shared" si="51"/>
        <v>396200</v>
      </c>
      <c r="L431" s="21">
        <v>5.3</v>
      </c>
      <c r="M431" s="22">
        <f t="shared" si="52"/>
        <v>31</v>
      </c>
      <c r="N431" s="23">
        <f t="shared" si="53"/>
        <v>12780.645161290322</v>
      </c>
      <c r="O431" s="23">
        <f t="shared" si="54"/>
        <v>225.80645161290323</v>
      </c>
      <c r="P431" s="23">
        <f t="shared" si="55"/>
        <v>56.599999999999994</v>
      </c>
      <c r="Q431" s="21" t="str">
        <f>IF(ISNA(_xlfn.XLOOKUP(D431,'Same Seller Hist'!H:H,'Same Seller Hist'!H:H)),"Não","Sim")</f>
        <v>Sim</v>
      </c>
      <c r="R431" s="21" t="str">
        <f>_xlfn.IFNA(_xlfn.XLOOKUP(D431,'Same Seller Hist'!D:D,'Same Seller Hist'!M:M),"Não Existe")</f>
        <v>Ativo</v>
      </c>
    </row>
    <row r="432" spans="3:18" hidden="1" x14ac:dyDescent="0.35">
      <c r="C432" s="18">
        <v>45992</v>
      </c>
      <c r="D432" s="5" t="s">
        <v>462</v>
      </c>
      <c r="E432" s="5" t="s">
        <v>911</v>
      </c>
      <c r="F432" s="5" t="s">
        <v>2097</v>
      </c>
      <c r="G432" s="5" t="s">
        <v>2449</v>
      </c>
      <c r="H432" s="21" t="str">
        <f t="shared" si="48"/>
        <v>k</v>
      </c>
      <c r="I432" s="22">
        <f t="shared" si="49"/>
        <v>7000</v>
      </c>
      <c r="J432" s="21" t="str">
        <f t="shared" si="50"/>
        <v>k</v>
      </c>
      <c r="K432" s="23">
        <f t="shared" si="51"/>
        <v>694600</v>
      </c>
      <c r="L432" s="21">
        <v>5.3</v>
      </c>
      <c r="M432" s="22">
        <f t="shared" si="52"/>
        <v>31</v>
      </c>
      <c r="N432" s="23">
        <f t="shared" si="53"/>
        <v>22406.451612903227</v>
      </c>
      <c r="O432" s="23">
        <f t="shared" si="54"/>
        <v>225.80645161290323</v>
      </c>
      <c r="P432" s="23">
        <f t="shared" si="55"/>
        <v>99.228571428571428</v>
      </c>
      <c r="Q432" s="21" t="str">
        <f>IF(ISNA(_xlfn.XLOOKUP(D432,'Same Seller Hist'!H:H,'Same Seller Hist'!H:H)),"Não","Sim")</f>
        <v>Não</v>
      </c>
      <c r="R432" s="21" t="str">
        <f>_xlfn.IFNA(_xlfn.XLOOKUP(D432,'Same Seller Hist'!D:D,'Same Seller Hist'!M:M),"Não Existe")</f>
        <v>Ativo</v>
      </c>
    </row>
    <row r="433" spans="3:18" x14ac:dyDescent="0.35">
      <c r="C433" s="18">
        <v>45992</v>
      </c>
      <c r="D433" s="5" t="s">
        <v>614</v>
      </c>
      <c r="E433" s="5" t="s">
        <v>908</v>
      </c>
      <c r="F433" s="5" t="s">
        <v>2098</v>
      </c>
      <c r="G433" s="5" t="s">
        <v>2450</v>
      </c>
      <c r="H433" s="21" t="str">
        <f t="shared" si="48"/>
        <v>k</v>
      </c>
      <c r="I433" s="22">
        <f t="shared" si="49"/>
        <v>6900</v>
      </c>
      <c r="J433" s="21" t="str">
        <f t="shared" si="50"/>
        <v>k</v>
      </c>
      <c r="K433" s="23">
        <f t="shared" si="51"/>
        <v>233300</v>
      </c>
      <c r="L433" s="21">
        <v>5.3</v>
      </c>
      <c r="M433" s="22">
        <f t="shared" si="52"/>
        <v>31</v>
      </c>
      <c r="N433" s="23">
        <f t="shared" si="53"/>
        <v>7525.8064516129034</v>
      </c>
      <c r="O433" s="23">
        <f t="shared" si="54"/>
        <v>222.58064516129033</v>
      </c>
      <c r="P433" s="23">
        <f t="shared" si="55"/>
        <v>33.811594202898547</v>
      </c>
      <c r="Q433" s="21" t="str">
        <f>IF(ISNA(_xlfn.XLOOKUP(D433,'Same Seller Hist'!H:H,'Same Seller Hist'!H:H)),"Não","Sim")</f>
        <v>Sim</v>
      </c>
      <c r="R433" s="21" t="str">
        <f>_xlfn.IFNA(_xlfn.XLOOKUP(D433,'Same Seller Hist'!D:D,'Same Seller Hist'!M:M),"Não Existe")</f>
        <v>Ativo</v>
      </c>
    </row>
    <row r="434" spans="3:18" x14ac:dyDescent="0.35">
      <c r="C434" s="18">
        <v>45992</v>
      </c>
      <c r="D434" s="5" t="s">
        <v>126</v>
      </c>
      <c r="E434" s="5" t="s">
        <v>916</v>
      </c>
      <c r="F434" s="5" t="s">
        <v>2098</v>
      </c>
      <c r="G434" s="5" t="s">
        <v>2451</v>
      </c>
      <c r="H434" s="21" t="str">
        <f t="shared" si="48"/>
        <v>k</v>
      </c>
      <c r="I434" s="22">
        <f t="shared" si="49"/>
        <v>6900</v>
      </c>
      <c r="J434" s="21" t="str">
        <f t="shared" si="50"/>
        <v>k</v>
      </c>
      <c r="K434" s="23">
        <f t="shared" si="51"/>
        <v>552900</v>
      </c>
      <c r="L434" s="21">
        <v>5.3</v>
      </c>
      <c r="M434" s="22">
        <f t="shared" si="52"/>
        <v>31</v>
      </c>
      <c r="N434" s="23">
        <f t="shared" si="53"/>
        <v>17835.483870967742</v>
      </c>
      <c r="O434" s="23">
        <f t="shared" si="54"/>
        <v>222.58064516129033</v>
      </c>
      <c r="P434" s="23">
        <f t="shared" si="55"/>
        <v>80.130434782608688</v>
      </c>
      <c r="Q434" s="21" t="str">
        <f>IF(ISNA(_xlfn.XLOOKUP(D434,'Same Seller Hist'!H:H,'Same Seller Hist'!H:H)),"Não","Sim")</f>
        <v>Sim</v>
      </c>
      <c r="R434" s="21" t="str">
        <f>_xlfn.IFNA(_xlfn.XLOOKUP(D434,'Same Seller Hist'!D:D,'Same Seller Hist'!M:M),"Não Existe")</f>
        <v>Ativo</v>
      </c>
    </row>
    <row r="435" spans="3:18" hidden="1" x14ac:dyDescent="0.35">
      <c r="C435" s="18">
        <v>45992</v>
      </c>
      <c r="D435" s="5" t="s">
        <v>1880</v>
      </c>
      <c r="E435" s="5" t="s">
        <v>928</v>
      </c>
      <c r="F435" s="5" t="s">
        <v>2098</v>
      </c>
      <c r="G435" s="5" t="s">
        <v>2452</v>
      </c>
      <c r="H435" s="21" t="str">
        <f t="shared" si="48"/>
        <v>k</v>
      </c>
      <c r="I435" s="22">
        <f t="shared" si="49"/>
        <v>6900</v>
      </c>
      <c r="J435" s="21" t="str">
        <f t="shared" si="50"/>
        <v>k</v>
      </c>
      <c r="K435" s="23">
        <f t="shared" si="51"/>
        <v>358600</v>
      </c>
      <c r="L435" s="21">
        <v>5.3</v>
      </c>
      <c r="M435" s="22">
        <f t="shared" si="52"/>
        <v>31</v>
      </c>
      <c r="N435" s="23">
        <f t="shared" si="53"/>
        <v>11567.741935483871</v>
      </c>
      <c r="O435" s="23">
        <f t="shared" si="54"/>
        <v>222.58064516129033</v>
      </c>
      <c r="P435" s="23">
        <f t="shared" si="55"/>
        <v>51.971014492753625</v>
      </c>
      <c r="Q435" s="21" t="str">
        <f>IF(ISNA(_xlfn.XLOOKUP(D435,'Same Seller Hist'!H:H,'Same Seller Hist'!H:H)),"Não","Sim")</f>
        <v>Não</v>
      </c>
      <c r="R435" s="21" t="str">
        <f>_xlfn.IFNA(_xlfn.XLOOKUP(D435,'Same Seller Hist'!D:D,'Same Seller Hist'!M:M),"Não Existe")</f>
        <v>Não Existe</v>
      </c>
    </row>
    <row r="436" spans="3:18" hidden="1" x14ac:dyDescent="0.35">
      <c r="C436" s="18">
        <v>45992</v>
      </c>
      <c r="D436" s="5" t="s">
        <v>1881</v>
      </c>
      <c r="E436" s="5" t="s">
        <v>933</v>
      </c>
      <c r="F436" s="5" t="s">
        <v>2098</v>
      </c>
      <c r="G436" s="5" t="s">
        <v>2453</v>
      </c>
      <c r="H436" s="21" t="str">
        <f t="shared" si="48"/>
        <v>k</v>
      </c>
      <c r="I436" s="22">
        <f t="shared" si="49"/>
        <v>6900</v>
      </c>
      <c r="J436" s="21" t="str">
        <f t="shared" si="50"/>
        <v>k</v>
      </c>
      <c r="K436" s="23">
        <f t="shared" si="51"/>
        <v>121700</v>
      </c>
      <c r="L436" s="21">
        <v>5.3</v>
      </c>
      <c r="M436" s="22">
        <f t="shared" si="52"/>
        <v>31</v>
      </c>
      <c r="N436" s="23">
        <f t="shared" si="53"/>
        <v>3925.8064516129034</v>
      </c>
      <c r="O436" s="23">
        <f t="shared" si="54"/>
        <v>222.58064516129033</v>
      </c>
      <c r="P436" s="23">
        <f t="shared" si="55"/>
        <v>17.637681159420289</v>
      </c>
      <c r="Q436" s="21" t="str">
        <f>IF(ISNA(_xlfn.XLOOKUP(D436,'Same Seller Hist'!H:H,'Same Seller Hist'!H:H)),"Não","Sim")</f>
        <v>Não</v>
      </c>
      <c r="R436" s="21" t="str">
        <f>_xlfn.IFNA(_xlfn.XLOOKUP(D436,'Same Seller Hist'!D:D,'Same Seller Hist'!M:M),"Não Existe")</f>
        <v>Não Existe</v>
      </c>
    </row>
    <row r="437" spans="3:18" hidden="1" x14ac:dyDescent="0.35">
      <c r="C437" s="18">
        <v>45992</v>
      </c>
      <c r="D437" s="5" t="s">
        <v>1882</v>
      </c>
      <c r="E437" s="5" t="s">
        <v>910</v>
      </c>
      <c r="F437" s="5" t="s">
        <v>2098</v>
      </c>
      <c r="G437" s="5" t="s">
        <v>2454</v>
      </c>
      <c r="H437" s="21" t="str">
        <f t="shared" si="48"/>
        <v>k</v>
      </c>
      <c r="I437" s="22">
        <f t="shared" si="49"/>
        <v>6900</v>
      </c>
      <c r="J437" s="21" t="str">
        <f t="shared" si="50"/>
        <v>k</v>
      </c>
      <c r="K437" s="23">
        <f t="shared" si="51"/>
        <v>369900</v>
      </c>
      <c r="L437" s="21">
        <v>5.3</v>
      </c>
      <c r="M437" s="22">
        <f t="shared" si="52"/>
        <v>31</v>
      </c>
      <c r="N437" s="23">
        <f t="shared" si="53"/>
        <v>11932.258064516129</v>
      </c>
      <c r="O437" s="23">
        <f t="shared" si="54"/>
        <v>222.58064516129033</v>
      </c>
      <c r="P437" s="23">
        <f t="shared" si="55"/>
        <v>53.608695652173907</v>
      </c>
      <c r="Q437" s="21" t="str">
        <f>IF(ISNA(_xlfn.XLOOKUP(D437,'Same Seller Hist'!H:H,'Same Seller Hist'!H:H)),"Não","Sim")</f>
        <v>Não</v>
      </c>
      <c r="R437" s="21" t="str">
        <f>_xlfn.IFNA(_xlfn.XLOOKUP(D437,'Same Seller Hist'!D:D,'Same Seller Hist'!M:M),"Não Existe")</f>
        <v>Não Existe</v>
      </c>
    </row>
    <row r="438" spans="3:18" hidden="1" x14ac:dyDescent="0.35">
      <c r="C438" s="18">
        <v>45992</v>
      </c>
      <c r="D438" s="5" t="s">
        <v>1883</v>
      </c>
      <c r="E438" s="5" t="s">
        <v>916</v>
      </c>
      <c r="F438" s="5" t="s">
        <v>2098</v>
      </c>
      <c r="G438" s="5" t="s">
        <v>2455</v>
      </c>
      <c r="H438" s="21" t="str">
        <f t="shared" si="48"/>
        <v>k</v>
      </c>
      <c r="I438" s="22">
        <f t="shared" si="49"/>
        <v>6900</v>
      </c>
      <c r="J438" s="21" t="str">
        <f t="shared" si="50"/>
        <v>k</v>
      </c>
      <c r="K438" s="23">
        <f t="shared" si="51"/>
        <v>314000</v>
      </c>
      <c r="L438" s="21">
        <v>5.3</v>
      </c>
      <c r="M438" s="22">
        <f t="shared" si="52"/>
        <v>31</v>
      </c>
      <c r="N438" s="23">
        <f t="shared" si="53"/>
        <v>10129.032258064517</v>
      </c>
      <c r="O438" s="23">
        <f t="shared" si="54"/>
        <v>222.58064516129033</v>
      </c>
      <c r="P438" s="23">
        <f t="shared" si="55"/>
        <v>45.507246376811594</v>
      </c>
      <c r="Q438" s="21" t="str">
        <f>IF(ISNA(_xlfn.XLOOKUP(D438,'Same Seller Hist'!H:H,'Same Seller Hist'!H:H)),"Não","Sim")</f>
        <v>Não</v>
      </c>
      <c r="R438" s="21" t="str">
        <f>_xlfn.IFNA(_xlfn.XLOOKUP(D438,'Same Seller Hist'!D:D,'Same Seller Hist'!M:M),"Não Existe")</f>
        <v>Não Existe</v>
      </c>
    </row>
    <row r="439" spans="3:18" hidden="1" x14ac:dyDescent="0.35">
      <c r="C439" s="18">
        <v>45992</v>
      </c>
      <c r="D439" s="5" t="s">
        <v>1884</v>
      </c>
      <c r="E439" s="5" t="s">
        <v>908</v>
      </c>
      <c r="F439" s="5" t="s">
        <v>2098</v>
      </c>
      <c r="G439" s="5" t="s">
        <v>2456</v>
      </c>
      <c r="H439" s="21" t="str">
        <f t="shared" si="48"/>
        <v>k</v>
      </c>
      <c r="I439" s="22">
        <f t="shared" si="49"/>
        <v>6900</v>
      </c>
      <c r="J439" s="21" t="str">
        <f t="shared" si="50"/>
        <v>k</v>
      </c>
      <c r="K439" s="23">
        <f t="shared" si="51"/>
        <v>891000</v>
      </c>
      <c r="L439" s="21">
        <v>5.3</v>
      </c>
      <c r="M439" s="22">
        <f t="shared" si="52"/>
        <v>31</v>
      </c>
      <c r="N439" s="23">
        <f t="shared" si="53"/>
        <v>28741.935483870966</v>
      </c>
      <c r="O439" s="23">
        <f t="shared" si="54"/>
        <v>222.58064516129033</v>
      </c>
      <c r="P439" s="23">
        <f t="shared" si="55"/>
        <v>129.13043478260869</v>
      </c>
      <c r="Q439" s="21" t="str">
        <f>IF(ISNA(_xlfn.XLOOKUP(D439,'Same Seller Hist'!H:H,'Same Seller Hist'!H:H)),"Não","Sim")</f>
        <v>Não</v>
      </c>
      <c r="R439" s="21" t="str">
        <f>_xlfn.IFNA(_xlfn.XLOOKUP(D439,'Same Seller Hist'!D:D,'Same Seller Hist'!M:M),"Não Existe")</f>
        <v>Não Existe</v>
      </c>
    </row>
    <row r="440" spans="3:18" x14ac:dyDescent="0.35">
      <c r="C440" s="18">
        <v>45992</v>
      </c>
      <c r="D440" s="5" t="s">
        <v>885</v>
      </c>
      <c r="E440" s="5" t="s">
        <v>913</v>
      </c>
      <c r="F440" s="5" t="s">
        <v>2098</v>
      </c>
      <c r="G440" s="5" t="s">
        <v>2457</v>
      </c>
      <c r="H440" s="21" t="str">
        <f t="shared" si="48"/>
        <v>k</v>
      </c>
      <c r="I440" s="22">
        <f t="shared" si="49"/>
        <v>6900</v>
      </c>
      <c r="J440" s="21" t="str">
        <f t="shared" si="50"/>
        <v>k</v>
      </c>
      <c r="K440" s="23">
        <f t="shared" si="51"/>
        <v>432700</v>
      </c>
      <c r="L440" s="21">
        <v>5.3</v>
      </c>
      <c r="M440" s="22">
        <f t="shared" si="52"/>
        <v>31</v>
      </c>
      <c r="N440" s="23">
        <f t="shared" si="53"/>
        <v>13958.064516129032</v>
      </c>
      <c r="O440" s="23">
        <f t="shared" si="54"/>
        <v>222.58064516129033</v>
      </c>
      <c r="P440" s="23">
        <f t="shared" si="55"/>
        <v>62.710144927536227</v>
      </c>
      <c r="Q440" s="21" t="str">
        <f>IF(ISNA(_xlfn.XLOOKUP(D440,'Same Seller Hist'!H:H,'Same Seller Hist'!H:H)),"Não","Sim")</f>
        <v>Sim</v>
      </c>
      <c r="R440" s="21" t="str">
        <f>_xlfn.IFNA(_xlfn.XLOOKUP(D440,'Same Seller Hist'!D:D,'Same Seller Hist'!M:M),"Não Existe")</f>
        <v>Ativo</v>
      </c>
    </row>
    <row r="441" spans="3:18" hidden="1" x14ac:dyDescent="0.35">
      <c r="C441" s="18">
        <v>45992</v>
      </c>
      <c r="D441" s="5" t="s">
        <v>1885</v>
      </c>
      <c r="E441" s="5" t="s">
        <v>926</v>
      </c>
      <c r="F441" s="5" t="s">
        <v>2098</v>
      </c>
      <c r="G441" s="5" t="s">
        <v>2458</v>
      </c>
      <c r="H441" s="21" t="str">
        <f t="shared" si="48"/>
        <v>k</v>
      </c>
      <c r="I441" s="22">
        <f t="shared" si="49"/>
        <v>6900</v>
      </c>
      <c r="J441" s="21" t="str">
        <f t="shared" si="50"/>
        <v>k</v>
      </c>
      <c r="K441" s="23">
        <f t="shared" si="51"/>
        <v>263500</v>
      </c>
      <c r="L441" s="21">
        <v>5.3</v>
      </c>
      <c r="M441" s="22">
        <f t="shared" si="52"/>
        <v>31</v>
      </c>
      <c r="N441" s="23">
        <f t="shared" si="53"/>
        <v>8500</v>
      </c>
      <c r="O441" s="23">
        <f t="shared" si="54"/>
        <v>222.58064516129033</v>
      </c>
      <c r="P441" s="23">
        <f t="shared" si="55"/>
        <v>38.188405797101446</v>
      </c>
      <c r="Q441" s="21" t="str">
        <f>IF(ISNA(_xlfn.XLOOKUP(D441,'Same Seller Hist'!H:H,'Same Seller Hist'!H:H)),"Não","Sim")</f>
        <v>Não</v>
      </c>
      <c r="R441" s="21" t="str">
        <f>_xlfn.IFNA(_xlfn.XLOOKUP(D441,'Same Seller Hist'!D:D,'Same Seller Hist'!M:M),"Não Existe")</f>
        <v>Não Existe</v>
      </c>
    </row>
    <row r="442" spans="3:18" x14ac:dyDescent="0.35">
      <c r="C442" s="18">
        <v>45992</v>
      </c>
      <c r="D442" s="5" t="s">
        <v>107</v>
      </c>
      <c r="E442" s="5" t="s">
        <v>908</v>
      </c>
      <c r="F442" s="5" t="s">
        <v>2098</v>
      </c>
      <c r="G442" s="5" t="s">
        <v>2459</v>
      </c>
      <c r="H442" s="21" t="str">
        <f t="shared" si="48"/>
        <v>k</v>
      </c>
      <c r="I442" s="22">
        <f t="shared" si="49"/>
        <v>6900</v>
      </c>
      <c r="J442" s="21" t="str">
        <f t="shared" si="50"/>
        <v>k</v>
      </c>
      <c r="K442" s="23">
        <f t="shared" si="51"/>
        <v>315500</v>
      </c>
      <c r="L442" s="21">
        <v>5.3</v>
      </c>
      <c r="M442" s="22">
        <f t="shared" si="52"/>
        <v>31</v>
      </c>
      <c r="N442" s="23">
        <f t="shared" si="53"/>
        <v>10177.41935483871</v>
      </c>
      <c r="O442" s="23">
        <f t="shared" si="54"/>
        <v>222.58064516129033</v>
      </c>
      <c r="P442" s="23">
        <f t="shared" si="55"/>
        <v>45.724637681159422</v>
      </c>
      <c r="Q442" s="21" t="str">
        <f>IF(ISNA(_xlfn.XLOOKUP(D442,'Same Seller Hist'!H:H,'Same Seller Hist'!H:H)),"Não","Sim")</f>
        <v>Sim</v>
      </c>
      <c r="R442" s="21" t="str">
        <f>_xlfn.IFNA(_xlfn.XLOOKUP(D442,'Same Seller Hist'!D:D,'Same Seller Hist'!M:M),"Não Existe")</f>
        <v>Ativo</v>
      </c>
    </row>
    <row r="443" spans="3:18" hidden="1" x14ac:dyDescent="0.35">
      <c r="C443" s="18">
        <v>45992</v>
      </c>
      <c r="D443" s="5" t="s">
        <v>1886</v>
      </c>
      <c r="E443" s="5" t="s">
        <v>911</v>
      </c>
      <c r="F443" s="5" t="s">
        <v>2099</v>
      </c>
      <c r="G443" s="5" t="s">
        <v>2460</v>
      </c>
      <c r="H443" s="21" t="str">
        <f t="shared" si="48"/>
        <v>k</v>
      </c>
      <c r="I443" s="22">
        <f t="shared" si="49"/>
        <v>6800</v>
      </c>
      <c r="J443" s="21" t="str">
        <f t="shared" si="50"/>
        <v>k</v>
      </c>
      <c r="K443" s="23">
        <f t="shared" si="51"/>
        <v>165300</v>
      </c>
      <c r="L443" s="21">
        <v>5.3</v>
      </c>
      <c r="M443" s="22">
        <f t="shared" si="52"/>
        <v>31</v>
      </c>
      <c r="N443" s="23">
        <f t="shared" si="53"/>
        <v>5332.2580645161288</v>
      </c>
      <c r="O443" s="23">
        <f t="shared" si="54"/>
        <v>219.35483870967741</v>
      </c>
      <c r="P443" s="23">
        <f t="shared" si="55"/>
        <v>24.308823529411764</v>
      </c>
      <c r="Q443" s="21" t="str">
        <f>IF(ISNA(_xlfn.XLOOKUP(D443,'Same Seller Hist'!H:H,'Same Seller Hist'!H:H)),"Não","Sim")</f>
        <v>Não</v>
      </c>
      <c r="R443" s="21" t="str">
        <f>_xlfn.IFNA(_xlfn.XLOOKUP(D443,'Same Seller Hist'!D:D,'Same Seller Hist'!M:M),"Não Existe")</f>
        <v>Não Existe</v>
      </c>
    </row>
    <row r="444" spans="3:18" hidden="1" x14ac:dyDescent="0.35">
      <c r="C444" s="18">
        <v>45992</v>
      </c>
      <c r="D444" s="5" t="s">
        <v>301</v>
      </c>
      <c r="E444" s="5" t="s">
        <v>910</v>
      </c>
      <c r="F444" s="5" t="s">
        <v>2099</v>
      </c>
      <c r="G444" s="5" t="s">
        <v>2461</v>
      </c>
      <c r="H444" s="21" t="str">
        <f t="shared" si="48"/>
        <v>k</v>
      </c>
      <c r="I444" s="22">
        <f t="shared" si="49"/>
        <v>6800</v>
      </c>
      <c r="J444" s="21" t="str">
        <f t="shared" si="50"/>
        <v>k</v>
      </c>
      <c r="K444" s="23">
        <f t="shared" si="51"/>
        <v>370700</v>
      </c>
      <c r="L444" s="21">
        <v>5.3</v>
      </c>
      <c r="M444" s="22">
        <f t="shared" si="52"/>
        <v>31</v>
      </c>
      <c r="N444" s="23">
        <f t="shared" si="53"/>
        <v>11958.064516129032</v>
      </c>
      <c r="O444" s="23">
        <f t="shared" si="54"/>
        <v>219.35483870967741</v>
      </c>
      <c r="P444" s="23">
        <f t="shared" si="55"/>
        <v>54.514705882352942</v>
      </c>
      <c r="Q444" s="21" t="str">
        <f>IF(ISNA(_xlfn.XLOOKUP(D444,'Same Seller Hist'!H:H,'Same Seller Hist'!H:H)),"Não","Sim")</f>
        <v>Não</v>
      </c>
      <c r="R444" s="21" t="str">
        <f>_xlfn.IFNA(_xlfn.XLOOKUP(D444,'Same Seller Hist'!D:D,'Same Seller Hist'!M:M),"Não Existe")</f>
        <v>Ativo</v>
      </c>
    </row>
    <row r="445" spans="3:18" x14ac:dyDescent="0.35">
      <c r="C445" s="18">
        <v>45992</v>
      </c>
      <c r="D445" s="5" t="s">
        <v>236</v>
      </c>
      <c r="E445" s="5" t="s">
        <v>911</v>
      </c>
      <c r="F445" s="5" t="s">
        <v>2099</v>
      </c>
      <c r="G445" s="5" t="s">
        <v>2462</v>
      </c>
      <c r="H445" s="21" t="str">
        <f t="shared" si="48"/>
        <v>k</v>
      </c>
      <c r="I445" s="22">
        <f t="shared" si="49"/>
        <v>6800</v>
      </c>
      <c r="J445" s="21" t="str">
        <f t="shared" si="50"/>
        <v>k</v>
      </c>
      <c r="K445" s="23">
        <f t="shared" si="51"/>
        <v>446000</v>
      </c>
      <c r="L445" s="21">
        <v>5.3</v>
      </c>
      <c r="M445" s="22">
        <f t="shared" si="52"/>
        <v>31</v>
      </c>
      <c r="N445" s="23">
        <f t="shared" si="53"/>
        <v>14387.096774193549</v>
      </c>
      <c r="O445" s="23">
        <f t="shared" si="54"/>
        <v>219.35483870967741</v>
      </c>
      <c r="P445" s="23">
        <f t="shared" si="55"/>
        <v>65.588235294117652</v>
      </c>
      <c r="Q445" s="21" t="str">
        <f>IF(ISNA(_xlfn.XLOOKUP(D445,'Same Seller Hist'!H:H,'Same Seller Hist'!H:H)),"Não","Sim")</f>
        <v>Sim</v>
      </c>
      <c r="R445" s="21" t="str">
        <f>_xlfn.IFNA(_xlfn.XLOOKUP(D445,'Same Seller Hist'!D:D,'Same Seller Hist'!M:M),"Não Existe")</f>
        <v>Ativo</v>
      </c>
    </row>
    <row r="446" spans="3:18" x14ac:dyDescent="0.35">
      <c r="C446" s="18">
        <v>45992</v>
      </c>
      <c r="D446" s="5" t="s">
        <v>267</v>
      </c>
      <c r="E446" s="5" t="s">
        <v>941</v>
      </c>
      <c r="F446" s="5" t="s">
        <v>2099</v>
      </c>
      <c r="G446" s="5" t="s">
        <v>2463</v>
      </c>
      <c r="H446" s="21" t="str">
        <f t="shared" si="48"/>
        <v>k</v>
      </c>
      <c r="I446" s="22">
        <f t="shared" si="49"/>
        <v>6800</v>
      </c>
      <c r="J446" s="21" t="str">
        <f t="shared" si="50"/>
        <v>k</v>
      </c>
      <c r="K446" s="23">
        <f t="shared" si="51"/>
        <v>255100</v>
      </c>
      <c r="L446" s="21">
        <v>5.3</v>
      </c>
      <c r="M446" s="22">
        <f t="shared" si="52"/>
        <v>31</v>
      </c>
      <c r="N446" s="23">
        <f t="shared" si="53"/>
        <v>8229.032258064517</v>
      </c>
      <c r="O446" s="23">
        <f t="shared" si="54"/>
        <v>219.35483870967741</v>
      </c>
      <c r="P446" s="23">
        <f t="shared" si="55"/>
        <v>37.514705882352949</v>
      </c>
      <c r="Q446" s="21" t="str">
        <f>IF(ISNA(_xlfn.XLOOKUP(D446,'Same Seller Hist'!H:H,'Same Seller Hist'!H:H)),"Não","Sim")</f>
        <v>Sim</v>
      </c>
      <c r="R446" s="21" t="str">
        <f>_xlfn.IFNA(_xlfn.XLOOKUP(D446,'Same Seller Hist'!D:D,'Same Seller Hist'!M:M),"Não Existe")</f>
        <v>Ativo</v>
      </c>
    </row>
    <row r="447" spans="3:18" hidden="1" x14ac:dyDescent="0.35">
      <c r="C447" s="18">
        <v>45992</v>
      </c>
      <c r="D447" s="5" t="s">
        <v>1887</v>
      </c>
      <c r="E447" s="5" t="s">
        <v>916</v>
      </c>
      <c r="F447" s="5" t="s">
        <v>2099</v>
      </c>
      <c r="G447" s="5" t="s">
        <v>2464</v>
      </c>
      <c r="H447" s="21" t="str">
        <f t="shared" si="48"/>
        <v>k</v>
      </c>
      <c r="I447" s="22">
        <f t="shared" si="49"/>
        <v>6800</v>
      </c>
      <c r="J447" s="21" t="str">
        <f t="shared" si="50"/>
        <v>k</v>
      </c>
      <c r="K447" s="23">
        <f t="shared" si="51"/>
        <v>388800</v>
      </c>
      <c r="L447" s="21">
        <v>5.3</v>
      </c>
      <c r="M447" s="22">
        <f t="shared" si="52"/>
        <v>31</v>
      </c>
      <c r="N447" s="23">
        <f t="shared" si="53"/>
        <v>12541.935483870968</v>
      </c>
      <c r="O447" s="23">
        <f t="shared" si="54"/>
        <v>219.35483870967741</v>
      </c>
      <c r="P447" s="23">
        <f t="shared" si="55"/>
        <v>57.176470588235297</v>
      </c>
      <c r="Q447" s="21" t="str">
        <f>IF(ISNA(_xlfn.XLOOKUP(D447,'Same Seller Hist'!H:H,'Same Seller Hist'!H:H)),"Não","Sim")</f>
        <v>Não</v>
      </c>
      <c r="R447" s="21" t="str">
        <f>_xlfn.IFNA(_xlfn.XLOOKUP(D447,'Same Seller Hist'!D:D,'Same Seller Hist'!M:M),"Não Existe")</f>
        <v>Não Existe</v>
      </c>
    </row>
    <row r="448" spans="3:18" hidden="1" x14ac:dyDescent="0.35">
      <c r="C448" s="18">
        <v>45992</v>
      </c>
      <c r="D448" s="5" t="s">
        <v>1888</v>
      </c>
      <c r="E448" s="5" t="s">
        <v>1914</v>
      </c>
      <c r="F448" s="5" t="s">
        <v>2099</v>
      </c>
      <c r="G448" s="5" t="s">
        <v>2465</v>
      </c>
      <c r="H448" s="21" t="str">
        <f t="shared" si="48"/>
        <v>k</v>
      </c>
      <c r="I448" s="22">
        <f t="shared" si="49"/>
        <v>6800</v>
      </c>
      <c r="J448" s="21" t="str">
        <f t="shared" si="50"/>
        <v>k</v>
      </c>
      <c r="K448" s="23">
        <f t="shared" si="51"/>
        <v>166300</v>
      </c>
      <c r="L448" s="21">
        <v>5.3</v>
      </c>
      <c r="M448" s="22">
        <f t="shared" si="52"/>
        <v>31</v>
      </c>
      <c r="N448" s="23">
        <f t="shared" si="53"/>
        <v>5364.5161290322585</v>
      </c>
      <c r="O448" s="23">
        <f t="shared" si="54"/>
        <v>219.35483870967741</v>
      </c>
      <c r="P448" s="23">
        <f t="shared" si="55"/>
        <v>24.455882352941181</v>
      </c>
      <c r="Q448" s="21" t="str">
        <f>IF(ISNA(_xlfn.XLOOKUP(D448,'Same Seller Hist'!H:H,'Same Seller Hist'!H:H)),"Não","Sim")</f>
        <v>Não</v>
      </c>
      <c r="R448" s="21" t="str">
        <f>_xlfn.IFNA(_xlfn.XLOOKUP(D448,'Same Seller Hist'!D:D,'Same Seller Hist'!M:M),"Não Existe")</f>
        <v>Não Existe</v>
      </c>
    </row>
    <row r="449" spans="3:18" hidden="1" x14ac:dyDescent="0.35">
      <c r="C449" s="18">
        <v>45992</v>
      </c>
      <c r="D449" s="5" t="s">
        <v>1889</v>
      </c>
      <c r="E449" s="5" t="s">
        <v>916</v>
      </c>
      <c r="F449" s="5" t="s">
        <v>2099</v>
      </c>
      <c r="G449" s="5" t="s">
        <v>2466</v>
      </c>
      <c r="H449" s="21" t="str">
        <f t="shared" si="48"/>
        <v>k</v>
      </c>
      <c r="I449" s="22">
        <f t="shared" si="49"/>
        <v>6800</v>
      </c>
      <c r="J449" s="21" t="str">
        <f t="shared" si="50"/>
        <v>k</v>
      </c>
      <c r="K449" s="23">
        <f t="shared" si="51"/>
        <v>239900</v>
      </c>
      <c r="L449" s="21">
        <v>5.3</v>
      </c>
      <c r="M449" s="22">
        <f t="shared" si="52"/>
        <v>31</v>
      </c>
      <c r="N449" s="23">
        <f t="shared" si="53"/>
        <v>7738.7096774193551</v>
      </c>
      <c r="O449" s="23">
        <f t="shared" si="54"/>
        <v>219.35483870967741</v>
      </c>
      <c r="P449" s="23">
        <f t="shared" si="55"/>
        <v>35.279411764705884</v>
      </c>
      <c r="Q449" s="21" t="str">
        <f>IF(ISNA(_xlfn.XLOOKUP(D449,'Same Seller Hist'!H:H,'Same Seller Hist'!H:H)),"Não","Sim")</f>
        <v>Não</v>
      </c>
      <c r="R449" s="21" t="str">
        <f>_xlfn.IFNA(_xlfn.XLOOKUP(D449,'Same Seller Hist'!D:D,'Same Seller Hist'!M:M),"Não Existe")</f>
        <v>Não Existe</v>
      </c>
    </row>
    <row r="450" spans="3:18" x14ac:dyDescent="0.35">
      <c r="C450" s="18">
        <v>45992</v>
      </c>
      <c r="D450" s="5" t="s">
        <v>317</v>
      </c>
      <c r="E450" s="5" t="s">
        <v>908</v>
      </c>
      <c r="F450" s="5" t="s">
        <v>2100</v>
      </c>
      <c r="G450" s="5" t="s">
        <v>2467</v>
      </c>
      <c r="H450" s="21" t="str">
        <f t="shared" si="48"/>
        <v>k</v>
      </c>
      <c r="I450" s="22">
        <f t="shared" si="49"/>
        <v>6700</v>
      </c>
      <c r="J450" s="21" t="str">
        <f t="shared" si="50"/>
        <v>k</v>
      </c>
      <c r="K450" s="23">
        <f t="shared" si="51"/>
        <v>656600</v>
      </c>
      <c r="L450" s="21">
        <v>5.3</v>
      </c>
      <c r="M450" s="22">
        <f t="shared" si="52"/>
        <v>31</v>
      </c>
      <c r="N450" s="23">
        <f t="shared" si="53"/>
        <v>21180.645161290322</v>
      </c>
      <c r="O450" s="23">
        <f t="shared" si="54"/>
        <v>216.12903225806451</v>
      </c>
      <c r="P450" s="23">
        <f t="shared" si="55"/>
        <v>98</v>
      </c>
      <c r="Q450" s="21" t="str">
        <f>IF(ISNA(_xlfn.XLOOKUP(D450,'Same Seller Hist'!H:H,'Same Seller Hist'!H:H)),"Não","Sim")</f>
        <v>Sim</v>
      </c>
      <c r="R450" s="21" t="str">
        <f>_xlfn.IFNA(_xlfn.XLOOKUP(D450,'Same Seller Hist'!D:D,'Same Seller Hist'!M:M),"Não Existe")</f>
        <v>Ativo</v>
      </c>
    </row>
    <row r="451" spans="3:18" hidden="1" x14ac:dyDescent="0.35">
      <c r="C451" s="18">
        <v>45992</v>
      </c>
      <c r="D451" s="5" t="s">
        <v>1890</v>
      </c>
      <c r="E451" s="5" t="s">
        <v>942</v>
      </c>
      <c r="F451" s="5" t="s">
        <v>2100</v>
      </c>
      <c r="G451" s="5" t="s">
        <v>2468</v>
      </c>
      <c r="H451" s="21" t="str">
        <f t="shared" si="48"/>
        <v>k</v>
      </c>
      <c r="I451" s="22">
        <f t="shared" si="49"/>
        <v>6700</v>
      </c>
      <c r="J451" s="21" t="str">
        <f t="shared" si="50"/>
        <v>k</v>
      </c>
      <c r="K451" s="23">
        <f t="shared" si="51"/>
        <v>205700</v>
      </c>
      <c r="L451" s="21">
        <v>5.3</v>
      </c>
      <c r="M451" s="22">
        <f t="shared" si="52"/>
        <v>31</v>
      </c>
      <c r="N451" s="23">
        <f t="shared" si="53"/>
        <v>6635.4838709677415</v>
      </c>
      <c r="O451" s="23">
        <f t="shared" si="54"/>
        <v>216.12903225806451</v>
      </c>
      <c r="P451" s="23">
        <f t="shared" si="55"/>
        <v>30.701492537313431</v>
      </c>
      <c r="Q451" s="21" t="str">
        <f>IF(ISNA(_xlfn.XLOOKUP(D451,'Same Seller Hist'!H:H,'Same Seller Hist'!H:H)),"Não","Sim")</f>
        <v>Não</v>
      </c>
      <c r="R451" s="21" t="str">
        <f>_xlfn.IFNA(_xlfn.XLOOKUP(D451,'Same Seller Hist'!D:D,'Same Seller Hist'!M:M),"Não Existe")</f>
        <v>Não Existe</v>
      </c>
    </row>
    <row r="452" spans="3:18" x14ac:dyDescent="0.35">
      <c r="C452" s="18">
        <v>45992</v>
      </c>
      <c r="D452" s="5" t="s">
        <v>855</v>
      </c>
      <c r="E452" s="5" t="s">
        <v>918</v>
      </c>
      <c r="F452" s="5" t="s">
        <v>2100</v>
      </c>
      <c r="G452" s="5" t="s">
        <v>2469</v>
      </c>
      <c r="H452" s="21" t="str">
        <f t="shared" si="48"/>
        <v>k</v>
      </c>
      <c r="I452" s="22">
        <f t="shared" si="49"/>
        <v>6700</v>
      </c>
      <c r="J452" s="21" t="str">
        <f t="shared" si="50"/>
        <v>k</v>
      </c>
      <c r="K452" s="23">
        <f t="shared" si="51"/>
        <v>318900</v>
      </c>
      <c r="L452" s="21">
        <v>5.3</v>
      </c>
      <c r="M452" s="22">
        <f t="shared" si="52"/>
        <v>31</v>
      </c>
      <c r="N452" s="23">
        <f t="shared" si="53"/>
        <v>10287.096774193549</v>
      </c>
      <c r="O452" s="23">
        <f t="shared" si="54"/>
        <v>216.12903225806451</v>
      </c>
      <c r="P452" s="23">
        <f t="shared" si="55"/>
        <v>47.597014925373138</v>
      </c>
      <c r="Q452" s="21" t="str">
        <f>IF(ISNA(_xlfn.XLOOKUP(D452,'Same Seller Hist'!H:H,'Same Seller Hist'!H:H)),"Não","Sim")</f>
        <v>Sim</v>
      </c>
      <c r="R452" s="21" t="str">
        <f>_xlfn.IFNA(_xlfn.XLOOKUP(D452,'Same Seller Hist'!D:D,'Same Seller Hist'!M:M),"Não Existe")</f>
        <v>Ativo</v>
      </c>
    </row>
    <row r="453" spans="3:18" hidden="1" x14ac:dyDescent="0.35">
      <c r="C453" s="18">
        <v>45992</v>
      </c>
      <c r="D453" s="5" t="s">
        <v>1891</v>
      </c>
      <c r="E453" s="5" t="s">
        <v>916</v>
      </c>
      <c r="F453" s="5" t="s">
        <v>2100</v>
      </c>
      <c r="G453" s="5" t="s">
        <v>2470</v>
      </c>
      <c r="H453" s="21" t="str">
        <f t="shared" si="48"/>
        <v>k</v>
      </c>
      <c r="I453" s="22">
        <f t="shared" si="49"/>
        <v>6700</v>
      </c>
      <c r="J453" s="21" t="str">
        <f t="shared" si="50"/>
        <v>k</v>
      </c>
      <c r="K453" s="23">
        <f t="shared" si="51"/>
        <v>677000</v>
      </c>
      <c r="L453" s="21">
        <v>5.3</v>
      </c>
      <c r="M453" s="22">
        <f t="shared" si="52"/>
        <v>31</v>
      </c>
      <c r="N453" s="23">
        <f t="shared" si="53"/>
        <v>21838.709677419356</v>
      </c>
      <c r="O453" s="23">
        <f t="shared" si="54"/>
        <v>216.12903225806451</v>
      </c>
      <c r="P453" s="23">
        <f t="shared" si="55"/>
        <v>101.044776119403</v>
      </c>
      <c r="Q453" s="21" t="str">
        <f>IF(ISNA(_xlfn.XLOOKUP(D453,'Same Seller Hist'!H:H,'Same Seller Hist'!H:H)),"Não","Sim")</f>
        <v>Não</v>
      </c>
      <c r="R453" s="21" t="str">
        <f>_xlfn.IFNA(_xlfn.XLOOKUP(D453,'Same Seller Hist'!D:D,'Same Seller Hist'!M:M),"Não Existe")</f>
        <v>Não Existe</v>
      </c>
    </row>
    <row r="454" spans="3:18" hidden="1" x14ac:dyDescent="0.35">
      <c r="C454" s="18">
        <v>45992</v>
      </c>
      <c r="D454" s="5" t="s">
        <v>1892</v>
      </c>
      <c r="E454" s="5" t="s">
        <v>933</v>
      </c>
      <c r="F454" s="5" t="s">
        <v>2100</v>
      </c>
      <c r="G454" s="5" t="s">
        <v>2440</v>
      </c>
      <c r="H454" s="21" t="str">
        <f t="shared" si="48"/>
        <v>k</v>
      </c>
      <c r="I454" s="22">
        <f t="shared" si="49"/>
        <v>6700</v>
      </c>
      <c r="J454" s="21" t="str">
        <f t="shared" si="50"/>
        <v>k</v>
      </c>
      <c r="K454" s="23">
        <f t="shared" si="51"/>
        <v>179700</v>
      </c>
      <c r="L454" s="21">
        <v>5.3</v>
      </c>
      <c r="M454" s="22">
        <f t="shared" si="52"/>
        <v>31</v>
      </c>
      <c r="N454" s="23">
        <f t="shared" si="53"/>
        <v>5796.7741935483873</v>
      </c>
      <c r="O454" s="23">
        <f t="shared" si="54"/>
        <v>216.12903225806451</v>
      </c>
      <c r="P454" s="23">
        <f t="shared" si="55"/>
        <v>26.82089552238806</v>
      </c>
      <c r="Q454" s="21" t="str">
        <f>IF(ISNA(_xlfn.XLOOKUP(D454,'Same Seller Hist'!H:H,'Same Seller Hist'!H:H)),"Não","Sim")</f>
        <v>Não</v>
      </c>
      <c r="R454" s="21" t="str">
        <f>_xlfn.IFNA(_xlfn.XLOOKUP(D454,'Same Seller Hist'!D:D,'Same Seller Hist'!M:M),"Não Existe")</f>
        <v>Não Existe</v>
      </c>
    </row>
    <row r="455" spans="3:18" x14ac:dyDescent="0.35">
      <c r="C455" s="18">
        <v>45992</v>
      </c>
      <c r="D455" s="5" t="s">
        <v>874</v>
      </c>
      <c r="E455" s="5" t="s">
        <v>911</v>
      </c>
      <c r="F455" s="5" t="s">
        <v>2100</v>
      </c>
      <c r="G455" s="5" t="s">
        <v>2471</v>
      </c>
      <c r="H455" s="21" t="str">
        <f t="shared" si="48"/>
        <v>k</v>
      </c>
      <c r="I455" s="22">
        <f t="shared" si="49"/>
        <v>6700</v>
      </c>
      <c r="J455" s="21" t="str">
        <f t="shared" si="50"/>
        <v>k</v>
      </c>
      <c r="K455" s="23">
        <f t="shared" si="51"/>
        <v>308800</v>
      </c>
      <c r="L455" s="21">
        <v>5.3</v>
      </c>
      <c r="M455" s="22">
        <f t="shared" si="52"/>
        <v>31</v>
      </c>
      <c r="N455" s="23">
        <f t="shared" si="53"/>
        <v>9961.2903225806458</v>
      </c>
      <c r="O455" s="23">
        <f t="shared" si="54"/>
        <v>216.12903225806451</v>
      </c>
      <c r="P455" s="23">
        <f t="shared" si="55"/>
        <v>46.089552238805972</v>
      </c>
      <c r="Q455" s="21" t="str">
        <f>IF(ISNA(_xlfn.XLOOKUP(D455,'Same Seller Hist'!H:H,'Same Seller Hist'!H:H)),"Não","Sim")</f>
        <v>Sim</v>
      </c>
      <c r="R455" s="21" t="str">
        <f>_xlfn.IFNA(_xlfn.XLOOKUP(D455,'Same Seller Hist'!D:D,'Same Seller Hist'!M:M),"Não Existe")</f>
        <v>Ativo</v>
      </c>
    </row>
    <row r="456" spans="3:18" x14ac:dyDescent="0.35">
      <c r="C456" s="18">
        <v>45992</v>
      </c>
      <c r="D456" s="5" t="s">
        <v>165</v>
      </c>
      <c r="E456" s="5" t="s">
        <v>910</v>
      </c>
      <c r="F456" s="5" t="s">
        <v>2100</v>
      </c>
      <c r="G456" s="5" t="s">
        <v>2472</v>
      </c>
      <c r="H456" s="21" t="str">
        <f t="shared" si="48"/>
        <v>k</v>
      </c>
      <c r="I456" s="22">
        <f t="shared" si="49"/>
        <v>6700</v>
      </c>
      <c r="J456" s="21" t="str">
        <f t="shared" si="50"/>
        <v>k</v>
      </c>
      <c r="K456" s="23">
        <f t="shared" si="51"/>
        <v>379000</v>
      </c>
      <c r="L456" s="21">
        <v>5.3</v>
      </c>
      <c r="M456" s="22">
        <f t="shared" si="52"/>
        <v>31</v>
      </c>
      <c r="N456" s="23">
        <f t="shared" si="53"/>
        <v>12225.806451612903</v>
      </c>
      <c r="O456" s="23">
        <f t="shared" si="54"/>
        <v>216.12903225806451</v>
      </c>
      <c r="P456" s="23">
        <f t="shared" si="55"/>
        <v>56.567164179104481</v>
      </c>
      <c r="Q456" s="21" t="str">
        <f>IF(ISNA(_xlfn.XLOOKUP(D456,'Same Seller Hist'!H:H,'Same Seller Hist'!H:H)),"Não","Sim")</f>
        <v>Sim</v>
      </c>
      <c r="R456" s="21" t="str">
        <f>_xlfn.IFNA(_xlfn.XLOOKUP(D456,'Same Seller Hist'!D:D,'Same Seller Hist'!M:M),"Não Existe")</f>
        <v>Ativo</v>
      </c>
    </row>
    <row r="457" spans="3:18" hidden="1" x14ac:dyDescent="0.35">
      <c r="C457" s="18">
        <v>45992</v>
      </c>
      <c r="D457" s="5" t="s">
        <v>1893</v>
      </c>
      <c r="E457" s="5" t="s">
        <v>916</v>
      </c>
      <c r="F457" s="5" t="s">
        <v>2101</v>
      </c>
      <c r="G457" s="5" t="s">
        <v>2473</v>
      </c>
      <c r="H457" s="21" t="str">
        <f t="shared" ref="H457:H507" si="56">RIGHT(F457,1)</f>
        <v>k</v>
      </c>
      <c r="I457" s="22">
        <f t="shared" ref="I457:I507" si="57">VALUE(SUBSTITUTE(_xlfn.REGEXREPLACE(F457,"[^0-9.]",""),".",",")) * IF(H457="m",1000000,IF(H457="k",1000,"Erro"))</f>
        <v>6600</v>
      </c>
      <c r="J457" s="21" t="str">
        <f t="shared" ref="J457:J507" si="58">RIGHT(G457,1)</f>
        <v>k</v>
      </c>
      <c r="K457" s="23">
        <f t="shared" ref="K457:K507" si="59">VALUE(SUBSTITUTE(_xlfn.REGEXREPLACE(G457,"[^0-9.]",""),".",",")) * IF(J457="m",1000000,IF(J457="k",1000,"Erro"))</f>
        <v>283100</v>
      </c>
      <c r="L457" s="21">
        <v>5.3</v>
      </c>
      <c r="M457" s="22">
        <f t="shared" ref="M457:M507" si="60">DAY(EOMONTH(C457,0))</f>
        <v>31</v>
      </c>
      <c r="N457" s="23">
        <f t="shared" ref="N457:N507" si="61">K457/M457</f>
        <v>9132.2580645161288</v>
      </c>
      <c r="O457" s="23">
        <f t="shared" ref="O457:O506" si="62">I457/M457</f>
        <v>212.90322580645162</v>
      </c>
      <c r="P457" s="23">
        <f t="shared" ref="P457:P507" si="63">N457/O457</f>
        <v>42.893939393939391</v>
      </c>
      <c r="Q457" s="21" t="str">
        <f>IF(ISNA(_xlfn.XLOOKUP(D457,'Same Seller Hist'!H:H,'Same Seller Hist'!H:H)),"Não","Sim")</f>
        <v>Não</v>
      </c>
      <c r="R457" s="21" t="str">
        <f>_xlfn.IFNA(_xlfn.XLOOKUP(D457,'Same Seller Hist'!D:D,'Same Seller Hist'!M:M),"Não Existe")</f>
        <v>Não Existe</v>
      </c>
    </row>
    <row r="458" spans="3:18" x14ac:dyDescent="0.35">
      <c r="C458" s="18">
        <v>45992</v>
      </c>
      <c r="D458" s="5" t="s">
        <v>880</v>
      </c>
      <c r="E458" s="5" t="s">
        <v>910</v>
      </c>
      <c r="F458" s="5" t="s">
        <v>2101</v>
      </c>
      <c r="G458" s="5" t="s">
        <v>2474</v>
      </c>
      <c r="H458" s="21" t="str">
        <f t="shared" si="56"/>
        <v>k</v>
      </c>
      <c r="I458" s="22">
        <f t="shared" si="57"/>
        <v>6600</v>
      </c>
      <c r="J458" s="21" t="str">
        <f t="shared" si="58"/>
        <v>k</v>
      </c>
      <c r="K458" s="23">
        <f t="shared" si="59"/>
        <v>238100</v>
      </c>
      <c r="L458" s="21">
        <v>5.3</v>
      </c>
      <c r="M458" s="22">
        <f t="shared" si="60"/>
        <v>31</v>
      </c>
      <c r="N458" s="23">
        <f t="shared" si="61"/>
        <v>7680.6451612903229</v>
      </c>
      <c r="O458" s="23">
        <f t="shared" si="62"/>
        <v>212.90322580645162</v>
      </c>
      <c r="P458" s="23">
        <f t="shared" si="63"/>
        <v>36.075757575757578</v>
      </c>
      <c r="Q458" s="21" t="str">
        <f>IF(ISNA(_xlfn.XLOOKUP(D458,'Same Seller Hist'!H:H,'Same Seller Hist'!H:H)),"Não","Sim")</f>
        <v>Sim</v>
      </c>
      <c r="R458" s="21" t="str">
        <f>_xlfn.IFNA(_xlfn.XLOOKUP(D458,'Same Seller Hist'!D:D,'Same Seller Hist'!M:M),"Não Existe")</f>
        <v>Ativo</v>
      </c>
    </row>
    <row r="459" spans="3:18" x14ac:dyDescent="0.35">
      <c r="C459" s="18">
        <v>45992</v>
      </c>
      <c r="D459" s="5" t="s">
        <v>477</v>
      </c>
      <c r="E459" s="5" t="s">
        <v>913</v>
      </c>
      <c r="F459" s="5" t="s">
        <v>2101</v>
      </c>
      <c r="G459" s="5" t="s">
        <v>2475</v>
      </c>
      <c r="H459" s="21" t="str">
        <f t="shared" si="56"/>
        <v>k</v>
      </c>
      <c r="I459" s="22">
        <f t="shared" si="57"/>
        <v>6600</v>
      </c>
      <c r="J459" s="21" t="str">
        <f t="shared" si="58"/>
        <v>k</v>
      </c>
      <c r="K459" s="23">
        <f t="shared" si="59"/>
        <v>401900</v>
      </c>
      <c r="L459" s="21">
        <v>5.3</v>
      </c>
      <c r="M459" s="22">
        <f t="shared" si="60"/>
        <v>31</v>
      </c>
      <c r="N459" s="23">
        <f t="shared" si="61"/>
        <v>12964.516129032258</v>
      </c>
      <c r="O459" s="23">
        <f t="shared" si="62"/>
        <v>212.90322580645162</v>
      </c>
      <c r="P459" s="23">
        <f t="shared" si="63"/>
        <v>60.893939393939391</v>
      </c>
      <c r="Q459" s="21" t="str">
        <f>IF(ISNA(_xlfn.XLOOKUP(D459,'Same Seller Hist'!H:H,'Same Seller Hist'!H:H)),"Não","Sim")</f>
        <v>Sim</v>
      </c>
      <c r="R459" s="21" t="str">
        <f>_xlfn.IFNA(_xlfn.XLOOKUP(D459,'Same Seller Hist'!D:D,'Same Seller Hist'!M:M),"Não Existe")</f>
        <v>Ativo</v>
      </c>
    </row>
    <row r="460" spans="3:18" x14ac:dyDescent="0.35">
      <c r="C460" s="18">
        <v>45992</v>
      </c>
      <c r="D460" s="5" t="s">
        <v>857</v>
      </c>
      <c r="E460" s="5" t="s">
        <v>941</v>
      </c>
      <c r="F460" s="5" t="s">
        <v>2101</v>
      </c>
      <c r="G460" s="5" t="s">
        <v>2476</v>
      </c>
      <c r="H460" s="21" t="str">
        <f t="shared" si="56"/>
        <v>k</v>
      </c>
      <c r="I460" s="22">
        <f t="shared" si="57"/>
        <v>6600</v>
      </c>
      <c r="J460" s="21" t="str">
        <f t="shared" si="58"/>
        <v>k</v>
      </c>
      <c r="K460" s="23">
        <f t="shared" si="59"/>
        <v>249600</v>
      </c>
      <c r="L460" s="21">
        <v>5.3</v>
      </c>
      <c r="M460" s="22">
        <f t="shared" si="60"/>
        <v>31</v>
      </c>
      <c r="N460" s="23">
        <f t="shared" si="61"/>
        <v>8051.6129032258068</v>
      </c>
      <c r="O460" s="23">
        <f t="shared" si="62"/>
        <v>212.90322580645162</v>
      </c>
      <c r="P460" s="23">
        <f t="shared" si="63"/>
        <v>37.81818181818182</v>
      </c>
      <c r="Q460" s="21" t="str">
        <f>IF(ISNA(_xlfn.XLOOKUP(D460,'Same Seller Hist'!H:H,'Same Seller Hist'!H:H)),"Não","Sim")</f>
        <v>Sim</v>
      </c>
      <c r="R460" s="21" t="str">
        <f>_xlfn.IFNA(_xlfn.XLOOKUP(D460,'Same Seller Hist'!D:D,'Same Seller Hist'!M:M),"Não Existe")</f>
        <v>Ativo</v>
      </c>
    </row>
    <row r="461" spans="3:18" x14ac:dyDescent="0.35">
      <c r="C461" s="18">
        <v>45992</v>
      </c>
      <c r="D461" s="5" t="s">
        <v>786</v>
      </c>
      <c r="E461" s="5" t="s">
        <v>910</v>
      </c>
      <c r="F461" s="5" t="s">
        <v>2101</v>
      </c>
      <c r="G461" s="5" t="s">
        <v>2477</v>
      </c>
      <c r="H461" s="21" t="str">
        <f t="shared" si="56"/>
        <v>k</v>
      </c>
      <c r="I461" s="22">
        <f t="shared" si="57"/>
        <v>6600</v>
      </c>
      <c r="J461" s="21" t="str">
        <f t="shared" si="58"/>
        <v>k</v>
      </c>
      <c r="K461" s="23">
        <f t="shared" si="59"/>
        <v>273400</v>
      </c>
      <c r="L461" s="21">
        <v>5.3</v>
      </c>
      <c r="M461" s="22">
        <f t="shared" si="60"/>
        <v>31</v>
      </c>
      <c r="N461" s="23">
        <f t="shared" si="61"/>
        <v>8819.354838709678</v>
      </c>
      <c r="O461" s="23">
        <f t="shared" si="62"/>
        <v>212.90322580645162</v>
      </c>
      <c r="P461" s="23">
        <f t="shared" si="63"/>
        <v>41.424242424242429</v>
      </c>
      <c r="Q461" s="21" t="str">
        <f>IF(ISNA(_xlfn.XLOOKUP(D461,'Same Seller Hist'!H:H,'Same Seller Hist'!H:H)),"Não","Sim")</f>
        <v>Sim</v>
      </c>
      <c r="R461" s="21" t="str">
        <f>_xlfn.IFNA(_xlfn.XLOOKUP(D461,'Same Seller Hist'!D:D,'Same Seller Hist'!M:M),"Não Existe")</f>
        <v>Ativo</v>
      </c>
    </row>
    <row r="462" spans="3:18" hidden="1" x14ac:dyDescent="0.35">
      <c r="C462" s="18">
        <v>45992</v>
      </c>
      <c r="D462" s="5" t="s">
        <v>1894</v>
      </c>
      <c r="E462" s="5" t="s">
        <v>969</v>
      </c>
      <c r="F462" s="5" t="s">
        <v>2101</v>
      </c>
      <c r="G462" s="5" t="s">
        <v>2478</v>
      </c>
      <c r="H462" s="21" t="str">
        <f t="shared" si="56"/>
        <v>k</v>
      </c>
      <c r="I462" s="22">
        <f t="shared" si="57"/>
        <v>6600</v>
      </c>
      <c r="J462" s="21" t="str">
        <f t="shared" si="58"/>
        <v>k</v>
      </c>
      <c r="K462" s="23">
        <f t="shared" si="59"/>
        <v>448900</v>
      </c>
      <c r="L462" s="21">
        <v>5.3</v>
      </c>
      <c r="M462" s="22">
        <f t="shared" si="60"/>
        <v>31</v>
      </c>
      <c r="N462" s="23">
        <f t="shared" si="61"/>
        <v>14480.645161290322</v>
      </c>
      <c r="O462" s="23">
        <f t="shared" si="62"/>
        <v>212.90322580645162</v>
      </c>
      <c r="P462" s="23">
        <f t="shared" si="63"/>
        <v>68.015151515151516</v>
      </c>
      <c r="Q462" s="21" t="str">
        <f>IF(ISNA(_xlfn.XLOOKUP(D462,'Same Seller Hist'!H:H,'Same Seller Hist'!H:H)),"Não","Sim")</f>
        <v>Não</v>
      </c>
      <c r="R462" s="21" t="str">
        <f>_xlfn.IFNA(_xlfn.XLOOKUP(D462,'Same Seller Hist'!D:D,'Same Seller Hist'!M:M),"Não Existe")</f>
        <v>Não Existe</v>
      </c>
    </row>
    <row r="463" spans="3:18" hidden="1" x14ac:dyDescent="0.35">
      <c r="C463" s="18">
        <v>45992</v>
      </c>
      <c r="D463" s="5" t="s">
        <v>1895</v>
      </c>
      <c r="E463" s="5" t="s">
        <v>942</v>
      </c>
      <c r="F463" s="5" t="s">
        <v>2101</v>
      </c>
      <c r="G463" s="5" t="s">
        <v>2479</v>
      </c>
      <c r="H463" s="21" t="str">
        <f t="shared" si="56"/>
        <v>k</v>
      </c>
      <c r="I463" s="22">
        <f t="shared" si="57"/>
        <v>6600</v>
      </c>
      <c r="J463" s="21" t="str">
        <f t="shared" si="58"/>
        <v>k</v>
      </c>
      <c r="K463" s="23">
        <f t="shared" si="59"/>
        <v>366500</v>
      </c>
      <c r="L463" s="21">
        <v>5.3</v>
      </c>
      <c r="M463" s="22">
        <f t="shared" si="60"/>
        <v>31</v>
      </c>
      <c r="N463" s="23">
        <f t="shared" si="61"/>
        <v>11822.58064516129</v>
      </c>
      <c r="O463" s="23">
        <f t="shared" si="62"/>
        <v>212.90322580645162</v>
      </c>
      <c r="P463" s="23">
        <f t="shared" si="63"/>
        <v>55.530303030303024</v>
      </c>
      <c r="Q463" s="21" t="str">
        <f>IF(ISNA(_xlfn.XLOOKUP(D463,'Same Seller Hist'!H:H,'Same Seller Hist'!H:H)),"Não","Sim")</f>
        <v>Não</v>
      </c>
      <c r="R463" s="21" t="str">
        <f>_xlfn.IFNA(_xlfn.XLOOKUP(D463,'Same Seller Hist'!D:D,'Same Seller Hist'!M:M),"Não Existe")</f>
        <v>Não Existe</v>
      </c>
    </row>
    <row r="464" spans="3:18" hidden="1" x14ac:dyDescent="0.35">
      <c r="C464" s="18">
        <v>45992</v>
      </c>
      <c r="D464" s="5" t="s">
        <v>1896</v>
      </c>
      <c r="E464" s="5" t="s">
        <v>924</v>
      </c>
      <c r="F464" s="5" t="s">
        <v>2101</v>
      </c>
      <c r="G464" s="5" t="s">
        <v>2480</v>
      </c>
      <c r="H464" s="21" t="str">
        <f t="shared" si="56"/>
        <v>k</v>
      </c>
      <c r="I464" s="22">
        <f t="shared" si="57"/>
        <v>6600</v>
      </c>
      <c r="J464" s="21" t="str">
        <f t="shared" si="58"/>
        <v>k</v>
      </c>
      <c r="K464" s="23">
        <f t="shared" si="59"/>
        <v>265300</v>
      </c>
      <c r="L464" s="21">
        <v>5.3</v>
      </c>
      <c r="M464" s="22">
        <f t="shared" si="60"/>
        <v>31</v>
      </c>
      <c r="N464" s="23">
        <f t="shared" si="61"/>
        <v>8558.0645161290322</v>
      </c>
      <c r="O464" s="23">
        <f t="shared" si="62"/>
        <v>212.90322580645162</v>
      </c>
      <c r="P464" s="23">
        <f t="shared" si="63"/>
        <v>40.196969696969695</v>
      </c>
      <c r="Q464" s="21" t="str">
        <f>IF(ISNA(_xlfn.XLOOKUP(D464,'Same Seller Hist'!H:H,'Same Seller Hist'!H:H)),"Não","Sim")</f>
        <v>Não</v>
      </c>
      <c r="R464" s="21" t="str">
        <f>_xlfn.IFNA(_xlfn.XLOOKUP(D464,'Same Seller Hist'!D:D,'Same Seller Hist'!M:M),"Não Existe")</f>
        <v>Não Existe</v>
      </c>
    </row>
    <row r="465" spans="3:18" x14ac:dyDescent="0.35">
      <c r="C465" s="18">
        <v>45992</v>
      </c>
      <c r="D465" s="5" t="s">
        <v>701</v>
      </c>
      <c r="E465" s="5" t="s">
        <v>908</v>
      </c>
      <c r="F465" s="5" t="s">
        <v>2101</v>
      </c>
      <c r="G465" s="5" t="s">
        <v>2481</v>
      </c>
      <c r="H465" s="21" t="str">
        <f t="shared" si="56"/>
        <v>k</v>
      </c>
      <c r="I465" s="22">
        <f t="shared" si="57"/>
        <v>6600</v>
      </c>
      <c r="J465" s="21" t="str">
        <f t="shared" si="58"/>
        <v>k</v>
      </c>
      <c r="K465" s="23">
        <f t="shared" si="59"/>
        <v>581900</v>
      </c>
      <c r="L465" s="21">
        <v>5.3</v>
      </c>
      <c r="M465" s="22">
        <f t="shared" si="60"/>
        <v>31</v>
      </c>
      <c r="N465" s="23">
        <f t="shared" si="61"/>
        <v>18770.967741935485</v>
      </c>
      <c r="O465" s="23">
        <f t="shared" si="62"/>
        <v>212.90322580645162</v>
      </c>
      <c r="P465" s="23">
        <f t="shared" si="63"/>
        <v>88.166666666666671</v>
      </c>
      <c r="Q465" s="21" t="str">
        <f>IF(ISNA(_xlfn.XLOOKUP(D465,'Same Seller Hist'!H:H,'Same Seller Hist'!H:H)),"Não","Sim")</f>
        <v>Sim</v>
      </c>
      <c r="R465" s="21" t="str">
        <f>_xlfn.IFNA(_xlfn.XLOOKUP(D465,'Same Seller Hist'!D:D,'Same Seller Hist'!M:M),"Não Existe")</f>
        <v>Ativo</v>
      </c>
    </row>
    <row r="466" spans="3:18" hidden="1" x14ac:dyDescent="0.35">
      <c r="C466" s="18">
        <v>45992</v>
      </c>
      <c r="D466" s="5" t="s">
        <v>1897</v>
      </c>
      <c r="E466" s="5" t="s">
        <v>975</v>
      </c>
      <c r="F466" s="5" t="s">
        <v>2102</v>
      </c>
      <c r="G466" s="5" t="s">
        <v>2482</v>
      </c>
      <c r="H466" s="21" t="str">
        <f t="shared" si="56"/>
        <v>k</v>
      </c>
      <c r="I466" s="22">
        <f t="shared" si="57"/>
        <v>6500</v>
      </c>
      <c r="J466" s="21" t="str">
        <f t="shared" si="58"/>
        <v>k</v>
      </c>
      <c r="K466" s="23">
        <f t="shared" si="59"/>
        <v>465700</v>
      </c>
      <c r="L466" s="21">
        <v>5.3</v>
      </c>
      <c r="M466" s="22">
        <f t="shared" si="60"/>
        <v>31</v>
      </c>
      <c r="N466" s="23">
        <f t="shared" si="61"/>
        <v>15022.58064516129</v>
      </c>
      <c r="O466" s="23">
        <f t="shared" si="62"/>
        <v>209.67741935483872</v>
      </c>
      <c r="P466" s="23">
        <f t="shared" si="63"/>
        <v>71.646153846153837</v>
      </c>
      <c r="Q466" s="21" t="str">
        <f>IF(ISNA(_xlfn.XLOOKUP(D466,'Same Seller Hist'!H:H,'Same Seller Hist'!H:H)),"Não","Sim")</f>
        <v>Não</v>
      </c>
      <c r="R466" s="21" t="str">
        <f>_xlfn.IFNA(_xlfn.XLOOKUP(D466,'Same Seller Hist'!D:D,'Same Seller Hist'!M:M),"Não Existe")</f>
        <v>Não Existe</v>
      </c>
    </row>
    <row r="467" spans="3:18" hidden="1" x14ac:dyDescent="0.35">
      <c r="C467" s="18">
        <v>45992</v>
      </c>
      <c r="D467" s="5" t="s">
        <v>1898</v>
      </c>
      <c r="E467" s="5" t="s">
        <v>936</v>
      </c>
      <c r="F467" s="5" t="s">
        <v>2102</v>
      </c>
      <c r="G467" s="5" t="s">
        <v>2483</v>
      </c>
      <c r="H467" s="21" t="str">
        <f t="shared" si="56"/>
        <v>k</v>
      </c>
      <c r="I467" s="22">
        <f t="shared" si="57"/>
        <v>6500</v>
      </c>
      <c r="J467" s="21" t="str">
        <f t="shared" si="58"/>
        <v>k</v>
      </c>
      <c r="K467" s="23">
        <f t="shared" si="59"/>
        <v>131800</v>
      </c>
      <c r="L467" s="21">
        <v>5.3</v>
      </c>
      <c r="M467" s="22">
        <f t="shared" si="60"/>
        <v>31</v>
      </c>
      <c r="N467" s="23">
        <f t="shared" si="61"/>
        <v>4251.6129032258068</v>
      </c>
      <c r="O467" s="23">
        <f t="shared" si="62"/>
        <v>209.67741935483872</v>
      </c>
      <c r="P467" s="23">
        <f t="shared" si="63"/>
        <v>20.276923076923076</v>
      </c>
      <c r="Q467" s="21" t="str">
        <f>IF(ISNA(_xlfn.XLOOKUP(D467,'Same Seller Hist'!H:H,'Same Seller Hist'!H:H)),"Não","Sim")</f>
        <v>Não</v>
      </c>
      <c r="R467" s="21" t="str">
        <f>_xlfn.IFNA(_xlfn.XLOOKUP(D467,'Same Seller Hist'!D:D,'Same Seller Hist'!M:M),"Não Existe")</f>
        <v>Não Existe</v>
      </c>
    </row>
    <row r="468" spans="3:18" x14ac:dyDescent="0.35">
      <c r="C468" s="18">
        <v>45992</v>
      </c>
      <c r="D468" s="5" t="s">
        <v>870</v>
      </c>
      <c r="E468" s="5" t="s">
        <v>926</v>
      </c>
      <c r="F468" s="5" t="s">
        <v>2102</v>
      </c>
      <c r="G468" s="5" t="s">
        <v>2484</v>
      </c>
      <c r="H468" s="21" t="str">
        <f t="shared" si="56"/>
        <v>k</v>
      </c>
      <c r="I468" s="22">
        <f t="shared" si="57"/>
        <v>6500</v>
      </c>
      <c r="J468" s="21" t="str">
        <f t="shared" si="58"/>
        <v>k</v>
      </c>
      <c r="K468" s="23">
        <f t="shared" si="59"/>
        <v>88000</v>
      </c>
      <c r="L468" s="21">
        <v>5.3</v>
      </c>
      <c r="M468" s="22">
        <f t="shared" si="60"/>
        <v>31</v>
      </c>
      <c r="N468" s="23">
        <f t="shared" si="61"/>
        <v>2838.7096774193546</v>
      </c>
      <c r="O468" s="23">
        <f t="shared" si="62"/>
        <v>209.67741935483872</v>
      </c>
      <c r="P468" s="23">
        <f t="shared" si="63"/>
        <v>13.538461538461537</v>
      </c>
      <c r="Q468" s="21" t="str">
        <f>IF(ISNA(_xlfn.XLOOKUP(D468,'Same Seller Hist'!H:H,'Same Seller Hist'!H:H)),"Não","Sim")</f>
        <v>Sim</v>
      </c>
      <c r="R468" s="21" t="str">
        <f>_xlfn.IFNA(_xlfn.XLOOKUP(D468,'Same Seller Hist'!D:D,'Same Seller Hist'!M:M),"Não Existe")</f>
        <v>Ativo</v>
      </c>
    </row>
    <row r="469" spans="3:18" hidden="1" x14ac:dyDescent="0.35">
      <c r="C469" s="18">
        <v>45992</v>
      </c>
      <c r="D469" s="5" t="s">
        <v>1899</v>
      </c>
      <c r="E469" s="5" t="s">
        <v>913</v>
      </c>
      <c r="F469" s="5" t="s">
        <v>2102</v>
      </c>
      <c r="G469" s="5" t="s">
        <v>2418</v>
      </c>
      <c r="H469" s="21" t="str">
        <f t="shared" si="56"/>
        <v>k</v>
      </c>
      <c r="I469" s="22">
        <f t="shared" si="57"/>
        <v>6500</v>
      </c>
      <c r="J469" s="21" t="str">
        <f t="shared" si="58"/>
        <v>k</v>
      </c>
      <c r="K469" s="23">
        <f t="shared" si="59"/>
        <v>428600</v>
      </c>
      <c r="L469" s="21">
        <v>5.3</v>
      </c>
      <c r="M469" s="22">
        <f t="shared" si="60"/>
        <v>31</v>
      </c>
      <c r="N469" s="23">
        <f t="shared" si="61"/>
        <v>13825.806451612903</v>
      </c>
      <c r="O469" s="23">
        <f t="shared" si="62"/>
        <v>209.67741935483872</v>
      </c>
      <c r="P469" s="23">
        <f t="shared" si="63"/>
        <v>65.938461538461539</v>
      </c>
      <c r="Q469" s="21" t="str">
        <f>IF(ISNA(_xlfn.XLOOKUP(D469,'Same Seller Hist'!H:H,'Same Seller Hist'!H:H)),"Não","Sim")</f>
        <v>Não</v>
      </c>
      <c r="R469" s="21" t="str">
        <f>_xlfn.IFNA(_xlfn.XLOOKUP(D469,'Same Seller Hist'!D:D,'Same Seller Hist'!M:M),"Não Existe")</f>
        <v>Não Existe</v>
      </c>
    </row>
    <row r="470" spans="3:18" hidden="1" x14ac:dyDescent="0.35">
      <c r="C470" s="18">
        <v>45992</v>
      </c>
      <c r="D470" s="5" t="s">
        <v>1900</v>
      </c>
      <c r="E470" s="5" t="s">
        <v>916</v>
      </c>
      <c r="F470" s="5" t="s">
        <v>2102</v>
      </c>
      <c r="G470" s="5" t="s">
        <v>2485</v>
      </c>
      <c r="H470" s="21" t="str">
        <f t="shared" si="56"/>
        <v>k</v>
      </c>
      <c r="I470" s="22">
        <f t="shared" si="57"/>
        <v>6500</v>
      </c>
      <c r="J470" s="21" t="str">
        <f t="shared" si="58"/>
        <v>k</v>
      </c>
      <c r="K470" s="23">
        <f t="shared" si="59"/>
        <v>206900</v>
      </c>
      <c r="L470" s="21">
        <v>5.3</v>
      </c>
      <c r="M470" s="22">
        <f t="shared" si="60"/>
        <v>31</v>
      </c>
      <c r="N470" s="23">
        <f t="shared" si="61"/>
        <v>6674.1935483870966</v>
      </c>
      <c r="O470" s="23">
        <f t="shared" si="62"/>
        <v>209.67741935483872</v>
      </c>
      <c r="P470" s="23">
        <f t="shared" si="63"/>
        <v>31.830769230769228</v>
      </c>
      <c r="Q470" s="21" t="str">
        <f>IF(ISNA(_xlfn.XLOOKUP(D470,'Same Seller Hist'!H:H,'Same Seller Hist'!H:H)),"Não","Sim")</f>
        <v>Não</v>
      </c>
      <c r="R470" s="21" t="str">
        <f>_xlfn.IFNA(_xlfn.XLOOKUP(D470,'Same Seller Hist'!D:D,'Same Seller Hist'!M:M),"Não Existe")</f>
        <v>Não Existe</v>
      </c>
    </row>
    <row r="471" spans="3:18" x14ac:dyDescent="0.35">
      <c r="C471" s="18">
        <v>45992</v>
      </c>
      <c r="D471" s="5" t="s">
        <v>867</v>
      </c>
      <c r="E471" s="5" t="s">
        <v>926</v>
      </c>
      <c r="F471" s="5" t="s">
        <v>2102</v>
      </c>
      <c r="G471" s="5" t="s">
        <v>2486</v>
      </c>
      <c r="H471" s="21" t="str">
        <f t="shared" si="56"/>
        <v>k</v>
      </c>
      <c r="I471" s="22">
        <f t="shared" si="57"/>
        <v>6500</v>
      </c>
      <c r="J471" s="21" t="str">
        <f t="shared" si="58"/>
        <v>k</v>
      </c>
      <c r="K471" s="23">
        <f t="shared" si="59"/>
        <v>479900</v>
      </c>
      <c r="L471" s="21">
        <v>5.3</v>
      </c>
      <c r="M471" s="22">
        <f t="shared" si="60"/>
        <v>31</v>
      </c>
      <c r="N471" s="23">
        <f t="shared" si="61"/>
        <v>15480.645161290322</v>
      </c>
      <c r="O471" s="23">
        <f t="shared" si="62"/>
        <v>209.67741935483872</v>
      </c>
      <c r="P471" s="23">
        <f t="shared" si="63"/>
        <v>73.830769230769221</v>
      </c>
      <c r="Q471" s="21" t="str">
        <f>IF(ISNA(_xlfn.XLOOKUP(D471,'Same Seller Hist'!H:H,'Same Seller Hist'!H:H)),"Não","Sim")</f>
        <v>Sim</v>
      </c>
      <c r="R471" s="21" t="str">
        <f>_xlfn.IFNA(_xlfn.XLOOKUP(D471,'Same Seller Hist'!D:D,'Same Seller Hist'!M:M),"Não Existe")</f>
        <v>Ativo</v>
      </c>
    </row>
    <row r="472" spans="3:18" hidden="1" x14ac:dyDescent="0.35">
      <c r="C472" s="18">
        <v>45992</v>
      </c>
      <c r="D472" s="5" t="s">
        <v>1901</v>
      </c>
      <c r="E472" s="5" t="s">
        <v>942</v>
      </c>
      <c r="F472" s="5" t="s">
        <v>2102</v>
      </c>
      <c r="G472" s="5" t="s">
        <v>2487</v>
      </c>
      <c r="H472" s="21" t="str">
        <f t="shared" si="56"/>
        <v>k</v>
      </c>
      <c r="I472" s="22">
        <f t="shared" si="57"/>
        <v>6500</v>
      </c>
      <c r="J472" s="21" t="str">
        <f t="shared" si="58"/>
        <v>k</v>
      </c>
      <c r="K472" s="23">
        <f t="shared" si="59"/>
        <v>393700</v>
      </c>
      <c r="L472" s="21">
        <v>5.3</v>
      </c>
      <c r="M472" s="22">
        <f t="shared" si="60"/>
        <v>31</v>
      </c>
      <c r="N472" s="23">
        <f t="shared" si="61"/>
        <v>12700</v>
      </c>
      <c r="O472" s="23">
        <f t="shared" si="62"/>
        <v>209.67741935483872</v>
      </c>
      <c r="P472" s="23">
        <f t="shared" si="63"/>
        <v>60.569230769230764</v>
      </c>
      <c r="Q472" s="21" t="str">
        <f>IF(ISNA(_xlfn.XLOOKUP(D472,'Same Seller Hist'!H:H,'Same Seller Hist'!H:H)),"Não","Sim")</f>
        <v>Não</v>
      </c>
      <c r="R472" s="21" t="str">
        <f>_xlfn.IFNA(_xlfn.XLOOKUP(D472,'Same Seller Hist'!D:D,'Same Seller Hist'!M:M),"Não Existe")</f>
        <v>Não Existe</v>
      </c>
    </row>
    <row r="473" spans="3:18" hidden="1" x14ac:dyDescent="0.35">
      <c r="C473" s="18">
        <v>45992</v>
      </c>
      <c r="D473" s="5" t="s">
        <v>98</v>
      </c>
      <c r="E473" s="5" t="s">
        <v>910</v>
      </c>
      <c r="F473" s="5" t="s">
        <v>2102</v>
      </c>
      <c r="G473" s="5" t="s">
        <v>2488</v>
      </c>
      <c r="H473" s="21" t="str">
        <f t="shared" si="56"/>
        <v>k</v>
      </c>
      <c r="I473" s="22">
        <f t="shared" si="57"/>
        <v>6500</v>
      </c>
      <c r="J473" s="21" t="str">
        <f t="shared" si="58"/>
        <v>k</v>
      </c>
      <c r="K473" s="23">
        <f t="shared" si="59"/>
        <v>196800</v>
      </c>
      <c r="L473" s="21">
        <v>5.3</v>
      </c>
      <c r="M473" s="22">
        <f t="shared" si="60"/>
        <v>31</v>
      </c>
      <c r="N473" s="23">
        <f t="shared" si="61"/>
        <v>6348.3870967741932</v>
      </c>
      <c r="O473" s="23">
        <f t="shared" si="62"/>
        <v>209.67741935483872</v>
      </c>
      <c r="P473" s="23">
        <f t="shared" si="63"/>
        <v>30.276923076923072</v>
      </c>
      <c r="Q473" s="21" t="str">
        <f>IF(ISNA(_xlfn.XLOOKUP(D473,'Same Seller Hist'!H:H,'Same Seller Hist'!H:H)),"Não","Sim")</f>
        <v>Não</v>
      </c>
      <c r="R473" s="21" t="str">
        <f>_xlfn.IFNA(_xlfn.XLOOKUP(D473,'Same Seller Hist'!D:D,'Same Seller Hist'!M:M),"Não Existe")</f>
        <v>Ativo</v>
      </c>
    </row>
    <row r="474" spans="3:18" x14ac:dyDescent="0.35">
      <c r="C474" s="18">
        <v>45992</v>
      </c>
      <c r="D474" s="5" t="s">
        <v>899</v>
      </c>
      <c r="E474" s="5" t="s">
        <v>916</v>
      </c>
      <c r="F474" s="5" t="s">
        <v>2102</v>
      </c>
      <c r="G474" s="5" t="s">
        <v>2489</v>
      </c>
      <c r="H474" s="21" t="str">
        <f t="shared" si="56"/>
        <v>k</v>
      </c>
      <c r="I474" s="22">
        <f t="shared" si="57"/>
        <v>6500</v>
      </c>
      <c r="J474" s="21" t="str">
        <f t="shared" si="58"/>
        <v>k</v>
      </c>
      <c r="K474" s="23">
        <f t="shared" si="59"/>
        <v>286700</v>
      </c>
      <c r="L474" s="21">
        <v>5.3</v>
      </c>
      <c r="M474" s="22">
        <f t="shared" si="60"/>
        <v>31</v>
      </c>
      <c r="N474" s="23">
        <f t="shared" si="61"/>
        <v>9248.3870967741932</v>
      </c>
      <c r="O474" s="23">
        <f t="shared" si="62"/>
        <v>209.67741935483872</v>
      </c>
      <c r="P474" s="23">
        <f t="shared" si="63"/>
        <v>44.107692307692304</v>
      </c>
      <c r="Q474" s="21" t="str">
        <f>IF(ISNA(_xlfn.XLOOKUP(D474,'Same Seller Hist'!H:H,'Same Seller Hist'!H:H)),"Não","Sim")</f>
        <v>Sim</v>
      </c>
      <c r="R474" s="21" t="str">
        <f>_xlfn.IFNA(_xlfn.XLOOKUP(D474,'Same Seller Hist'!D:D,'Same Seller Hist'!M:M),"Não Existe")</f>
        <v>Ativo</v>
      </c>
    </row>
    <row r="475" spans="3:18" hidden="1" x14ac:dyDescent="0.35">
      <c r="C475" s="18">
        <v>45992</v>
      </c>
      <c r="D475" s="5" t="s">
        <v>194</v>
      </c>
      <c r="E475" s="5" t="s">
        <v>924</v>
      </c>
      <c r="F475" s="5" t="s">
        <v>2102</v>
      </c>
      <c r="G475" s="5" t="s">
        <v>2490</v>
      </c>
      <c r="H475" s="21" t="str">
        <f t="shared" si="56"/>
        <v>k</v>
      </c>
      <c r="I475" s="22">
        <f t="shared" si="57"/>
        <v>6500</v>
      </c>
      <c r="J475" s="21" t="str">
        <f t="shared" si="58"/>
        <v>k</v>
      </c>
      <c r="K475" s="23">
        <f t="shared" si="59"/>
        <v>181200</v>
      </c>
      <c r="L475" s="21">
        <v>5.3</v>
      </c>
      <c r="M475" s="22">
        <f t="shared" si="60"/>
        <v>31</v>
      </c>
      <c r="N475" s="23">
        <f t="shared" si="61"/>
        <v>5845.1612903225805</v>
      </c>
      <c r="O475" s="23">
        <f t="shared" si="62"/>
        <v>209.67741935483872</v>
      </c>
      <c r="P475" s="23">
        <f t="shared" si="63"/>
        <v>27.876923076923074</v>
      </c>
      <c r="Q475" s="21" t="str">
        <f>IF(ISNA(_xlfn.XLOOKUP(D475,'Same Seller Hist'!H:H,'Same Seller Hist'!H:H)),"Não","Sim")</f>
        <v>Não</v>
      </c>
      <c r="R475" s="21" t="str">
        <f>_xlfn.IFNA(_xlfn.XLOOKUP(D475,'Same Seller Hist'!D:D,'Same Seller Hist'!M:M),"Não Existe")</f>
        <v>Ativo</v>
      </c>
    </row>
    <row r="476" spans="3:18" hidden="1" x14ac:dyDescent="0.35">
      <c r="C476" s="18">
        <v>45992</v>
      </c>
      <c r="D476" s="5" t="s">
        <v>1902</v>
      </c>
      <c r="E476" s="5" t="s">
        <v>913</v>
      </c>
      <c r="F476" s="5" t="s">
        <v>2103</v>
      </c>
      <c r="G476" s="5" t="s">
        <v>2491</v>
      </c>
      <c r="H476" s="21" t="str">
        <f t="shared" si="56"/>
        <v>k</v>
      </c>
      <c r="I476" s="22">
        <f t="shared" si="57"/>
        <v>6400</v>
      </c>
      <c r="J476" s="21" t="str">
        <f t="shared" si="58"/>
        <v>k</v>
      </c>
      <c r="K476" s="23">
        <f t="shared" si="59"/>
        <v>270500</v>
      </c>
      <c r="L476" s="21">
        <v>5.3</v>
      </c>
      <c r="M476" s="22">
        <f t="shared" si="60"/>
        <v>31</v>
      </c>
      <c r="N476" s="23">
        <f t="shared" si="61"/>
        <v>8725.8064516129034</v>
      </c>
      <c r="O476" s="23">
        <f t="shared" si="62"/>
        <v>206.45161290322579</v>
      </c>
      <c r="P476" s="23">
        <f t="shared" si="63"/>
        <v>42.265625</v>
      </c>
      <c r="Q476" s="21" t="str">
        <f>IF(ISNA(_xlfn.XLOOKUP(D476,'Same Seller Hist'!H:H,'Same Seller Hist'!H:H)),"Não","Sim")</f>
        <v>Não</v>
      </c>
      <c r="R476" s="21" t="str">
        <f>_xlfn.IFNA(_xlfn.XLOOKUP(D476,'Same Seller Hist'!D:D,'Same Seller Hist'!M:M),"Não Existe")</f>
        <v>Não Existe</v>
      </c>
    </row>
    <row r="477" spans="3:18" hidden="1" x14ac:dyDescent="0.35">
      <c r="C477" s="18">
        <v>45992</v>
      </c>
      <c r="D477" s="5" t="s">
        <v>1903</v>
      </c>
      <c r="E477" s="5" t="s">
        <v>913</v>
      </c>
      <c r="F477" s="5" t="s">
        <v>2103</v>
      </c>
      <c r="G477" s="5" t="s">
        <v>2237</v>
      </c>
      <c r="H477" s="21" t="str">
        <f t="shared" si="56"/>
        <v>k</v>
      </c>
      <c r="I477" s="22">
        <f t="shared" si="57"/>
        <v>6400</v>
      </c>
      <c r="J477" s="21" t="str">
        <f t="shared" si="58"/>
        <v>k</v>
      </c>
      <c r="K477" s="23">
        <f t="shared" si="59"/>
        <v>415100</v>
      </c>
      <c r="L477" s="21">
        <v>5.3</v>
      </c>
      <c r="M477" s="22">
        <f t="shared" si="60"/>
        <v>31</v>
      </c>
      <c r="N477" s="23">
        <f t="shared" si="61"/>
        <v>13390.322580645161</v>
      </c>
      <c r="O477" s="23">
        <f t="shared" si="62"/>
        <v>206.45161290322579</v>
      </c>
      <c r="P477" s="23">
        <f t="shared" si="63"/>
        <v>64.859375</v>
      </c>
      <c r="Q477" s="21" t="str">
        <f>IF(ISNA(_xlfn.XLOOKUP(D477,'Same Seller Hist'!H:H,'Same Seller Hist'!H:H)),"Não","Sim")</f>
        <v>Não</v>
      </c>
      <c r="R477" s="21" t="str">
        <f>_xlfn.IFNA(_xlfn.XLOOKUP(D477,'Same Seller Hist'!D:D,'Same Seller Hist'!M:M),"Não Existe")</f>
        <v>Não Existe</v>
      </c>
    </row>
    <row r="478" spans="3:18" hidden="1" x14ac:dyDescent="0.35">
      <c r="C478" s="18">
        <v>45992</v>
      </c>
      <c r="D478" s="5" t="s">
        <v>1904</v>
      </c>
      <c r="E478" s="5" t="s">
        <v>926</v>
      </c>
      <c r="F478" s="5" t="s">
        <v>2103</v>
      </c>
      <c r="G478" s="5" t="s">
        <v>2492</v>
      </c>
      <c r="H478" s="21" t="str">
        <f t="shared" si="56"/>
        <v>k</v>
      </c>
      <c r="I478" s="22">
        <f t="shared" si="57"/>
        <v>6400</v>
      </c>
      <c r="J478" s="21" t="str">
        <f t="shared" si="58"/>
        <v>k</v>
      </c>
      <c r="K478" s="23">
        <f t="shared" si="59"/>
        <v>103700</v>
      </c>
      <c r="L478" s="21">
        <v>5.3</v>
      </c>
      <c r="M478" s="22">
        <f t="shared" si="60"/>
        <v>31</v>
      </c>
      <c r="N478" s="23">
        <f t="shared" si="61"/>
        <v>3345.1612903225805</v>
      </c>
      <c r="O478" s="23">
        <f t="shared" si="62"/>
        <v>206.45161290322579</v>
      </c>
      <c r="P478" s="23">
        <f t="shared" si="63"/>
        <v>16.203125</v>
      </c>
      <c r="Q478" s="21" t="str">
        <f>IF(ISNA(_xlfn.XLOOKUP(D478,'Same Seller Hist'!H:H,'Same Seller Hist'!H:H)),"Não","Sim")</f>
        <v>Não</v>
      </c>
      <c r="R478" s="21" t="str">
        <f>_xlfn.IFNA(_xlfn.XLOOKUP(D478,'Same Seller Hist'!D:D,'Same Seller Hist'!M:M),"Não Existe")</f>
        <v>Não Existe</v>
      </c>
    </row>
    <row r="479" spans="3:18" x14ac:dyDescent="0.35">
      <c r="C479" s="18">
        <v>45992</v>
      </c>
      <c r="D479" s="5" t="s">
        <v>850</v>
      </c>
      <c r="E479" s="5" t="s">
        <v>913</v>
      </c>
      <c r="F479" s="5" t="s">
        <v>2103</v>
      </c>
      <c r="G479" s="5" t="s">
        <v>2493</v>
      </c>
      <c r="H479" s="21" t="str">
        <f t="shared" si="56"/>
        <v>k</v>
      </c>
      <c r="I479" s="22">
        <f t="shared" si="57"/>
        <v>6400</v>
      </c>
      <c r="J479" s="21" t="str">
        <f t="shared" si="58"/>
        <v>k</v>
      </c>
      <c r="K479" s="23">
        <f t="shared" si="59"/>
        <v>219100</v>
      </c>
      <c r="L479" s="21">
        <v>5.3</v>
      </c>
      <c r="M479" s="22">
        <f t="shared" si="60"/>
        <v>31</v>
      </c>
      <c r="N479" s="23">
        <f t="shared" si="61"/>
        <v>7067.7419354838712</v>
      </c>
      <c r="O479" s="23">
        <f t="shared" si="62"/>
        <v>206.45161290322579</v>
      </c>
      <c r="P479" s="23">
        <f t="shared" si="63"/>
        <v>34.234375</v>
      </c>
      <c r="Q479" s="21" t="str">
        <f>IF(ISNA(_xlfn.XLOOKUP(D479,'Same Seller Hist'!H:H,'Same Seller Hist'!H:H)),"Não","Sim")</f>
        <v>Sim</v>
      </c>
      <c r="R479" s="21" t="str">
        <f>_xlfn.IFNA(_xlfn.XLOOKUP(D479,'Same Seller Hist'!D:D,'Same Seller Hist'!M:M),"Não Existe")</f>
        <v>Ativo</v>
      </c>
    </row>
    <row r="480" spans="3:18" x14ac:dyDescent="0.35">
      <c r="C480" s="18">
        <v>45992</v>
      </c>
      <c r="D480" s="5" t="s">
        <v>754</v>
      </c>
      <c r="E480" s="5" t="s">
        <v>913</v>
      </c>
      <c r="F480" s="5" t="s">
        <v>2103</v>
      </c>
      <c r="G480" s="5" t="s">
        <v>2494</v>
      </c>
      <c r="H480" s="21" t="str">
        <f t="shared" si="56"/>
        <v>k</v>
      </c>
      <c r="I480" s="22">
        <f t="shared" si="57"/>
        <v>6400</v>
      </c>
      <c r="J480" s="21" t="str">
        <f t="shared" si="58"/>
        <v>k</v>
      </c>
      <c r="K480" s="23">
        <f t="shared" si="59"/>
        <v>283400</v>
      </c>
      <c r="L480" s="21">
        <v>5.3</v>
      </c>
      <c r="M480" s="22">
        <f t="shared" si="60"/>
        <v>31</v>
      </c>
      <c r="N480" s="23">
        <f t="shared" si="61"/>
        <v>9141.9354838709678</v>
      </c>
      <c r="O480" s="23">
        <f t="shared" si="62"/>
        <v>206.45161290322579</v>
      </c>
      <c r="P480" s="23">
        <f t="shared" si="63"/>
        <v>44.28125</v>
      </c>
      <c r="Q480" s="21" t="str">
        <f>IF(ISNA(_xlfn.XLOOKUP(D480,'Same Seller Hist'!H:H,'Same Seller Hist'!H:H)),"Não","Sim")</f>
        <v>Sim</v>
      </c>
      <c r="R480" s="21" t="str">
        <f>_xlfn.IFNA(_xlfn.XLOOKUP(D480,'Same Seller Hist'!D:D,'Same Seller Hist'!M:M),"Não Existe")</f>
        <v>Ativo</v>
      </c>
    </row>
    <row r="481" spans="3:18" x14ac:dyDescent="0.35">
      <c r="C481" s="18">
        <v>45992</v>
      </c>
      <c r="D481" s="5" t="s">
        <v>858</v>
      </c>
      <c r="E481" s="5" t="s">
        <v>933</v>
      </c>
      <c r="F481" s="5" t="s">
        <v>2103</v>
      </c>
      <c r="G481" s="5" t="s">
        <v>2495</v>
      </c>
      <c r="H481" s="21" t="str">
        <f t="shared" si="56"/>
        <v>k</v>
      </c>
      <c r="I481" s="22">
        <f t="shared" si="57"/>
        <v>6400</v>
      </c>
      <c r="J481" s="21" t="str">
        <f t="shared" si="58"/>
        <v>k</v>
      </c>
      <c r="K481" s="23">
        <f t="shared" si="59"/>
        <v>206400</v>
      </c>
      <c r="L481" s="21">
        <v>5.3</v>
      </c>
      <c r="M481" s="22">
        <f t="shared" si="60"/>
        <v>31</v>
      </c>
      <c r="N481" s="23">
        <f t="shared" si="61"/>
        <v>6658.0645161290322</v>
      </c>
      <c r="O481" s="23">
        <f t="shared" si="62"/>
        <v>206.45161290322579</v>
      </c>
      <c r="P481" s="23">
        <f t="shared" si="63"/>
        <v>32.25</v>
      </c>
      <c r="Q481" s="21" t="str">
        <f>IF(ISNA(_xlfn.XLOOKUP(D481,'Same Seller Hist'!H:H,'Same Seller Hist'!H:H)),"Não","Sim")</f>
        <v>Sim</v>
      </c>
      <c r="R481" s="21" t="str">
        <f>_xlfn.IFNA(_xlfn.XLOOKUP(D481,'Same Seller Hist'!D:D,'Same Seller Hist'!M:M),"Não Existe")</f>
        <v>Ativo</v>
      </c>
    </row>
    <row r="482" spans="3:18" x14ac:dyDescent="0.35">
      <c r="C482" s="18">
        <v>45992</v>
      </c>
      <c r="D482" s="5" t="s">
        <v>859</v>
      </c>
      <c r="E482" s="5" t="s">
        <v>913</v>
      </c>
      <c r="F482" s="5" t="s">
        <v>2103</v>
      </c>
      <c r="G482" s="5" t="s">
        <v>2496</v>
      </c>
      <c r="H482" s="21" t="str">
        <f t="shared" si="56"/>
        <v>k</v>
      </c>
      <c r="I482" s="22">
        <f t="shared" si="57"/>
        <v>6400</v>
      </c>
      <c r="J482" s="21" t="str">
        <f t="shared" si="58"/>
        <v>k</v>
      </c>
      <c r="K482" s="23">
        <f t="shared" si="59"/>
        <v>230500</v>
      </c>
      <c r="L482" s="21">
        <v>5.3</v>
      </c>
      <c r="M482" s="22">
        <f t="shared" si="60"/>
        <v>31</v>
      </c>
      <c r="N482" s="23">
        <f t="shared" si="61"/>
        <v>7435.4838709677415</v>
      </c>
      <c r="O482" s="23">
        <f t="shared" si="62"/>
        <v>206.45161290322579</v>
      </c>
      <c r="P482" s="23">
        <f t="shared" si="63"/>
        <v>36.015625</v>
      </c>
      <c r="Q482" s="21" t="str">
        <f>IF(ISNA(_xlfn.XLOOKUP(D482,'Same Seller Hist'!H:H,'Same Seller Hist'!H:H)),"Não","Sim")</f>
        <v>Sim</v>
      </c>
      <c r="R482" s="21" t="str">
        <f>_xlfn.IFNA(_xlfn.XLOOKUP(D482,'Same Seller Hist'!D:D,'Same Seller Hist'!M:M),"Não Existe")</f>
        <v>Ativo</v>
      </c>
    </row>
    <row r="483" spans="3:18" hidden="1" x14ac:dyDescent="0.35">
      <c r="C483" s="18">
        <v>45992</v>
      </c>
      <c r="D483" s="5" t="s">
        <v>1905</v>
      </c>
      <c r="E483" s="5" t="s">
        <v>908</v>
      </c>
      <c r="F483" s="5" t="s">
        <v>2103</v>
      </c>
      <c r="G483" s="5" t="s">
        <v>2497</v>
      </c>
      <c r="H483" s="21" t="str">
        <f t="shared" si="56"/>
        <v>k</v>
      </c>
      <c r="I483" s="22">
        <f t="shared" si="57"/>
        <v>6400</v>
      </c>
      <c r="J483" s="21" t="str">
        <f t="shared" si="58"/>
        <v>k</v>
      </c>
      <c r="K483" s="23">
        <f t="shared" si="59"/>
        <v>515400</v>
      </c>
      <c r="L483" s="21">
        <v>5.3</v>
      </c>
      <c r="M483" s="22">
        <f t="shared" si="60"/>
        <v>31</v>
      </c>
      <c r="N483" s="23">
        <f t="shared" si="61"/>
        <v>16625.806451612902</v>
      </c>
      <c r="O483" s="23">
        <f t="shared" si="62"/>
        <v>206.45161290322579</v>
      </c>
      <c r="P483" s="23">
        <f t="shared" si="63"/>
        <v>80.53125</v>
      </c>
      <c r="Q483" s="21" t="str">
        <f>IF(ISNA(_xlfn.XLOOKUP(D483,'Same Seller Hist'!H:H,'Same Seller Hist'!H:H)),"Não","Sim")</f>
        <v>Não</v>
      </c>
      <c r="R483" s="21" t="str">
        <f>_xlfn.IFNA(_xlfn.XLOOKUP(D483,'Same Seller Hist'!D:D,'Same Seller Hist'!M:M),"Não Existe")</f>
        <v>Não Existe</v>
      </c>
    </row>
    <row r="484" spans="3:18" x14ac:dyDescent="0.35">
      <c r="C484" s="18">
        <v>45992</v>
      </c>
      <c r="D484" s="5" t="s">
        <v>882</v>
      </c>
      <c r="E484" s="5" t="s">
        <v>911</v>
      </c>
      <c r="F484" s="5" t="s">
        <v>2103</v>
      </c>
      <c r="G484" s="5" t="s">
        <v>2498</v>
      </c>
      <c r="H484" s="21" t="str">
        <f t="shared" si="56"/>
        <v>k</v>
      </c>
      <c r="I484" s="22">
        <f t="shared" si="57"/>
        <v>6400</v>
      </c>
      <c r="J484" s="21" t="str">
        <f t="shared" si="58"/>
        <v>k</v>
      </c>
      <c r="K484" s="23">
        <f t="shared" si="59"/>
        <v>280400</v>
      </c>
      <c r="L484" s="21">
        <v>5.3</v>
      </c>
      <c r="M484" s="22">
        <f t="shared" si="60"/>
        <v>31</v>
      </c>
      <c r="N484" s="23">
        <f t="shared" si="61"/>
        <v>9045.1612903225814</v>
      </c>
      <c r="O484" s="23">
        <f t="shared" si="62"/>
        <v>206.45161290322579</v>
      </c>
      <c r="P484" s="23">
        <f t="shared" si="63"/>
        <v>43.812500000000007</v>
      </c>
      <c r="Q484" s="21" t="str">
        <f>IF(ISNA(_xlfn.XLOOKUP(D484,'Same Seller Hist'!H:H,'Same Seller Hist'!H:H)),"Não","Sim")</f>
        <v>Sim</v>
      </c>
      <c r="R484" s="21" t="str">
        <f>_xlfn.IFNA(_xlfn.XLOOKUP(D484,'Same Seller Hist'!D:D,'Same Seller Hist'!M:M),"Não Existe")</f>
        <v>Ativo</v>
      </c>
    </row>
    <row r="485" spans="3:18" hidden="1" x14ac:dyDescent="0.35">
      <c r="C485" s="18">
        <v>45992</v>
      </c>
      <c r="D485" s="5" t="s">
        <v>778</v>
      </c>
      <c r="E485" s="5" t="s">
        <v>910</v>
      </c>
      <c r="F485" s="5" t="s">
        <v>2103</v>
      </c>
      <c r="G485" s="5" t="s">
        <v>2499</v>
      </c>
      <c r="H485" s="21" t="str">
        <f t="shared" si="56"/>
        <v>k</v>
      </c>
      <c r="I485" s="22">
        <f t="shared" si="57"/>
        <v>6400</v>
      </c>
      <c r="J485" s="21" t="str">
        <f t="shared" si="58"/>
        <v>k</v>
      </c>
      <c r="K485" s="23">
        <f t="shared" si="59"/>
        <v>211000</v>
      </c>
      <c r="L485" s="21">
        <v>5.3</v>
      </c>
      <c r="M485" s="22">
        <f t="shared" si="60"/>
        <v>31</v>
      </c>
      <c r="N485" s="23">
        <f t="shared" si="61"/>
        <v>6806.4516129032254</v>
      </c>
      <c r="O485" s="23">
        <f t="shared" si="62"/>
        <v>206.45161290322579</v>
      </c>
      <c r="P485" s="23">
        <f t="shared" si="63"/>
        <v>32.96875</v>
      </c>
      <c r="Q485" s="21" t="str">
        <f>IF(ISNA(_xlfn.XLOOKUP(D485,'Same Seller Hist'!H:H,'Same Seller Hist'!H:H)),"Não","Sim")</f>
        <v>Não</v>
      </c>
      <c r="R485" s="21" t="str">
        <f>_xlfn.IFNA(_xlfn.XLOOKUP(D485,'Same Seller Hist'!D:D,'Same Seller Hist'!M:M),"Não Existe")</f>
        <v>Ativo</v>
      </c>
    </row>
    <row r="486" spans="3:18" hidden="1" x14ac:dyDescent="0.35">
      <c r="C486" s="18">
        <v>45992</v>
      </c>
      <c r="D486" s="5" t="s">
        <v>540</v>
      </c>
      <c r="E486" s="5" t="s">
        <v>926</v>
      </c>
      <c r="F486" s="5" t="s">
        <v>2104</v>
      </c>
      <c r="G486" s="5" t="s">
        <v>2500</v>
      </c>
      <c r="H486" s="21" t="str">
        <f t="shared" si="56"/>
        <v>k</v>
      </c>
      <c r="I486" s="22">
        <f t="shared" si="57"/>
        <v>6300</v>
      </c>
      <c r="J486" s="21" t="str">
        <f t="shared" si="58"/>
        <v>k</v>
      </c>
      <c r="K486" s="23">
        <f t="shared" si="59"/>
        <v>384600</v>
      </c>
      <c r="L486" s="21">
        <v>5.3</v>
      </c>
      <c r="M486" s="22">
        <f t="shared" si="60"/>
        <v>31</v>
      </c>
      <c r="N486" s="23">
        <f t="shared" si="61"/>
        <v>12406.451612903225</v>
      </c>
      <c r="O486" s="23">
        <f t="shared" si="62"/>
        <v>203.2258064516129</v>
      </c>
      <c r="P486" s="23">
        <f t="shared" si="63"/>
        <v>61.047619047619051</v>
      </c>
      <c r="Q486" s="21" t="str">
        <f>IF(ISNA(_xlfn.XLOOKUP(D486,'Same Seller Hist'!H:H,'Same Seller Hist'!H:H)),"Não","Sim")</f>
        <v>Não</v>
      </c>
      <c r="R486" s="21" t="str">
        <f>_xlfn.IFNA(_xlfn.XLOOKUP(D486,'Same Seller Hist'!D:D,'Same Seller Hist'!M:M),"Não Existe")</f>
        <v>Ativo</v>
      </c>
    </row>
    <row r="487" spans="3:18" x14ac:dyDescent="0.35">
      <c r="C487" s="18">
        <v>45992</v>
      </c>
      <c r="D487" s="5" t="s">
        <v>894</v>
      </c>
      <c r="E487" s="5" t="s">
        <v>924</v>
      </c>
      <c r="F487" s="5" t="s">
        <v>2104</v>
      </c>
      <c r="G487" s="5" t="s">
        <v>2501</v>
      </c>
      <c r="H487" s="21" t="str">
        <f t="shared" si="56"/>
        <v>k</v>
      </c>
      <c r="I487" s="22">
        <f t="shared" si="57"/>
        <v>6300</v>
      </c>
      <c r="J487" s="21" t="str">
        <f t="shared" si="58"/>
        <v>k</v>
      </c>
      <c r="K487" s="23">
        <f t="shared" si="59"/>
        <v>81800</v>
      </c>
      <c r="L487" s="21">
        <v>5.3</v>
      </c>
      <c r="M487" s="22">
        <f t="shared" si="60"/>
        <v>31</v>
      </c>
      <c r="N487" s="23">
        <f t="shared" si="61"/>
        <v>2638.7096774193546</v>
      </c>
      <c r="O487" s="23">
        <f t="shared" si="62"/>
        <v>203.2258064516129</v>
      </c>
      <c r="P487" s="23">
        <f t="shared" si="63"/>
        <v>12.984126984126984</v>
      </c>
      <c r="Q487" s="21" t="str">
        <f>IF(ISNA(_xlfn.XLOOKUP(D487,'Same Seller Hist'!H:H,'Same Seller Hist'!H:H)),"Não","Sim")</f>
        <v>Sim</v>
      </c>
      <c r="R487" s="21" t="str">
        <f>_xlfn.IFNA(_xlfn.XLOOKUP(D487,'Same Seller Hist'!D:D,'Same Seller Hist'!M:M),"Não Existe")</f>
        <v>Ativo</v>
      </c>
    </row>
    <row r="488" spans="3:18" hidden="1" x14ac:dyDescent="0.35">
      <c r="C488" s="18">
        <v>45992</v>
      </c>
      <c r="D488" s="5" t="s">
        <v>1906</v>
      </c>
      <c r="E488" s="5" t="s">
        <v>942</v>
      </c>
      <c r="F488" s="5" t="s">
        <v>2104</v>
      </c>
      <c r="G488" s="5" t="s">
        <v>2502</v>
      </c>
      <c r="H488" s="21" t="str">
        <f t="shared" si="56"/>
        <v>k</v>
      </c>
      <c r="I488" s="22">
        <f t="shared" si="57"/>
        <v>6300</v>
      </c>
      <c r="J488" s="21" t="str">
        <f t="shared" si="58"/>
        <v>k</v>
      </c>
      <c r="K488" s="23">
        <f t="shared" si="59"/>
        <v>208500</v>
      </c>
      <c r="L488" s="21">
        <v>5.3</v>
      </c>
      <c r="M488" s="22">
        <f t="shared" si="60"/>
        <v>31</v>
      </c>
      <c r="N488" s="23">
        <f t="shared" si="61"/>
        <v>6725.8064516129034</v>
      </c>
      <c r="O488" s="23">
        <f t="shared" si="62"/>
        <v>203.2258064516129</v>
      </c>
      <c r="P488" s="23">
        <f t="shared" si="63"/>
        <v>33.095238095238095</v>
      </c>
      <c r="Q488" s="21" t="str">
        <f>IF(ISNA(_xlfn.XLOOKUP(D488,'Same Seller Hist'!H:H,'Same Seller Hist'!H:H)),"Não","Sim")</f>
        <v>Não</v>
      </c>
      <c r="R488" s="21" t="str">
        <f>_xlfn.IFNA(_xlfn.XLOOKUP(D488,'Same Seller Hist'!D:D,'Same Seller Hist'!M:M),"Não Existe")</f>
        <v>Não Existe</v>
      </c>
    </row>
    <row r="489" spans="3:18" x14ac:dyDescent="0.35">
      <c r="C489" s="18">
        <v>45992</v>
      </c>
      <c r="D489" s="5" t="s">
        <v>582</v>
      </c>
      <c r="E489" s="5" t="s">
        <v>942</v>
      </c>
      <c r="F489" s="5" t="s">
        <v>2104</v>
      </c>
      <c r="G489" s="5" t="s">
        <v>2503</v>
      </c>
      <c r="H489" s="21" t="str">
        <f t="shared" si="56"/>
        <v>k</v>
      </c>
      <c r="I489" s="22">
        <f t="shared" si="57"/>
        <v>6300</v>
      </c>
      <c r="J489" s="21" t="str">
        <f t="shared" si="58"/>
        <v>k</v>
      </c>
      <c r="K489" s="23">
        <f t="shared" si="59"/>
        <v>147900</v>
      </c>
      <c r="L489" s="21">
        <v>5.3</v>
      </c>
      <c r="M489" s="22">
        <f t="shared" si="60"/>
        <v>31</v>
      </c>
      <c r="N489" s="23">
        <f t="shared" si="61"/>
        <v>4770.9677419354839</v>
      </c>
      <c r="O489" s="23">
        <f t="shared" si="62"/>
        <v>203.2258064516129</v>
      </c>
      <c r="P489" s="23">
        <f t="shared" si="63"/>
        <v>23.476190476190478</v>
      </c>
      <c r="Q489" s="21" t="str">
        <f>IF(ISNA(_xlfn.XLOOKUP(D489,'Same Seller Hist'!H:H,'Same Seller Hist'!H:H)),"Não","Sim")</f>
        <v>Sim</v>
      </c>
      <c r="R489" s="21" t="str">
        <f>_xlfn.IFNA(_xlfn.XLOOKUP(D489,'Same Seller Hist'!D:D,'Same Seller Hist'!M:M),"Não Existe")</f>
        <v>Ativo</v>
      </c>
    </row>
    <row r="490" spans="3:18" x14ac:dyDescent="0.35">
      <c r="C490" s="18">
        <v>45992</v>
      </c>
      <c r="D490" s="5" t="s">
        <v>852</v>
      </c>
      <c r="E490" s="5" t="s">
        <v>926</v>
      </c>
      <c r="F490" s="5" t="s">
        <v>2104</v>
      </c>
      <c r="G490" s="5" t="s">
        <v>2504</v>
      </c>
      <c r="H490" s="21" t="str">
        <f t="shared" si="56"/>
        <v>k</v>
      </c>
      <c r="I490" s="22">
        <f t="shared" si="57"/>
        <v>6300</v>
      </c>
      <c r="J490" s="21" t="str">
        <f t="shared" si="58"/>
        <v>k</v>
      </c>
      <c r="K490" s="23">
        <f t="shared" si="59"/>
        <v>671200</v>
      </c>
      <c r="L490" s="21">
        <v>5.3</v>
      </c>
      <c r="M490" s="22">
        <f t="shared" si="60"/>
        <v>31</v>
      </c>
      <c r="N490" s="23">
        <f t="shared" si="61"/>
        <v>21651.612903225807</v>
      </c>
      <c r="O490" s="23">
        <f t="shared" si="62"/>
        <v>203.2258064516129</v>
      </c>
      <c r="P490" s="23">
        <f t="shared" si="63"/>
        <v>106.53968253968254</v>
      </c>
      <c r="Q490" s="21" t="str">
        <f>IF(ISNA(_xlfn.XLOOKUP(D490,'Same Seller Hist'!H:H,'Same Seller Hist'!H:H)),"Não","Sim")</f>
        <v>Sim</v>
      </c>
      <c r="R490" s="21" t="str">
        <f>_xlfn.IFNA(_xlfn.XLOOKUP(D490,'Same Seller Hist'!D:D,'Same Seller Hist'!M:M),"Não Existe")</f>
        <v>Ativo</v>
      </c>
    </row>
    <row r="491" spans="3:18" hidden="1" x14ac:dyDescent="0.35">
      <c r="C491" s="18">
        <v>45992</v>
      </c>
      <c r="D491" s="5" t="s">
        <v>75</v>
      </c>
      <c r="E491" s="5" t="s">
        <v>916</v>
      </c>
      <c r="F491" s="5" t="s">
        <v>2104</v>
      </c>
      <c r="G491" s="5" t="s">
        <v>2505</v>
      </c>
      <c r="H491" s="21" t="str">
        <f t="shared" si="56"/>
        <v>k</v>
      </c>
      <c r="I491" s="22">
        <f t="shared" si="57"/>
        <v>6300</v>
      </c>
      <c r="J491" s="21" t="str">
        <f t="shared" si="58"/>
        <v>k</v>
      </c>
      <c r="K491" s="23">
        <f t="shared" si="59"/>
        <v>418000</v>
      </c>
      <c r="L491" s="21">
        <v>5.3</v>
      </c>
      <c r="M491" s="22">
        <f t="shared" si="60"/>
        <v>31</v>
      </c>
      <c r="N491" s="23">
        <f t="shared" si="61"/>
        <v>13483.870967741936</v>
      </c>
      <c r="O491" s="23">
        <f t="shared" si="62"/>
        <v>203.2258064516129</v>
      </c>
      <c r="P491" s="23">
        <f t="shared" si="63"/>
        <v>66.349206349206355</v>
      </c>
      <c r="Q491" s="21" t="str">
        <f>IF(ISNA(_xlfn.XLOOKUP(D491,'Same Seller Hist'!H:H,'Same Seller Hist'!H:H)),"Não","Sim")</f>
        <v>Não</v>
      </c>
      <c r="R491" s="21" t="str">
        <f>_xlfn.IFNA(_xlfn.XLOOKUP(D491,'Same Seller Hist'!D:D,'Same Seller Hist'!M:M),"Não Existe")</f>
        <v>Ativo</v>
      </c>
    </row>
    <row r="492" spans="3:18" x14ac:dyDescent="0.35">
      <c r="C492" s="18">
        <v>45992</v>
      </c>
      <c r="D492" s="5" t="s">
        <v>853</v>
      </c>
      <c r="E492" s="5" t="s">
        <v>908</v>
      </c>
      <c r="F492" s="5" t="s">
        <v>2104</v>
      </c>
      <c r="G492" s="5" t="s">
        <v>2121</v>
      </c>
      <c r="H492" s="21" t="str">
        <f t="shared" si="56"/>
        <v>k</v>
      </c>
      <c r="I492" s="22">
        <f t="shared" si="57"/>
        <v>6300</v>
      </c>
      <c r="J492" s="21" t="str">
        <f t="shared" si="58"/>
        <v>m</v>
      </c>
      <c r="K492" s="23">
        <f t="shared" si="59"/>
        <v>1400000</v>
      </c>
      <c r="L492" s="21">
        <v>5.3</v>
      </c>
      <c r="M492" s="22">
        <f t="shared" si="60"/>
        <v>31</v>
      </c>
      <c r="N492" s="23">
        <f t="shared" si="61"/>
        <v>45161.290322580644</v>
      </c>
      <c r="O492" s="23">
        <f t="shared" si="62"/>
        <v>203.2258064516129</v>
      </c>
      <c r="P492" s="23">
        <f t="shared" si="63"/>
        <v>222.22222222222223</v>
      </c>
      <c r="Q492" s="21" t="str">
        <f>IF(ISNA(_xlfn.XLOOKUP(D492,'Same Seller Hist'!H:H,'Same Seller Hist'!H:H)),"Não","Sim")</f>
        <v>Sim</v>
      </c>
      <c r="R492" s="21" t="str">
        <f>_xlfn.IFNA(_xlfn.XLOOKUP(D492,'Same Seller Hist'!D:D,'Same Seller Hist'!M:M),"Não Existe")</f>
        <v>Ativo</v>
      </c>
    </row>
    <row r="493" spans="3:18" x14ac:dyDescent="0.35">
      <c r="C493" s="18">
        <v>45992</v>
      </c>
      <c r="D493" s="5" t="s">
        <v>889</v>
      </c>
      <c r="E493" s="5" t="s">
        <v>969</v>
      </c>
      <c r="F493" s="5" t="s">
        <v>2104</v>
      </c>
      <c r="G493" s="5" t="s">
        <v>2506</v>
      </c>
      <c r="H493" s="21" t="str">
        <f t="shared" si="56"/>
        <v>k</v>
      </c>
      <c r="I493" s="22">
        <f t="shared" si="57"/>
        <v>6300</v>
      </c>
      <c r="J493" s="21" t="str">
        <f t="shared" si="58"/>
        <v>k</v>
      </c>
      <c r="K493" s="23">
        <f t="shared" si="59"/>
        <v>227100</v>
      </c>
      <c r="L493" s="21">
        <v>5.3</v>
      </c>
      <c r="M493" s="22">
        <f t="shared" si="60"/>
        <v>31</v>
      </c>
      <c r="N493" s="23">
        <f t="shared" si="61"/>
        <v>7325.8064516129034</v>
      </c>
      <c r="O493" s="23">
        <f t="shared" si="62"/>
        <v>203.2258064516129</v>
      </c>
      <c r="P493" s="23">
        <f t="shared" si="63"/>
        <v>36.047619047619051</v>
      </c>
      <c r="Q493" s="21" t="str">
        <f>IF(ISNA(_xlfn.XLOOKUP(D493,'Same Seller Hist'!H:H,'Same Seller Hist'!H:H)),"Não","Sim")</f>
        <v>Sim</v>
      </c>
      <c r="R493" s="21" t="str">
        <f>_xlfn.IFNA(_xlfn.XLOOKUP(D493,'Same Seller Hist'!D:D,'Same Seller Hist'!M:M),"Não Existe")</f>
        <v>Ativo</v>
      </c>
    </row>
    <row r="494" spans="3:18" x14ac:dyDescent="0.35">
      <c r="C494" s="18">
        <v>45992</v>
      </c>
      <c r="D494" s="5" t="s">
        <v>265</v>
      </c>
      <c r="E494" s="5" t="s">
        <v>924</v>
      </c>
      <c r="F494" s="5" t="s">
        <v>2104</v>
      </c>
      <c r="G494" s="5" t="s">
        <v>2507</v>
      </c>
      <c r="H494" s="21" t="str">
        <f t="shared" si="56"/>
        <v>k</v>
      </c>
      <c r="I494" s="22">
        <f t="shared" si="57"/>
        <v>6300</v>
      </c>
      <c r="J494" s="21" t="str">
        <f t="shared" si="58"/>
        <v>k</v>
      </c>
      <c r="K494" s="23">
        <f t="shared" si="59"/>
        <v>281700</v>
      </c>
      <c r="L494" s="21">
        <v>5.3</v>
      </c>
      <c r="M494" s="22">
        <f t="shared" si="60"/>
        <v>31</v>
      </c>
      <c r="N494" s="23">
        <f t="shared" si="61"/>
        <v>9087.0967741935492</v>
      </c>
      <c r="O494" s="23">
        <f t="shared" si="62"/>
        <v>203.2258064516129</v>
      </c>
      <c r="P494" s="23">
        <f t="shared" si="63"/>
        <v>44.714285714285722</v>
      </c>
      <c r="Q494" s="21" t="str">
        <f>IF(ISNA(_xlfn.XLOOKUP(D494,'Same Seller Hist'!H:H,'Same Seller Hist'!H:H)),"Não","Sim")</f>
        <v>Sim</v>
      </c>
      <c r="R494" s="21" t="str">
        <f>_xlfn.IFNA(_xlfn.XLOOKUP(D494,'Same Seller Hist'!D:D,'Same Seller Hist'!M:M),"Não Existe")</f>
        <v>Ativo</v>
      </c>
    </row>
    <row r="495" spans="3:18" x14ac:dyDescent="0.35">
      <c r="C495" s="18">
        <v>45992</v>
      </c>
      <c r="D495" s="5" t="s">
        <v>653</v>
      </c>
      <c r="E495" s="5" t="s">
        <v>1914</v>
      </c>
      <c r="F495" s="5" t="s">
        <v>2104</v>
      </c>
      <c r="G495" s="5" t="s">
        <v>2508</v>
      </c>
      <c r="H495" s="21" t="str">
        <f t="shared" si="56"/>
        <v>k</v>
      </c>
      <c r="I495" s="22">
        <f t="shared" si="57"/>
        <v>6300</v>
      </c>
      <c r="J495" s="21" t="str">
        <f t="shared" si="58"/>
        <v>k</v>
      </c>
      <c r="K495" s="23">
        <f t="shared" si="59"/>
        <v>700500</v>
      </c>
      <c r="L495" s="21">
        <v>5.3</v>
      </c>
      <c r="M495" s="22">
        <f t="shared" si="60"/>
        <v>31</v>
      </c>
      <c r="N495" s="23">
        <f t="shared" si="61"/>
        <v>22596.774193548386</v>
      </c>
      <c r="O495" s="23">
        <f t="shared" si="62"/>
        <v>203.2258064516129</v>
      </c>
      <c r="P495" s="23">
        <f t="shared" si="63"/>
        <v>111.19047619047619</v>
      </c>
      <c r="Q495" s="21" t="str">
        <f>IF(ISNA(_xlfn.XLOOKUP(D495,'Same Seller Hist'!H:H,'Same Seller Hist'!H:H)),"Não","Sim")</f>
        <v>Sim</v>
      </c>
      <c r="R495" s="21" t="str">
        <f>_xlfn.IFNA(_xlfn.XLOOKUP(D495,'Same Seller Hist'!D:D,'Same Seller Hist'!M:M),"Não Existe")</f>
        <v>Ativo</v>
      </c>
    </row>
    <row r="496" spans="3:18" x14ac:dyDescent="0.35">
      <c r="C496" s="18">
        <v>45992</v>
      </c>
      <c r="D496" s="5" t="s">
        <v>891</v>
      </c>
      <c r="E496" s="5" t="s">
        <v>910</v>
      </c>
      <c r="F496" s="5" t="s">
        <v>2104</v>
      </c>
      <c r="G496" s="5" t="s">
        <v>2509</v>
      </c>
      <c r="H496" s="21" t="str">
        <f t="shared" si="56"/>
        <v>k</v>
      </c>
      <c r="I496" s="22">
        <f t="shared" si="57"/>
        <v>6300</v>
      </c>
      <c r="J496" s="21" t="str">
        <f t="shared" si="58"/>
        <v>k</v>
      </c>
      <c r="K496" s="23">
        <f t="shared" si="59"/>
        <v>230300</v>
      </c>
      <c r="L496" s="21">
        <v>5.3</v>
      </c>
      <c r="M496" s="22">
        <f t="shared" si="60"/>
        <v>31</v>
      </c>
      <c r="N496" s="23">
        <f t="shared" si="61"/>
        <v>7429.0322580645161</v>
      </c>
      <c r="O496" s="23">
        <f t="shared" si="62"/>
        <v>203.2258064516129</v>
      </c>
      <c r="P496" s="23">
        <f t="shared" si="63"/>
        <v>36.555555555555557</v>
      </c>
      <c r="Q496" s="21" t="str">
        <f>IF(ISNA(_xlfn.XLOOKUP(D496,'Same Seller Hist'!H:H,'Same Seller Hist'!H:H)),"Não","Sim")</f>
        <v>Sim</v>
      </c>
      <c r="R496" s="21" t="str">
        <f>_xlfn.IFNA(_xlfn.XLOOKUP(D496,'Same Seller Hist'!D:D,'Same Seller Hist'!M:M),"Não Existe")</f>
        <v>Ativo</v>
      </c>
    </row>
    <row r="497" spans="3:18" hidden="1" x14ac:dyDescent="0.35">
      <c r="C497" s="18">
        <v>45992</v>
      </c>
      <c r="D497" s="5" t="s">
        <v>1907</v>
      </c>
      <c r="E497" s="5" t="s">
        <v>933</v>
      </c>
      <c r="F497" s="5" t="s">
        <v>2105</v>
      </c>
      <c r="G497" s="5" t="s">
        <v>2510</v>
      </c>
      <c r="H497" s="21" t="str">
        <f t="shared" si="56"/>
        <v>k</v>
      </c>
      <c r="I497" s="22">
        <f t="shared" si="57"/>
        <v>6200</v>
      </c>
      <c r="J497" s="21" t="str">
        <f t="shared" si="58"/>
        <v>k</v>
      </c>
      <c r="K497" s="23">
        <f t="shared" si="59"/>
        <v>435400</v>
      </c>
      <c r="L497" s="21">
        <v>5.3</v>
      </c>
      <c r="M497" s="22">
        <f t="shared" si="60"/>
        <v>31</v>
      </c>
      <c r="N497" s="23">
        <f t="shared" si="61"/>
        <v>14045.161290322581</v>
      </c>
      <c r="O497" s="23">
        <f t="shared" si="62"/>
        <v>200</v>
      </c>
      <c r="P497" s="23">
        <f t="shared" si="63"/>
        <v>70.225806451612911</v>
      </c>
      <c r="Q497" s="21" t="str">
        <f>IF(ISNA(_xlfn.XLOOKUP(D497,'Same Seller Hist'!H:H,'Same Seller Hist'!H:H)),"Não","Sim")</f>
        <v>Não</v>
      </c>
      <c r="R497" s="21" t="str">
        <f>_xlfn.IFNA(_xlfn.XLOOKUP(D497,'Same Seller Hist'!D:D,'Same Seller Hist'!M:M),"Não Existe")</f>
        <v>Não Existe</v>
      </c>
    </row>
    <row r="498" spans="3:18" hidden="1" x14ac:dyDescent="0.35">
      <c r="C498" s="18">
        <v>45992</v>
      </c>
      <c r="D498" s="5" t="s">
        <v>1908</v>
      </c>
      <c r="E498" s="5" t="s">
        <v>913</v>
      </c>
      <c r="F498" s="5" t="s">
        <v>2105</v>
      </c>
      <c r="G498" s="5" t="s">
        <v>2511</v>
      </c>
      <c r="H498" s="21" t="str">
        <f t="shared" si="56"/>
        <v>k</v>
      </c>
      <c r="I498" s="22">
        <f t="shared" si="57"/>
        <v>6200</v>
      </c>
      <c r="J498" s="21" t="str">
        <f t="shared" si="58"/>
        <v>k</v>
      </c>
      <c r="K498" s="23">
        <f t="shared" si="59"/>
        <v>454200</v>
      </c>
      <c r="L498" s="21">
        <v>5.3</v>
      </c>
      <c r="M498" s="22">
        <f t="shared" si="60"/>
        <v>31</v>
      </c>
      <c r="N498" s="23">
        <f t="shared" si="61"/>
        <v>14651.612903225807</v>
      </c>
      <c r="O498" s="23">
        <f t="shared" si="62"/>
        <v>200</v>
      </c>
      <c r="P498" s="23">
        <f t="shared" si="63"/>
        <v>73.258064516129039</v>
      </c>
      <c r="Q498" s="21" t="str">
        <f>IF(ISNA(_xlfn.XLOOKUP(D498,'Same Seller Hist'!H:H,'Same Seller Hist'!H:H)),"Não","Sim")</f>
        <v>Não</v>
      </c>
      <c r="R498" s="21" t="str">
        <f>_xlfn.IFNA(_xlfn.XLOOKUP(D498,'Same Seller Hist'!D:D,'Same Seller Hist'!M:M),"Não Existe")</f>
        <v>Não Existe</v>
      </c>
    </row>
    <row r="499" spans="3:18" x14ac:dyDescent="0.35">
      <c r="C499" s="18">
        <v>45992</v>
      </c>
      <c r="D499" s="5" t="s">
        <v>670</v>
      </c>
      <c r="E499" s="5" t="s">
        <v>928</v>
      </c>
      <c r="F499" s="5" t="s">
        <v>2105</v>
      </c>
      <c r="G499" s="5" t="s">
        <v>2512</v>
      </c>
      <c r="H499" s="21" t="str">
        <f t="shared" si="56"/>
        <v>k</v>
      </c>
      <c r="I499" s="22">
        <f t="shared" si="57"/>
        <v>6200</v>
      </c>
      <c r="J499" s="21" t="str">
        <f t="shared" si="58"/>
        <v>k</v>
      </c>
      <c r="K499" s="23">
        <f t="shared" si="59"/>
        <v>197500</v>
      </c>
      <c r="L499" s="21">
        <v>5.3</v>
      </c>
      <c r="M499" s="22">
        <f t="shared" si="60"/>
        <v>31</v>
      </c>
      <c r="N499" s="23">
        <f t="shared" si="61"/>
        <v>6370.9677419354839</v>
      </c>
      <c r="O499" s="23">
        <f t="shared" si="62"/>
        <v>200</v>
      </c>
      <c r="P499" s="23">
        <f t="shared" si="63"/>
        <v>31.85483870967742</v>
      </c>
      <c r="Q499" s="21" t="str">
        <f>IF(ISNA(_xlfn.XLOOKUP(D499,'Same Seller Hist'!H:H,'Same Seller Hist'!H:H)),"Não","Sim")</f>
        <v>Sim</v>
      </c>
      <c r="R499" s="21" t="str">
        <f>_xlfn.IFNA(_xlfn.XLOOKUP(D499,'Same Seller Hist'!D:D,'Same Seller Hist'!M:M),"Não Existe")</f>
        <v>Ativo</v>
      </c>
    </row>
    <row r="500" spans="3:18" hidden="1" x14ac:dyDescent="0.35">
      <c r="C500" s="18">
        <v>45992</v>
      </c>
      <c r="D500" s="5" t="s">
        <v>1909</v>
      </c>
      <c r="E500" s="5" t="s">
        <v>926</v>
      </c>
      <c r="F500" s="5" t="s">
        <v>2105</v>
      </c>
      <c r="G500" s="5" t="s">
        <v>2513</v>
      </c>
      <c r="H500" s="21" t="str">
        <f t="shared" si="56"/>
        <v>k</v>
      </c>
      <c r="I500" s="22">
        <f t="shared" si="57"/>
        <v>6200</v>
      </c>
      <c r="J500" s="21" t="str">
        <f t="shared" si="58"/>
        <v>k</v>
      </c>
      <c r="K500" s="23">
        <f t="shared" si="59"/>
        <v>595900</v>
      </c>
      <c r="L500" s="21">
        <v>5.3</v>
      </c>
      <c r="M500" s="22">
        <f t="shared" si="60"/>
        <v>31</v>
      </c>
      <c r="N500" s="23">
        <f t="shared" si="61"/>
        <v>19222.580645161292</v>
      </c>
      <c r="O500" s="23">
        <f t="shared" si="62"/>
        <v>200</v>
      </c>
      <c r="P500" s="23">
        <f t="shared" si="63"/>
        <v>96.112903225806463</v>
      </c>
      <c r="Q500" s="21" t="str">
        <f>IF(ISNA(_xlfn.XLOOKUP(D500,'Same Seller Hist'!H:H,'Same Seller Hist'!H:H)),"Não","Sim")</f>
        <v>Não</v>
      </c>
      <c r="R500" s="21" t="str">
        <f>_xlfn.IFNA(_xlfn.XLOOKUP(D500,'Same Seller Hist'!D:D,'Same Seller Hist'!M:M),"Não Existe")</f>
        <v>Não Existe</v>
      </c>
    </row>
    <row r="501" spans="3:18" hidden="1" x14ac:dyDescent="0.35">
      <c r="C501" s="18">
        <v>45992</v>
      </c>
      <c r="D501" s="5" t="s">
        <v>1910</v>
      </c>
      <c r="E501" s="5" t="s">
        <v>910</v>
      </c>
      <c r="F501" s="5" t="s">
        <v>2105</v>
      </c>
      <c r="G501" s="5" t="s">
        <v>2514</v>
      </c>
      <c r="H501" s="21" t="str">
        <f t="shared" si="56"/>
        <v>k</v>
      </c>
      <c r="I501" s="22">
        <f t="shared" si="57"/>
        <v>6200</v>
      </c>
      <c r="J501" s="21" t="str">
        <f t="shared" si="58"/>
        <v>k</v>
      </c>
      <c r="K501" s="23">
        <f t="shared" si="59"/>
        <v>258700</v>
      </c>
      <c r="L501" s="21">
        <v>5.3</v>
      </c>
      <c r="M501" s="22">
        <f t="shared" si="60"/>
        <v>31</v>
      </c>
      <c r="N501" s="23">
        <f t="shared" si="61"/>
        <v>8345.1612903225814</v>
      </c>
      <c r="O501" s="23">
        <f t="shared" si="62"/>
        <v>200</v>
      </c>
      <c r="P501" s="23">
        <f t="shared" si="63"/>
        <v>41.725806451612904</v>
      </c>
      <c r="Q501" s="21" t="str">
        <f>IF(ISNA(_xlfn.XLOOKUP(D501,'Same Seller Hist'!H:H,'Same Seller Hist'!H:H)),"Não","Sim")</f>
        <v>Não</v>
      </c>
      <c r="R501" s="21" t="str">
        <f>_xlfn.IFNA(_xlfn.XLOOKUP(D501,'Same Seller Hist'!D:D,'Same Seller Hist'!M:M),"Não Existe")</f>
        <v>Não Existe</v>
      </c>
    </row>
    <row r="502" spans="3:18" x14ac:dyDescent="0.35">
      <c r="C502" s="18">
        <v>45992</v>
      </c>
      <c r="D502" s="5" t="s">
        <v>247</v>
      </c>
      <c r="E502" s="5" t="s">
        <v>964</v>
      </c>
      <c r="F502" s="5" t="s">
        <v>2105</v>
      </c>
      <c r="G502" s="5" t="s">
        <v>2515</v>
      </c>
      <c r="H502" s="21" t="str">
        <f t="shared" si="56"/>
        <v>k</v>
      </c>
      <c r="I502" s="22">
        <f t="shared" si="57"/>
        <v>6200</v>
      </c>
      <c r="J502" s="21" t="str">
        <f t="shared" si="58"/>
        <v>k</v>
      </c>
      <c r="K502" s="23">
        <f t="shared" si="59"/>
        <v>114000</v>
      </c>
      <c r="L502" s="21">
        <v>5.3</v>
      </c>
      <c r="M502" s="22">
        <f t="shared" si="60"/>
        <v>31</v>
      </c>
      <c r="N502" s="23">
        <f t="shared" si="61"/>
        <v>3677.4193548387098</v>
      </c>
      <c r="O502" s="23">
        <f t="shared" si="62"/>
        <v>200</v>
      </c>
      <c r="P502" s="23">
        <f t="shared" si="63"/>
        <v>18.387096774193548</v>
      </c>
      <c r="Q502" s="21" t="str">
        <f>IF(ISNA(_xlfn.XLOOKUP(D502,'Same Seller Hist'!H:H,'Same Seller Hist'!H:H)),"Não","Sim")</f>
        <v>Sim</v>
      </c>
      <c r="R502" s="21" t="str">
        <f>_xlfn.IFNA(_xlfn.XLOOKUP(D502,'Same Seller Hist'!D:D,'Same Seller Hist'!M:M),"Não Existe")</f>
        <v>Ativo</v>
      </c>
    </row>
    <row r="503" spans="3:18" hidden="1" x14ac:dyDescent="0.35">
      <c r="C503" s="18">
        <v>45992</v>
      </c>
      <c r="D503" s="5" t="s">
        <v>422</v>
      </c>
      <c r="E503" s="5" t="s">
        <v>913</v>
      </c>
      <c r="F503" s="5" t="s">
        <v>2105</v>
      </c>
      <c r="G503" s="5" t="s">
        <v>2516</v>
      </c>
      <c r="H503" s="21" t="str">
        <f t="shared" si="56"/>
        <v>k</v>
      </c>
      <c r="I503" s="22">
        <f t="shared" si="57"/>
        <v>6200</v>
      </c>
      <c r="J503" s="21" t="str">
        <f t="shared" si="58"/>
        <v>k</v>
      </c>
      <c r="K503" s="23">
        <f t="shared" si="59"/>
        <v>394800</v>
      </c>
      <c r="L503" s="21">
        <v>5.3</v>
      </c>
      <c r="M503" s="22">
        <f t="shared" si="60"/>
        <v>31</v>
      </c>
      <c r="N503" s="23">
        <f t="shared" si="61"/>
        <v>12735.483870967742</v>
      </c>
      <c r="O503" s="23">
        <f t="shared" si="62"/>
        <v>200</v>
      </c>
      <c r="P503" s="23">
        <f t="shared" si="63"/>
        <v>63.677419354838712</v>
      </c>
      <c r="Q503" s="21" t="str">
        <f>IF(ISNA(_xlfn.XLOOKUP(D503,'Same Seller Hist'!H:H,'Same Seller Hist'!H:H)),"Não","Sim")</f>
        <v>Não</v>
      </c>
      <c r="R503" s="21" t="str">
        <f>_xlfn.IFNA(_xlfn.XLOOKUP(D503,'Same Seller Hist'!D:D,'Same Seller Hist'!M:M),"Não Existe")</f>
        <v>Ativo</v>
      </c>
    </row>
    <row r="504" spans="3:18" hidden="1" x14ac:dyDescent="0.35">
      <c r="C504" s="18">
        <v>45992</v>
      </c>
      <c r="D504" s="5" t="s">
        <v>1911</v>
      </c>
      <c r="E504" s="5" t="s">
        <v>908</v>
      </c>
      <c r="F504" s="5" t="s">
        <v>2105</v>
      </c>
      <c r="G504" s="5" t="s">
        <v>2517</v>
      </c>
      <c r="H504" s="21" t="str">
        <f t="shared" si="56"/>
        <v>k</v>
      </c>
      <c r="I504" s="22">
        <f t="shared" si="57"/>
        <v>6200</v>
      </c>
      <c r="J504" s="21" t="str">
        <f t="shared" si="58"/>
        <v>k</v>
      </c>
      <c r="K504" s="23">
        <f t="shared" si="59"/>
        <v>173500</v>
      </c>
      <c r="L504" s="21">
        <v>5.3</v>
      </c>
      <c r="M504" s="22">
        <f t="shared" si="60"/>
        <v>31</v>
      </c>
      <c r="N504" s="23">
        <f t="shared" si="61"/>
        <v>5596.7741935483873</v>
      </c>
      <c r="O504" s="23">
        <f t="shared" si="62"/>
        <v>200</v>
      </c>
      <c r="P504" s="23">
        <f t="shared" si="63"/>
        <v>27.983870967741936</v>
      </c>
      <c r="Q504" s="21" t="str">
        <f>IF(ISNA(_xlfn.XLOOKUP(D504,'Same Seller Hist'!H:H,'Same Seller Hist'!H:H)),"Não","Sim")</f>
        <v>Não</v>
      </c>
      <c r="R504" s="21" t="str">
        <f>_xlfn.IFNA(_xlfn.XLOOKUP(D504,'Same Seller Hist'!D:D,'Same Seller Hist'!M:M),"Não Existe")</f>
        <v>Não Existe</v>
      </c>
    </row>
    <row r="505" spans="3:18" hidden="1" x14ac:dyDescent="0.35">
      <c r="C505" s="18">
        <v>45992</v>
      </c>
      <c r="D505" s="5" t="s">
        <v>1912</v>
      </c>
      <c r="E505" s="5" t="s">
        <v>933</v>
      </c>
      <c r="F505" s="5" t="s">
        <v>2105</v>
      </c>
      <c r="G505" s="5" t="s">
        <v>2518</v>
      </c>
      <c r="H505" s="21" t="str">
        <f t="shared" si="56"/>
        <v>k</v>
      </c>
      <c r="I505" s="22">
        <f t="shared" si="57"/>
        <v>6200</v>
      </c>
      <c r="J505" s="21" t="str">
        <f t="shared" si="58"/>
        <v>k</v>
      </c>
      <c r="K505" s="23">
        <f t="shared" si="59"/>
        <v>275700</v>
      </c>
      <c r="L505" s="21">
        <v>5.3</v>
      </c>
      <c r="M505" s="22">
        <f t="shared" si="60"/>
        <v>31</v>
      </c>
      <c r="N505" s="23">
        <f t="shared" si="61"/>
        <v>8893.5483870967746</v>
      </c>
      <c r="O505" s="23">
        <f t="shared" si="62"/>
        <v>200</v>
      </c>
      <c r="P505" s="23">
        <f t="shared" si="63"/>
        <v>44.467741935483872</v>
      </c>
      <c r="Q505" s="21" t="str">
        <f>IF(ISNA(_xlfn.XLOOKUP(D505,'Same Seller Hist'!H:H,'Same Seller Hist'!H:H)),"Não","Sim")</f>
        <v>Não</v>
      </c>
      <c r="R505" s="21" t="str">
        <f>_xlfn.IFNA(_xlfn.XLOOKUP(D505,'Same Seller Hist'!D:D,'Same Seller Hist'!M:M),"Não Existe")</f>
        <v>Não Existe</v>
      </c>
    </row>
    <row r="506" spans="3:18" hidden="1" x14ac:dyDescent="0.35">
      <c r="C506" s="18">
        <v>45992</v>
      </c>
      <c r="D506" s="5" t="s">
        <v>1913</v>
      </c>
      <c r="E506" s="5" t="s">
        <v>908</v>
      </c>
      <c r="F506" s="5" t="s">
        <v>2105</v>
      </c>
      <c r="G506" s="5" t="s">
        <v>2519</v>
      </c>
      <c r="H506" s="21" t="str">
        <f t="shared" si="56"/>
        <v>k</v>
      </c>
      <c r="I506" s="22">
        <f t="shared" si="57"/>
        <v>6200</v>
      </c>
      <c r="J506" s="21" t="str">
        <f t="shared" si="58"/>
        <v>k</v>
      </c>
      <c r="K506" s="23">
        <f t="shared" si="59"/>
        <v>466400</v>
      </c>
      <c r="L506" s="21">
        <v>5.3</v>
      </c>
      <c r="M506" s="22">
        <f t="shared" si="60"/>
        <v>31</v>
      </c>
      <c r="N506" s="23">
        <f t="shared" si="61"/>
        <v>15045.161290322581</v>
      </c>
      <c r="O506" s="23">
        <f t="shared" si="62"/>
        <v>200</v>
      </c>
      <c r="P506" s="23">
        <f t="shared" si="63"/>
        <v>75.225806451612911</v>
      </c>
      <c r="Q506" s="21" t="str">
        <f>IF(ISNA(_xlfn.XLOOKUP(D506,'Same Seller Hist'!H:H,'Same Seller Hist'!H:H)),"Não","Sim")</f>
        <v>Não</v>
      </c>
      <c r="R506" s="21" t="str">
        <f>_xlfn.IFNA(_xlfn.XLOOKUP(D506,'Same Seller Hist'!D:D,'Same Seller Hist'!M:M),"Não Existe")</f>
        <v>Não Existe</v>
      </c>
    </row>
    <row r="507" spans="3:18" x14ac:dyDescent="0.35">
      <c r="C507" s="18">
        <v>45992</v>
      </c>
      <c r="D507" s="5" t="s">
        <v>564</v>
      </c>
      <c r="E507" s="5" t="s">
        <v>908</v>
      </c>
      <c r="F507" s="5" t="s">
        <v>2105</v>
      </c>
      <c r="G507" s="5" t="s">
        <v>2520</v>
      </c>
      <c r="H507" s="21" t="str">
        <f t="shared" si="56"/>
        <v>k</v>
      </c>
      <c r="I507" s="22">
        <f t="shared" si="57"/>
        <v>6200</v>
      </c>
      <c r="J507" s="21" t="str">
        <f t="shared" si="58"/>
        <v>k</v>
      </c>
      <c r="K507" s="23">
        <f t="shared" si="59"/>
        <v>234400</v>
      </c>
      <c r="L507" s="21">
        <v>5.3</v>
      </c>
      <c r="M507" s="22">
        <f t="shared" si="60"/>
        <v>31</v>
      </c>
      <c r="N507" s="23">
        <f t="shared" si="61"/>
        <v>7561.2903225806449</v>
      </c>
      <c r="O507" s="23">
        <f>I507/M507</f>
        <v>200</v>
      </c>
      <c r="P507" s="23">
        <f t="shared" si="63"/>
        <v>37.806451612903224</v>
      </c>
      <c r="Q507" s="21" t="str">
        <f>IF(ISNA(_xlfn.XLOOKUP(D507,'Same Seller Hist'!H:H,'Same Seller Hist'!H:H)),"Não","Sim")</f>
        <v>Sim</v>
      </c>
      <c r="R507" s="21" t="str">
        <f>_xlfn.IFNA(_xlfn.XLOOKUP(D507,'Same Seller Hist'!D:D,'Same Seller Hist'!M:M),"Não Existe")</f>
        <v>Ativo</v>
      </c>
    </row>
  </sheetData>
  <autoFilter ref="C7:R507" xr:uid="{B1742C92-A749-49A6-B7B7-98CD14BDE304}">
    <filterColumn colId="14">
      <filters>
        <filter val="Sim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4751A-893E-425E-9C9D-0ACAE461D810}">
  <sheetPr>
    <tabColor theme="5" tint="0.79998168889431442"/>
  </sheetPr>
  <dimension ref="B1:M1051"/>
  <sheetViews>
    <sheetView zoomScale="70" zoomScaleNormal="70" workbookViewId="0">
      <selection activeCell="D18" sqref="D18"/>
    </sheetView>
  </sheetViews>
  <sheetFormatPr defaultRowHeight="14.5" x14ac:dyDescent="0.35"/>
  <cols>
    <col min="1" max="2" width="2.6328125" customWidth="1"/>
    <col min="3" max="8" width="13.6328125" customWidth="1"/>
    <col min="9" max="9" width="22.6328125" bestFit="1" customWidth="1"/>
    <col min="10" max="13" width="13.6328125" customWidth="1"/>
  </cols>
  <sheetData>
    <row r="1" spans="2:13" s="1" customFormat="1" x14ac:dyDescent="0.35"/>
    <row r="2" spans="2:13" s="1" customFormat="1" x14ac:dyDescent="0.35"/>
    <row r="3" spans="2:13" s="1" customFormat="1" ht="21" x14ac:dyDescent="0.5">
      <c r="B3" s="4" t="s">
        <v>14</v>
      </c>
    </row>
    <row r="4" spans="2:13" s="1" customFormat="1" x14ac:dyDescent="0.35"/>
    <row r="5" spans="2:13" s="2" customFormat="1" x14ac:dyDescent="0.35"/>
    <row r="7" spans="2:13" x14ac:dyDescent="0.35">
      <c r="C7" s="3" t="s">
        <v>0</v>
      </c>
      <c r="D7" s="3" t="s">
        <v>1</v>
      </c>
      <c r="E7" s="3" t="s">
        <v>2</v>
      </c>
      <c r="F7" s="3" t="s">
        <v>3</v>
      </c>
      <c r="G7" s="3" t="s">
        <v>4</v>
      </c>
      <c r="H7" s="3" t="s">
        <v>5</v>
      </c>
      <c r="I7" s="3" t="s">
        <v>6</v>
      </c>
      <c r="J7" s="3" t="s">
        <v>7</v>
      </c>
      <c r="K7" s="3" t="s">
        <v>8</v>
      </c>
      <c r="L7" s="3" t="s">
        <v>10</v>
      </c>
      <c r="M7" s="3" t="s">
        <v>34</v>
      </c>
    </row>
    <row r="8" spans="2:13" x14ac:dyDescent="0.35">
      <c r="C8" s="5"/>
      <c r="D8" s="5" t="s">
        <v>48</v>
      </c>
      <c r="E8" s="5">
        <v>1001582190</v>
      </c>
      <c r="F8" s="5" t="s">
        <v>903</v>
      </c>
      <c r="G8" s="5"/>
      <c r="H8" s="5" t="s">
        <v>48</v>
      </c>
      <c r="I8" s="17">
        <v>7.4961845452090501E+18</v>
      </c>
      <c r="J8" s="5" t="s">
        <v>908</v>
      </c>
      <c r="K8" s="5"/>
      <c r="L8" s="5" t="s">
        <v>909</v>
      </c>
      <c r="M8" s="5" t="s">
        <v>1276</v>
      </c>
    </row>
    <row r="9" spans="2:13" x14ac:dyDescent="0.35">
      <c r="C9" s="5"/>
      <c r="D9" s="5" t="s">
        <v>49</v>
      </c>
      <c r="E9" s="5">
        <v>1005980154</v>
      </c>
      <c r="F9" s="5" t="s">
        <v>904</v>
      </c>
      <c r="G9" s="5"/>
      <c r="H9" s="5" t="s">
        <v>49</v>
      </c>
      <c r="I9" s="17">
        <v>7.4941692853928202E+18</v>
      </c>
      <c r="J9" s="5"/>
      <c r="K9" s="5"/>
      <c r="L9" s="5"/>
      <c r="M9" s="5" t="s">
        <v>1276</v>
      </c>
    </row>
    <row r="10" spans="2:13" x14ac:dyDescent="0.35">
      <c r="C10" s="5"/>
      <c r="D10" s="5" t="s">
        <v>50</v>
      </c>
      <c r="E10" s="5">
        <v>1006863047</v>
      </c>
      <c r="F10" s="5" t="s">
        <v>905</v>
      </c>
      <c r="G10" s="5"/>
      <c r="H10" s="5" t="s">
        <v>50</v>
      </c>
      <c r="I10" s="17">
        <v>7.4962673501888502E+18</v>
      </c>
      <c r="J10" s="5" t="s">
        <v>910</v>
      </c>
      <c r="K10" s="5"/>
      <c r="L10" s="5"/>
      <c r="M10" s="5" t="s">
        <v>1276</v>
      </c>
    </row>
    <row r="11" spans="2:13" x14ac:dyDescent="0.35">
      <c r="C11" s="5"/>
      <c r="D11" s="5" t="s">
        <v>51</v>
      </c>
      <c r="E11" s="5">
        <v>1007355416</v>
      </c>
      <c r="F11" s="5" t="s">
        <v>905</v>
      </c>
      <c r="G11" s="5"/>
      <c r="H11" s="5" t="s">
        <v>51</v>
      </c>
      <c r="I11" s="17">
        <v>7.4961704164607601E+18</v>
      </c>
      <c r="J11" s="5" t="s">
        <v>911</v>
      </c>
      <c r="K11" s="5"/>
      <c r="L11" s="5" t="s">
        <v>912</v>
      </c>
      <c r="M11" s="5" t="s">
        <v>1276</v>
      </c>
    </row>
    <row r="12" spans="2:13" x14ac:dyDescent="0.35">
      <c r="C12" s="5"/>
      <c r="D12" s="5" t="s">
        <v>52</v>
      </c>
      <c r="E12" s="5">
        <v>1008814366</v>
      </c>
      <c r="F12" s="5" t="s">
        <v>906</v>
      </c>
      <c r="G12" s="5"/>
      <c r="H12" s="5" t="s">
        <v>52</v>
      </c>
      <c r="I12" s="17">
        <v>7.4962521680809503E+18</v>
      </c>
      <c r="J12" s="5"/>
      <c r="K12" s="5"/>
      <c r="L12" s="5"/>
      <c r="M12" s="5" t="s">
        <v>1276</v>
      </c>
    </row>
    <row r="13" spans="2:13" x14ac:dyDescent="0.35">
      <c r="C13" s="5"/>
      <c r="D13" s="5" t="s">
        <v>53</v>
      </c>
      <c r="E13" s="5">
        <v>1013290785</v>
      </c>
      <c r="F13" s="5" t="s">
        <v>903</v>
      </c>
      <c r="G13" s="5"/>
      <c r="H13" s="5" t="s">
        <v>53</v>
      </c>
      <c r="I13" s="17">
        <v>7.4961473358216202E+18</v>
      </c>
      <c r="J13" s="5" t="s">
        <v>913</v>
      </c>
      <c r="K13" s="5"/>
      <c r="L13" s="5" t="s">
        <v>914</v>
      </c>
      <c r="M13" s="5" t="s">
        <v>1276</v>
      </c>
    </row>
    <row r="14" spans="2:13" x14ac:dyDescent="0.35">
      <c r="C14" s="5"/>
      <c r="D14" s="5" t="s">
        <v>54</v>
      </c>
      <c r="E14" s="5">
        <v>1017564998</v>
      </c>
      <c r="F14" s="5" t="s">
        <v>905</v>
      </c>
      <c r="G14" s="5"/>
      <c r="H14" s="5" t="s">
        <v>54</v>
      </c>
      <c r="I14" s="17">
        <v>7.49615188358912E+18</v>
      </c>
      <c r="J14" s="5" t="s">
        <v>913</v>
      </c>
      <c r="K14" s="5"/>
      <c r="L14" s="5" t="s">
        <v>915</v>
      </c>
      <c r="M14" s="5" t="s">
        <v>1276</v>
      </c>
    </row>
    <row r="15" spans="2:13" x14ac:dyDescent="0.35">
      <c r="C15" s="5"/>
      <c r="D15" s="5" t="s">
        <v>55</v>
      </c>
      <c r="E15" s="5">
        <v>1021128939</v>
      </c>
      <c r="F15" s="5" t="s">
        <v>905</v>
      </c>
      <c r="G15" s="5"/>
      <c r="H15" s="5" t="s">
        <v>55</v>
      </c>
      <c r="I15" s="17">
        <v>7.4961622731198597E+18</v>
      </c>
      <c r="J15" s="5" t="s">
        <v>916</v>
      </c>
      <c r="K15" s="5"/>
      <c r="L15" s="5" t="s">
        <v>917</v>
      </c>
      <c r="M15" s="5" t="s">
        <v>1276</v>
      </c>
    </row>
    <row r="16" spans="2:13" x14ac:dyDescent="0.35">
      <c r="C16" s="5"/>
      <c r="D16" s="5" t="s">
        <v>56</v>
      </c>
      <c r="E16" s="5">
        <v>1023687587</v>
      </c>
      <c r="F16" s="5" t="s">
        <v>905</v>
      </c>
      <c r="G16" s="5"/>
      <c r="H16" s="5"/>
      <c r="I16" s="17"/>
      <c r="J16" s="5"/>
      <c r="K16" s="5"/>
      <c r="L16" s="5"/>
      <c r="M16" s="5" t="s">
        <v>1276</v>
      </c>
    </row>
    <row r="17" spans="3:13" x14ac:dyDescent="0.35">
      <c r="C17" s="5"/>
      <c r="D17" s="5" t="s">
        <v>57</v>
      </c>
      <c r="E17" s="5">
        <v>1023760886</v>
      </c>
      <c r="F17" s="5" t="s">
        <v>906</v>
      </c>
      <c r="G17" s="5"/>
      <c r="H17" s="5" t="s">
        <v>57</v>
      </c>
      <c r="I17" s="17">
        <v>7.4961864186406195E+18</v>
      </c>
      <c r="J17" s="5"/>
      <c r="K17" s="5"/>
      <c r="L17" s="5"/>
      <c r="M17" s="5" t="s">
        <v>1276</v>
      </c>
    </row>
    <row r="18" spans="3:13" x14ac:dyDescent="0.35">
      <c r="C18" s="5"/>
      <c r="D18" s="5" t="s">
        <v>58</v>
      </c>
      <c r="E18" s="5">
        <v>1024716569</v>
      </c>
      <c r="F18" s="5" t="s">
        <v>905</v>
      </c>
      <c r="G18" s="5"/>
      <c r="H18" s="5" t="s">
        <v>58</v>
      </c>
      <c r="I18" s="17">
        <v>7.4961622804454103E+18</v>
      </c>
      <c r="J18" s="5" t="s">
        <v>911</v>
      </c>
      <c r="K18" s="5"/>
      <c r="L18" s="5"/>
      <c r="M18" s="5" t="s">
        <v>1276</v>
      </c>
    </row>
    <row r="19" spans="3:13" x14ac:dyDescent="0.35">
      <c r="C19" s="5"/>
      <c r="D19" s="5" t="s">
        <v>59</v>
      </c>
      <c r="E19" s="5">
        <v>1024736570</v>
      </c>
      <c r="F19" s="5" t="s">
        <v>906</v>
      </c>
      <c r="G19" s="5"/>
      <c r="H19" s="5"/>
      <c r="I19" s="17"/>
      <c r="J19" s="5"/>
      <c r="K19" s="5"/>
      <c r="L19" s="5"/>
      <c r="M19" s="5" t="s">
        <v>1276</v>
      </c>
    </row>
    <row r="20" spans="3:13" x14ac:dyDescent="0.35">
      <c r="C20" s="5"/>
      <c r="D20" s="5" t="s">
        <v>60</v>
      </c>
      <c r="E20" s="5">
        <v>1025824477</v>
      </c>
      <c r="F20" s="5" t="s">
        <v>906</v>
      </c>
      <c r="G20" s="5"/>
      <c r="H20" s="5" t="s">
        <v>60</v>
      </c>
      <c r="I20" s="17">
        <v>7.4941815193772698E+18</v>
      </c>
      <c r="J20" s="5"/>
      <c r="K20" s="5"/>
      <c r="L20" s="5"/>
      <c r="M20" s="5" t="s">
        <v>1276</v>
      </c>
    </row>
    <row r="21" spans="3:13" x14ac:dyDescent="0.35">
      <c r="C21" s="5"/>
      <c r="D21" s="5" t="s">
        <v>61</v>
      </c>
      <c r="E21" s="5">
        <v>1026823241</v>
      </c>
      <c r="F21" s="5" t="s">
        <v>903</v>
      </c>
      <c r="G21" s="5"/>
      <c r="H21" s="5" t="s">
        <v>61</v>
      </c>
      <c r="I21" s="17">
        <v>7.4961823156805601E+18</v>
      </c>
      <c r="J21" s="5" t="s">
        <v>910</v>
      </c>
      <c r="K21" s="5"/>
      <c r="L21" s="5"/>
      <c r="M21" s="5" t="s">
        <v>1276</v>
      </c>
    </row>
    <row r="22" spans="3:13" x14ac:dyDescent="0.35">
      <c r="C22" s="5"/>
      <c r="D22" s="5" t="s">
        <v>62</v>
      </c>
      <c r="E22" s="5">
        <v>1028102891</v>
      </c>
      <c r="F22" s="5" t="s">
        <v>906</v>
      </c>
      <c r="G22" s="5"/>
      <c r="H22" s="5" t="s">
        <v>62</v>
      </c>
      <c r="I22" s="17">
        <v>7.4961829743372196E+18</v>
      </c>
      <c r="J22" s="5" t="s">
        <v>920</v>
      </c>
      <c r="K22" s="5"/>
      <c r="L22" s="5" t="s">
        <v>921</v>
      </c>
      <c r="M22" s="5" t="s">
        <v>1276</v>
      </c>
    </row>
    <row r="23" spans="3:13" x14ac:dyDescent="0.35">
      <c r="C23" s="5"/>
      <c r="D23" s="5" t="s">
        <v>63</v>
      </c>
      <c r="E23" s="5">
        <v>1031674406</v>
      </c>
      <c r="F23" s="5" t="s">
        <v>906</v>
      </c>
      <c r="G23" s="5"/>
      <c r="H23" s="5" t="s">
        <v>63</v>
      </c>
      <c r="I23" s="17">
        <v>7.4961820640419799E+18</v>
      </c>
      <c r="J23" s="5" t="s">
        <v>922</v>
      </c>
      <c r="K23" s="5"/>
      <c r="L23" s="5" t="s">
        <v>923</v>
      </c>
      <c r="M23" s="5" t="s">
        <v>1276</v>
      </c>
    </row>
    <row r="24" spans="3:13" x14ac:dyDescent="0.35">
      <c r="C24" s="5"/>
      <c r="D24" s="5" t="s">
        <v>64</v>
      </c>
      <c r="E24" s="5">
        <v>1033200887</v>
      </c>
      <c r="F24" s="5" t="s">
        <v>904</v>
      </c>
      <c r="G24" s="5"/>
      <c r="H24" s="5" t="s">
        <v>64</v>
      </c>
      <c r="I24" s="17">
        <v>7.4961891869603604E+18</v>
      </c>
      <c r="J24" s="5" t="s">
        <v>924</v>
      </c>
      <c r="K24" s="5"/>
      <c r="L24" s="5" t="s">
        <v>925</v>
      </c>
      <c r="M24" s="5" t="s">
        <v>1276</v>
      </c>
    </row>
    <row r="25" spans="3:13" x14ac:dyDescent="0.35">
      <c r="C25" s="5"/>
      <c r="D25" s="5" t="s">
        <v>65</v>
      </c>
      <c r="E25" s="5">
        <v>1033200887</v>
      </c>
      <c r="F25" s="5" t="s">
        <v>904</v>
      </c>
      <c r="G25" s="5"/>
      <c r="H25" s="5" t="s">
        <v>64</v>
      </c>
      <c r="I25" s="17">
        <v>7.4961891869603604E+18</v>
      </c>
      <c r="J25" s="5" t="s">
        <v>924</v>
      </c>
      <c r="K25" s="5"/>
      <c r="L25" s="5" t="s">
        <v>925</v>
      </c>
      <c r="M25" s="5" t="s">
        <v>1276</v>
      </c>
    </row>
    <row r="26" spans="3:13" x14ac:dyDescent="0.35">
      <c r="C26" s="5"/>
      <c r="D26" s="5" t="s">
        <v>66</v>
      </c>
      <c r="E26" s="5">
        <v>1033215079</v>
      </c>
      <c r="F26" s="5" t="s">
        <v>904</v>
      </c>
      <c r="G26" s="5"/>
      <c r="H26" s="5" t="s">
        <v>66</v>
      </c>
      <c r="I26" s="17">
        <v>7.4961622046494904E+18</v>
      </c>
      <c r="J26" s="5" t="s">
        <v>926</v>
      </c>
      <c r="K26" s="5"/>
      <c r="L26" s="5" t="s">
        <v>927</v>
      </c>
      <c r="M26" s="5" t="s">
        <v>1276</v>
      </c>
    </row>
    <row r="27" spans="3:13" x14ac:dyDescent="0.35">
      <c r="C27" s="5"/>
      <c r="D27" s="5" t="s">
        <v>67</v>
      </c>
      <c r="E27" s="5">
        <v>1036672206</v>
      </c>
      <c r="F27" s="5" t="s">
        <v>904</v>
      </c>
      <c r="G27" s="5"/>
      <c r="H27" s="5" t="s">
        <v>67</v>
      </c>
      <c r="I27" s="17">
        <v>7.4961633803139502E+18</v>
      </c>
      <c r="J27" s="5" t="s">
        <v>926</v>
      </c>
      <c r="K27" s="5"/>
      <c r="L27" s="5"/>
      <c r="M27" s="5" t="s">
        <v>1276</v>
      </c>
    </row>
    <row r="28" spans="3:13" x14ac:dyDescent="0.35">
      <c r="C28" s="5"/>
      <c r="D28" s="5" t="s">
        <v>68</v>
      </c>
      <c r="E28" s="5">
        <v>1040937017</v>
      </c>
      <c r="F28" s="5" t="s">
        <v>905</v>
      </c>
      <c r="G28" s="5"/>
      <c r="H28" s="5" t="s">
        <v>68</v>
      </c>
      <c r="I28" s="17">
        <v>7.4962024087803996E+18</v>
      </c>
      <c r="J28" s="5" t="s">
        <v>928</v>
      </c>
      <c r="K28" s="5"/>
      <c r="L28" s="5" t="s">
        <v>929</v>
      </c>
      <c r="M28" s="5" t="s">
        <v>1276</v>
      </c>
    </row>
    <row r="29" spans="3:13" x14ac:dyDescent="0.35">
      <c r="C29" s="5"/>
      <c r="D29" s="5" t="s">
        <v>69</v>
      </c>
      <c r="E29" s="5">
        <v>1041517511</v>
      </c>
      <c r="F29" s="5" t="s">
        <v>904</v>
      </c>
      <c r="G29" s="5"/>
      <c r="H29" s="5" t="s">
        <v>69</v>
      </c>
      <c r="I29" s="17">
        <v>7.4961600500250399E+18</v>
      </c>
      <c r="J29" s="5" t="s">
        <v>911</v>
      </c>
      <c r="K29" s="5"/>
      <c r="L29" s="5" t="s">
        <v>930</v>
      </c>
      <c r="M29" s="5" t="s">
        <v>1276</v>
      </c>
    </row>
    <row r="30" spans="3:13" x14ac:dyDescent="0.35">
      <c r="C30" s="5"/>
      <c r="D30" s="5" t="s">
        <v>70</v>
      </c>
      <c r="E30" s="5">
        <v>1044608462</v>
      </c>
      <c r="F30" s="5" t="s">
        <v>905</v>
      </c>
      <c r="G30" s="5"/>
      <c r="H30" s="5" t="s">
        <v>70</v>
      </c>
      <c r="I30" s="17">
        <v>7.4961820512254996E+18</v>
      </c>
      <c r="J30" s="5"/>
      <c r="K30" s="5"/>
      <c r="L30" s="5"/>
      <c r="M30" s="5" t="s">
        <v>1276</v>
      </c>
    </row>
    <row r="31" spans="3:13" x14ac:dyDescent="0.35">
      <c r="C31" s="5"/>
      <c r="D31" s="5" t="s">
        <v>71</v>
      </c>
      <c r="E31" s="5">
        <v>1045085918</v>
      </c>
      <c r="F31" s="5" t="s">
        <v>906</v>
      </c>
      <c r="G31" s="5"/>
      <c r="H31" s="5" t="s">
        <v>60</v>
      </c>
      <c r="I31" s="17">
        <v>7.4941815193772698E+18</v>
      </c>
      <c r="J31" s="5"/>
      <c r="K31" s="5"/>
      <c r="L31" s="5"/>
      <c r="M31" s="5" t="s">
        <v>1276</v>
      </c>
    </row>
    <row r="32" spans="3:13" x14ac:dyDescent="0.35">
      <c r="C32" s="5"/>
      <c r="D32" s="5" t="s">
        <v>72</v>
      </c>
      <c r="E32" s="5">
        <v>1045708943</v>
      </c>
      <c r="F32" s="5" t="s">
        <v>905</v>
      </c>
      <c r="G32" s="5"/>
      <c r="H32" s="5" t="s">
        <v>72</v>
      </c>
      <c r="I32" s="17">
        <v>7.4962100614588303E+18</v>
      </c>
      <c r="J32" s="5" t="s">
        <v>931</v>
      </c>
      <c r="K32" s="5"/>
      <c r="L32" s="5"/>
      <c r="M32" s="5" t="s">
        <v>1276</v>
      </c>
    </row>
    <row r="33" spans="3:13" x14ac:dyDescent="0.35">
      <c r="C33" s="5"/>
      <c r="D33" s="5" t="s">
        <v>73</v>
      </c>
      <c r="E33" s="5">
        <v>1046470373</v>
      </c>
      <c r="F33" s="5" t="s">
        <v>905</v>
      </c>
      <c r="G33" s="5"/>
      <c r="H33" s="5" t="s">
        <v>73</v>
      </c>
      <c r="I33" s="17">
        <v>7.4961791581104005E+18</v>
      </c>
      <c r="J33" s="5" t="s">
        <v>918</v>
      </c>
      <c r="K33" s="5"/>
      <c r="L33" s="5" t="s">
        <v>932</v>
      </c>
      <c r="M33" s="5" t="s">
        <v>1276</v>
      </c>
    </row>
    <row r="34" spans="3:13" x14ac:dyDescent="0.35">
      <c r="C34" s="5"/>
      <c r="D34" s="5" t="s">
        <v>74</v>
      </c>
      <c r="E34" s="5">
        <v>1046598875</v>
      </c>
      <c r="F34" s="5" t="s">
        <v>905</v>
      </c>
      <c r="G34" s="5"/>
      <c r="H34" s="5" t="s">
        <v>74</v>
      </c>
      <c r="I34" s="17">
        <v>7.4961551095550095E+18</v>
      </c>
      <c r="J34" s="5" t="s">
        <v>916</v>
      </c>
      <c r="K34" s="5"/>
      <c r="L34" s="5"/>
      <c r="M34" s="5" t="s">
        <v>1276</v>
      </c>
    </row>
    <row r="35" spans="3:13" x14ac:dyDescent="0.35">
      <c r="C35" s="5"/>
      <c r="D35" s="5" t="s">
        <v>75</v>
      </c>
      <c r="E35" s="5">
        <v>1046776023</v>
      </c>
      <c r="F35" s="5" t="s">
        <v>905</v>
      </c>
      <c r="G35" s="5"/>
      <c r="H35" s="5"/>
      <c r="I35" s="17"/>
      <c r="J35" s="5"/>
      <c r="K35" s="5"/>
      <c r="L35" s="5"/>
      <c r="M35" s="5" t="s">
        <v>1276</v>
      </c>
    </row>
    <row r="36" spans="3:13" x14ac:dyDescent="0.35">
      <c r="C36" s="5"/>
      <c r="D36" s="5" t="s">
        <v>76</v>
      </c>
      <c r="E36" s="5">
        <v>1049559471</v>
      </c>
      <c r="F36" s="5" t="s">
        <v>903</v>
      </c>
      <c r="G36" s="5"/>
      <c r="H36" s="5" t="s">
        <v>76</v>
      </c>
      <c r="I36" s="17">
        <v>7.4941580601455002E+18</v>
      </c>
      <c r="J36" s="5"/>
      <c r="K36" s="5"/>
      <c r="L36" s="5"/>
      <c r="M36" s="5" t="s">
        <v>1276</v>
      </c>
    </row>
    <row r="37" spans="3:13" x14ac:dyDescent="0.35">
      <c r="C37" s="5"/>
      <c r="D37" s="5" t="s">
        <v>77</v>
      </c>
      <c r="E37" s="5">
        <v>1050793987</v>
      </c>
      <c r="F37" s="5" t="s">
        <v>903</v>
      </c>
      <c r="G37" s="5"/>
      <c r="H37" s="5" t="s">
        <v>77</v>
      </c>
      <c r="I37" s="17">
        <v>7.4961890154595297E+18</v>
      </c>
      <c r="J37" s="5" t="s">
        <v>933</v>
      </c>
      <c r="K37" s="5"/>
      <c r="L37" s="5"/>
      <c r="M37" s="5" t="s">
        <v>1276</v>
      </c>
    </row>
    <row r="38" spans="3:13" x14ac:dyDescent="0.35">
      <c r="C38" s="5"/>
      <c r="D38" s="5" t="s">
        <v>78</v>
      </c>
      <c r="E38" s="5">
        <v>1052834124</v>
      </c>
      <c r="F38" s="5" t="s">
        <v>906</v>
      </c>
      <c r="G38" s="5"/>
      <c r="H38" s="5" t="s">
        <v>78</v>
      </c>
      <c r="I38" s="17">
        <v>7.4961830545477796E+18</v>
      </c>
      <c r="J38" s="5" t="s">
        <v>911</v>
      </c>
      <c r="K38" s="5"/>
      <c r="L38" s="5" t="s">
        <v>934</v>
      </c>
      <c r="M38" s="5" t="s">
        <v>1276</v>
      </c>
    </row>
    <row r="39" spans="3:13" x14ac:dyDescent="0.35">
      <c r="C39" s="5"/>
      <c r="D39" s="5" t="s">
        <v>79</v>
      </c>
      <c r="E39" s="5">
        <v>1053974132</v>
      </c>
      <c r="F39" s="5" t="s">
        <v>903</v>
      </c>
      <c r="G39" s="5"/>
      <c r="H39" s="5"/>
      <c r="I39" s="17"/>
      <c r="J39" s="5"/>
      <c r="K39" s="5"/>
      <c r="L39" s="5"/>
      <c r="M39" s="5" t="s">
        <v>1276</v>
      </c>
    </row>
    <row r="40" spans="3:13" x14ac:dyDescent="0.35">
      <c r="C40" s="5"/>
      <c r="D40" s="5" t="s">
        <v>80</v>
      </c>
      <c r="E40" s="5">
        <v>1054638758</v>
      </c>
      <c r="F40" s="5" t="s">
        <v>903</v>
      </c>
      <c r="G40" s="5"/>
      <c r="H40" s="5"/>
      <c r="I40" s="17"/>
      <c r="J40" s="5"/>
      <c r="K40" s="5"/>
      <c r="L40" s="5"/>
      <c r="M40" s="5" t="s">
        <v>1276</v>
      </c>
    </row>
    <row r="41" spans="3:13" x14ac:dyDescent="0.35">
      <c r="C41" s="5"/>
      <c r="D41" s="5" t="s">
        <v>81</v>
      </c>
      <c r="E41" s="5">
        <v>1055977712</v>
      </c>
      <c r="F41" s="5" t="s">
        <v>903</v>
      </c>
      <c r="G41" s="5"/>
      <c r="H41" s="5" t="s">
        <v>81</v>
      </c>
      <c r="I41" s="17">
        <v>7.49618765143923E+18</v>
      </c>
      <c r="J41" s="5" t="s">
        <v>913</v>
      </c>
      <c r="K41" s="5"/>
      <c r="L41" s="5" t="s">
        <v>935</v>
      </c>
      <c r="M41" s="5" t="s">
        <v>1276</v>
      </c>
    </row>
    <row r="42" spans="3:13" x14ac:dyDescent="0.35">
      <c r="C42" s="5"/>
      <c r="D42" s="5" t="s">
        <v>82</v>
      </c>
      <c r="E42" s="5">
        <v>1057319077</v>
      </c>
      <c r="F42" s="5" t="s">
        <v>904</v>
      </c>
      <c r="G42" s="5"/>
      <c r="H42" s="5" t="s">
        <v>82</v>
      </c>
      <c r="I42" s="17">
        <v>7.49630477114543E+18</v>
      </c>
      <c r="J42" s="5"/>
      <c r="K42" s="5"/>
      <c r="L42" s="5"/>
      <c r="M42" s="5" t="s">
        <v>1276</v>
      </c>
    </row>
    <row r="43" spans="3:13" x14ac:dyDescent="0.35">
      <c r="C43" s="5"/>
      <c r="D43" s="5" t="s">
        <v>83</v>
      </c>
      <c r="E43" s="5">
        <v>1057465971</v>
      </c>
      <c r="F43" s="5" t="s">
        <v>906</v>
      </c>
      <c r="G43" s="5"/>
      <c r="H43" s="5" t="s">
        <v>83</v>
      </c>
      <c r="I43" s="17">
        <v>7.4962599980687299E+18</v>
      </c>
      <c r="J43" s="5" t="s">
        <v>936</v>
      </c>
      <c r="K43" s="5"/>
      <c r="L43" s="5" t="s">
        <v>937</v>
      </c>
      <c r="M43" s="5" t="s">
        <v>1276</v>
      </c>
    </row>
    <row r="44" spans="3:13" x14ac:dyDescent="0.35">
      <c r="C44" s="5"/>
      <c r="D44" s="5" t="s">
        <v>84</v>
      </c>
      <c r="E44" s="5">
        <v>1058502061</v>
      </c>
      <c r="F44" s="5" t="s">
        <v>903</v>
      </c>
      <c r="G44" s="5"/>
      <c r="H44" s="5" t="s">
        <v>84</v>
      </c>
      <c r="I44" s="17">
        <v>7.49618330267789E+18</v>
      </c>
      <c r="J44" s="5" t="s">
        <v>913</v>
      </c>
      <c r="K44" s="5"/>
      <c r="L44" s="5" t="s">
        <v>938</v>
      </c>
      <c r="M44" s="5" t="s">
        <v>1276</v>
      </c>
    </row>
    <row r="45" spans="3:13" x14ac:dyDescent="0.35">
      <c r="C45" s="5"/>
      <c r="D45" s="5" t="s">
        <v>85</v>
      </c>
      <c r="E45" s="5">
        <v>1059419518</v>
      </c>
      <c r="F45" s="5" t="s">
        <v>906</v>
      </c>
      <c r="G45" s="5"/>
      <c r="H45" s="5" t="s">
        <v>85</v>
      </c>
      <c r="I45" s="17">
        <v>7.4962124994014996E+18</v>
      </c>
      <c r="J45" s="5" t="s">
        <v>939</v>
      </c>
      <c r="K45" s="5"/>
      <c r="L45" s="5" t="s">
        <v>940</v>
      </c>
      <c r="M45" s="5" t="s">
        <v>1276</v>
      </c>
    </row>
    <row r="46" spans="3:13" x14ac:dyDescent="0.35">
      <c r="C46" s="5"/>
      <c r="D46" s="5" t="s">
        <v>86</v>
      </c>
      <c r="E46" s="5">
        <v>1059867751</v>
      </c>
      <c r="F46" s="5" t="s">
        <v>903</v>
      </c>
      <c r="G46" s="5"/>
      <c r="H46" s="5" t="s">
        <v>86</v>
      </c>
      <c r="I46" s="17">
        <v>7.4961823526604298E+18</v>
      </c>
      <c r="J46" s="5" t="s">
        <v>941</v>
      </c>
      <c r="K46" s="5"/>
      <c r="L46" s="5"/>
      <c r="M46" s="5" t="s">
        <v>1276</v>
      </c>
    </row>
    <row r="47" spans="3:13" x14ac:dyDescent="0.35">
      <c r="C47" s="5"/>
      <c r="D47" s="5" t="s">
        <v>87</v>
      </c>
      <c r="E47" s="5">
        <v>1061277659</v>
      </c>
      <c r="F47" s="5" t="s">
        <v>903</v>
      </c>
      <c r="G47" s="5"/>
      <c r="H47" s="5"/>
      <c r="I47" s="17"/>
      <c r="J47" s="5"/>
      <c r="K47" s="5"/>
      <c r="L47" s="5"/>
      <c r="M47" s="5" t="s">
        <v>1276</v>
      </c>
    </row>
    <row r="48" spans="3:13" x14ac:dyDescent="0.35">
      <c r="C48" s="5"/>
      <c r="D48" s="5" t="s">
        <v>88</v>
      </c>
      <c r="E48" s="5">
        <v>1064041485</v>
      </c>
      <c r="F48" s="5" t="s">
        <v>906</v>
      </c>
      <c r="G48" s="5"/>
      <c r="H48" s="5" t="s">
        <v>88</v>
      </c>
      <c r="I48" s="17">
        <v>7.4961859146649098E+18</v>
      </c>
      <c r="J48" s="5" t="s">
        <v>942</v>
      </c>
      <c r="K48" s="5"/>
      <c r="L48" s="5"/>
      <c r="M48" s="5" t="s">
        <v>1276</v>
      </c>
    </row>
    <row r="49" spans="3:13" x14ac:dyDescent="0.35">
      <c r="C49" s="5"/>
      <c r="D49" s="5" t="s">
        <v>89</v>
      </c>
      <c r="E49" s="5">
        <v>1067229535</v>
      </c>
      <c r="F49" s="5" t="s">
        <v>903</v>
      </c>
      <c r="G49" s="5"/>
      <c r="H49" s="5" t="s">
        <v>89</v>
      </c>
      <c r="I49" s="17">
        <v>7.4961475853197896E+18</v>
      </c>
      <c r="J49" s="5" t="s">
        <v>913</v>
      </c>
      <c r="K49" s="5"/>
      <c r="L49" s="5" t="s">
        <v>943</v>
      </c>
      <c r="M49" s="5" t="s">
        <v>1276</v>
      </c>
    </row>
    <row r="50" spans="3:13" x14ac:dyDescent="0.35">
      <c r="C50" s="5"/>
      <c r="D50" s="5" t="s">
        <v>90</v>
      </c>
      <c r="E50" s="5">
        <v>1067424693</v>
      </c>
      <c r="F50" s="5" t="s">
        <v>903</v>
      </c>
      <c r="G50" s="5"/>
      <c r="H50" s="5" t="s">
        <v>90</v>
      </c>
      <c r="I50" s="17">
        <v>7.4961833195455396E+18</v>
      </c>
      <c r="J50" s="5" t="s">
        <v>913</v>
      </c>
      <c r="K50" s="5"/>
      <c r="L50" s="5" t="s">
        <v>944</v>
      </c>
      <c r="M50" s="5" t="s">
        <v>1276</v>
      </c>
    </row>
    <row r="51" spans="3:13" x14ac:dyDescent="0.35">
      <c r="C51" s="5"/>
      <c r="D51" s="5" t="s">
        <v>91</v>
      </c>
      <c r="E51" s="5">
        <v>1068177515</v>
      </c>
      <c r="F51" s="5" t="s">
        <v>906</v>
      </c>
      <c r="G51" s="5"/>
      <c r="H51" s="5" t="s">
        <v>91</v>
      </c>
      <c r="I51" s="17">
        <v>7.4962361551515505E+18</v>
      </c>
      <c r="J51" s="5" t="s">
        <v>918</v>
      </c>
      <c r="K51" s="5"/>
      <c r="L51" s="5" t="s">
        <v>945</v>
      </c>
      <c r="M51" s="5" t="s">
        <v>1276</v>
      </c>
    </row>
    <row r="52" spans="3:13" x14ac:dyDescent="0.35">
      <c r="C52" s="5"/>
      <c r="D52" s="5" t="s">
        <v>92</v>
      </c>
      <c r="E52" s="5">
        <v>1070375063</v>
      </c>
      <c r="F52" s="5" t="s">
        <v>905</v>
      </c>
      <c r="G52" s="5"/>
      <c r="H52" s="5" t="s">
        <v>92</v>
      </c>
      <c r="I52" s="17">
        <v>7.4961791605718702E+18</v>
      </c>
      <c r="J52" s="5" t="s">
        <v>918</v>
      </c>
      <c r="K52" s="5"/>
      <c r="L52" s="5" t="s">
        <v>946</v>
      </c>
      <c r="M52" s="5" t="s">
        <v>1276</v>
      </c>
    </row>
    <row r="53" spans="3:13" x14ac:dyDescent="0.35">
      <c r="C53" s="5"/>
      <c r="D53" s="5" t="s">
        <v>93</v>
      </c>
      <c r="E53" s="5">
        <v>1072776754</v>
      </c>
      <c r="F53" s="5" t="s">
        <v>907</v>
      </c>
      <c r="G53" s="5"/>
      <c r="H53" s="5" t="s">
        <v>93</v>
      </c>
      <c r="I53" s="17">
        <v>7.4961448051308298E+18</v>
      </c>
      <c r="J53" s="5" t="s">
        <v>916</v>
      </c>
      <c r="K53" s="5"/>
      <c r="L53" s="5"/>
      <c r="M53" s="5" t="s">
        <v>1276</v>
      </c>
    </row>
    <row r="54" spans="3:13" x14ac:dyDescent="0.35">
      <c r="C54" s="5"/>
      <c r="D54" s="5" t="s">
        <v>94</v>
      </c>
      <c r="E54" s="5">
        <v>1077048083</v>
      </c>
      <c r="F54" s="5" t="s">
        <v>903</v>
      </c>
      <c r="G54" s="5"/>
      <c r="H54" s="5" t="s">
        <v>94</v>
      </c>
      <c r="I54" s="17">
        <v>7.4963205892499302E+18</v>
      </c>
      <c r="J54" s="5" t="s">
        <v>913</v>
      </c>
      <c r="K54" s="5"/>
      <c r="L54" s="5" t="s">
        <v>947</v>
      </c>
      <c r="M54" s="5" t="s">
        <v>1276</v>
      </c>
    </row>
    <row r="55" spans="3:13" x14ac:dyDescent="0.35">
      <c r="C55" s="5"/>
      <c r="D55" s="5" t="s">
        <v>95</v>
      </c>
      <c r="E55" s="5">
        <v>1077139873</v>
      </c>
      <c r="F55" s="5" t="s">
        <v>903</v>
      </c>
      <c r="G55" s="5"/>
      <c r="H55" s="5" t="s">
        <v>95</v>
      </c>
      <c r="I55" s="17">
        <v>7.4941788074291702E+18</v>
      </c>
      <c r="J55" s="5" t="s">
        <v>913</v>
      </c>
      <c r="K55" s="5"/>
      <c r="L55" s="5" t="s">
        <v>948</v>
      </c>
      <c r="M55" s="5" t="s">
        <v>1276</v>
      </c>
    </row>
    <row r="56" spans="3:13" x14ac:dyDescent="0.35">
      <c r="C56" s="5"/>
      <c r="D56" s="5" t="s">
        <v>96</v>
      </c>
      <c r="E56" s="5">
        <v>1077804858</v>
      </c>
      <c r="F56" s="5" t="s">
        <v>906</v>
      </c>
      <c r="G56" s="5"/>
      <c r="H56" s="5" t="s">
        <v>96</v>
      </c>
      <c r="I56" s="17">
        <v>7.4961615386916598E+18</v>
      </c>
      <c r="J56" s="5" t="s">
        <v>908</v>
      </c>
      <c r="K56" s="5"/>
      <c r="L56" s="5" t="s">
        <v>949</v>
      </c>
      <c r="M56" s="5" t="s">
        <v>1276</v>
      </c>
    </row>
    <row r="57" spans="3:13" x14ac:dyDescent="0.35">
      <c r="C57" s="5"/>
      <c r="D57" s="5" t="s">
        <v>97</v>
      </c>
      <c r="E57" s="5">
        <v>1078438491</v>
      </c>
      <c r="F57" s="5" t="s">
        <v>903</v>
      </c>
      <c r="G57" s="5"/>
      <c r="H57" s="5" t="s">
        <v>97</v>
      </c>
      <c r="I57" s="17">
        <v>7.4961542799366902E+18</v>
      </c>
      <c r="J57" s="5" t="s">
        <v>911</v>
      </c>
      <c r="K57" s="5"/>
      <c r="L57" s="5" t="s">
        <v>950</v>
      </c>
      <c r="M57" s="5" t="s">
        <v>1276</v>
      </c>
    </row>
    <row r="58" spans="3:13" x14ac:dyDescent="0.35">
      <c r="C58" s="5"/>
      <c r="D58" s="5" t="s">
        <v>98</v>
      </c>
      <c r="E58" s="5">
        <v>1078438491</v>
      </c>
      <c r="F58" s="5" t="s">
        <v>903</v>
      </c>
      <c r="G58" s="5"/>
      <c r="H58" s="5"/>
      <c r="I58" s="17"/>
      <c r="J58" s="5"/>
      <c r="K58" s="5"/>
      <c r="L58" s="5"/>
      <c r="M58" s="5" t="s">
        <v>1276</v>
      </c>
    </row>
    <row r="59" spans="3:13" x14ac:dyDescent="0.35">
      <c r="C59" s="5"/>
      <c r="D59" s="5" t="s">
        <v>99</v>
      </c>
      <c r="E59" s="5">
        <v>1078897481</v>
      </c>
      <c r="F59" s="5" t="s">
        <v>905</v>
      </c>
      <c r="G59" s="5"/>
      <c r="H59" s="5" t="s">
        <v>99</v>
      </c>
      <c r="I59" s="17">
        <v>7.4961538671222804E+18</v>
      </c>
      <c r="J59" s="5" t="s">
        <v>911</v>
      </c>
      <c r="K59" s="5"/>
      <c r="L59" s="5"/>
      <c r="M59" s="5" t="s">
        <v>1276</v>
      </c>
    </row>
    <row r="60" spans="3:13" x14ac:dyDescent="0.35">
      <c r="C60" s="5"/>
      <c r="D60" s="5" t="s">
        <v>100</v>
      </c>
      <c r="E60" s="5">
        <v>1079030158</v>
      </c>
      <c r="F60" s="5" t="s">
        <v>906</v>
      </c>
      <c r="G60" s="5"/>
      <c r="H60" s="5"/>
      <c r="I60" s="17"/>
      <c r="J60" s="5"/>
      <c r="K60" s="5"/>
      <c r="L60" s="5"/>
      <c r="M60" s="5" t="s">
        <v>1276</v>
      </c>
    </row>
    <row r="61" spans="3:13" x14ac:dyDescent="0.35">
      <c r="C61" s="5"/>
      <c r="D61" s="5" t="s">
        <v>101</v>
      </c>
      <c r="E61" s="5">
        <v>1080128546</v>
      </c>
      <c r="F61" s="5" t="s">
        <v>906</v>
      </c>
      <c r="G61" s="5"/>
      <c r="H61" s="5" t="s">
        <v>101</v>
      </c>
      <c r="I61" s="17">
        <v>7.4961634709356196E+18</v>
      </c>
      <c r="J61" s="5"/>
      <c r="K61" s="5"/>
      <c r="L61" s="5"/>
      <c r="M61" s="5" t="s">
        <v>1276</v>
      </c>
    </row>
    <row r="62" spans="3:13" x14ac:dyDescent="0.35">
      <c r="C62" s="5"/>
      <c r="D62" s="5" t="s">
        <v>102</v>
      </c>
      <c r="E62" s="5">
        <v>1080217201</v>
      </c>
      <c r="F62" s="5" t="s">
        <v>903</v>
      </c>
      <c r="G62" s="5"/>
      <c r="H62" s="5" t="s">
        <v>102</v>
      </c>
      <c r="I62" s="17">
        <v>7.4963067940242995E+18</v>
      </c>
      <c r="J62" s="5" t="s">
        <v>941</v>
      </c>
      <c r="K62" s="5"/>
      <c r="L62" s="5"/>
      <c r="M62" s="5" t="s">
        <v>1276</v>
      </c>
    </row>
    <row r="63" spans="3:13" x14ac:dyDescent="0.35">
      <c r="C63" s="5"/>
      <c r="D63" s="5" t="s">
        <v>103</v>
      </c>
      <c r="E63" s="5">
        <v>1082026277</v>
      </c>
      <c r="F63" s="5" t="s">
        <v>903</v>
      </c>
      <c r="G63" s="5"/>
      <c r="H63" s="5" t="s">
        <v>103</v>
      </c>
      <c r="I63" s="17">
        <v>7.4961871505632399E+18</v>
      </c>
      <c r="J63" s="5" t="s">
        <v>913</v>
      </c>
      <c r="K63" s="5"/>
      <c r="L63" s="5"/>
      <c r="M63" s="5" t="s">
        <v>1276</v>
      </c>
    </row>
    <row r="64" spans="3:13" x14ac:dyDescent="0.35">
      <c r="C64" s="5"/>
      <c r="D64" s="5" t="s">
        <v>104</v>
      </c>
      <c r="E64" s="5">
        <v>1082169560</v>
      </c>
      <c r="F64" s="5" t="s">
        <v>903</v>
      </c>
      <c r="G64" s="5"/>
      <c r="H64" s="5" t="s">
        <v>104</v>
      </c>
      <c r="I64" s="17">
        <v>7.4961865655929098E+18</v>
      </c>
      <c r="J64" s="5" t="s">
        <v>933</v>
      </c>
      <c r="K64" s="5"/>
      <c r="L64" s="5"/>
      <c r="M64" s="5" t="s">
        <v>1276</v>
      </c>
    </row>
    <row r="65" spans="3:13" x14ac:dyDescent="0.35">
      <c r="C65" s="5"/>
      <c r="D65" s="5" t="s">
        <v>105</v>
      </c>
      <c r="E65" s="5">
        <v>1082769865</v>
      </c>
      <c r="F65" s="5" t="s">
        <v>906</v>
      </c>
      <c r="G65" s="5"/>
      <c r="H65" s="5" t="s">
        <v>105</v>
      </c>
      <c r="I65" s="17">
        <v>7.4961797415698104E+18</v>
      </c>
      <c r="J65" s="5"/>
      <c r="K65" s="5"/>
      <c r="L65" s="5"/>
      <c r="M65" s="5" t="s">
        <v>1276</v>
      </c>
    </row>
    <row r="66" spans="3:13" x14ac:dyDescent="0.35">
      <c r="C66" s="5"/>
      <c r="D66" s="5" t="s">
        <v>106</v>
      </c>
      <c r="E66" s="5">
        <v>1085236305</v>
      </c>
      <c r="F66" s="5" t="s">
        <v>905</v>
      </c>
      <c r="G66" s="5"/>
      <c r="H66" s="5" t="s">
        <v>106</v>
      </c>
      <c r="I66" s="17">
        <v>7.4961814011294802E+18</v>
      </c>
      <c r="J66" s="5" t="s">
        <v>916</v>
      </c>
      <c r="K66" s="5"/>
      <c r="L66" s="5" t="s">
        <v>951</v>
      </c>
      <c r="M66" s="5" t="s">
        <v>1276</v>
      </c>
    </row>
    <row r="67" spans="3:13" x14ac:dyDescent="0.35">
      <c r="C67" s="5"/>
      <c r="D67" s="5" t="s">
        <v>107</v>
      </c>
      <c r="E67" s="5">
        <v>1091003118</v>
      </c>
      <c r="F67" s="5" t="s">
        <v>906</v>
      </c>
      <c r="G67" s="5"/>
      <c r="H67" s="5" t="s">
        <v>107</v>
      </c>
      <c r="I67" s="17">
        <v>7.4962024975473398E+18</v>
      </c>
      <c r="J67" s="5" t="s">
        <v>908</v>
      </c>
      <c r="K67" s="5"/>
      <c r="L67" s="5" t="s">
        <v>952</v>
      </c>
      <c r="M67" s="5" t="s">
        <v>1276</v>
      </c>
    </row>
    <row r="68" spans="3:13" x14ac:dyDescent="0.35">
      <c r="C68" s="5"/>
      <c r="D68" s="5" t="s">
        <v>108</v>
      </c>
      <c r="E68" s="5">
        <v>1095111736</v>
      </c>
      <c r="F68" s="5" t="s">
        <v>903</v>
      </c>
      <c r="G68" s="5"/>
      <c r="H68" s="5" t="s">
        <v>108</v>
      </c>
      <c r="I68" s="17">
        <v>7.4961608404110797E+18</v>
      </c>
      <c r="J68" s="5" t="s">
        <v>913</v>
      </c>
      <c r="K68" s="5"/>
      <c r="L68" s="5" t="s">
        <v>953</v>
      </c>
      <c r="M68" s="5" t="s">
        <v>1276</v>
      </c>
    </row>
    <row r="69" spans="3:13" x14ac:dyDescent="0.35">
      <c r="C69" s="5"/>
      <c r="D69" s="5" t="s">
        <v>109</v>
      </c>
      <c r="E69" s="5">
        <v>1096594733</v>
      </c>
      <c r="F69" s="5" t="s">
        <v>904</v>
      </c>
      <c r="G69" s="5"/>
      <c r="H69" s="5"/>
      <c r="I69" s="17"/>
      <c r="J69" s="5"/>
      <c r="K69" s="5"/>
      <c r="L69" s="5"/>
      <c r="M69" s="5" t="s">
        <v>1276</v>
      </c>
    </row>
    <row r="70" spans="3:13" x14ac:dyDescent="0.35">
      <c r="C70" s="5"/>
      <c r="D70" s="5" t="s">
        <v>110</v>
      </c>
      <c r="E70" s="5">
        <v>1097181035</v>
      </c>
      <c r="F70" s="5" t="s">
        <v>905</v>
      </c>
      <c r="G70" s="5"/>
      <c r="H70" s="5" t="s">
        <v>110</v>
      </c>
      <c r="I70" s="17">
        <v>7.4961523227552901E+18</v>
      </c>
      <c r="J70" s="5" t="s">
        <v>918</v>
      </c>
      <c r="K70" s="5"/>
      <c r="L70" s="5"/>
      <c r="M70" s="5" t="s">
        <v>1276</v>
      </c>
    </row>
    <row r="71" spans="3:13" x14ac:dyDescent="0.35">
      <c r="C71" s="5"/>
      <c r="D71" s="5" t="s">
        <v>111</v>
      </c>
      <c r="E71" s="5">
        <v>1097182968</v>
      </c>
      <c r="F71" s="5" t="s">
        <v>906</v>
      </c>
      <c r="G71" s="5"/>
      <c r="H71" s="5"/>
      <c r="I71" s="17"/>
      <c r="J71" s="5"/>
      <c r="K71" s="5"/>
      <c r="L71" s="5"/>
      <c r="M71" s="5" t="s">
        <v>1276</v>
      </c>
    </row>
    <row r="72" spans="3:13" x14ac:dyDescent="0.35">
      <c r="C72" s="5"/>
      <c r="D72" s="5" t="s">
        <v>112</v>
      </c>
      <c r="E72" s="5">
        <v>1099068336</v>
      </c>
      <c r="F72" s="5" t="s">
        <v>903</v>
      </c>
      <c r="G72" s="5"/>
      <c r="H72" s="5" t="s">
        <v>112</v>
      </c>
      <c r="I72" s="17">
        <v>7.4961818907543101E+18</v>
      </c>
      <c r="J72" s="5"/>
      <c r="K72" s="5"/>
      <c r="L72" s="5"/>
      <c r="M72" s="5" t="s">
        <v>1276</v>
      </c>
    </row>
    <row r="73" spans="3:13" x14ac:dyDescent="0.35">
      <c r="C73" s="5"/>
      <c r="D73" s="5" t="s">
        <v>113</v>
      </c>
      <c r="E73" s="5">
        <v>1101178064</v>
      </c>
      <c r="F73" s="5" t="s">
        <v>905</v>
      </c>
      <c r="G73" s="5"/>
      <c r="H73" s="5" t="s">
        <v>113</v>
      </c>
      <c r="I73" s="17">
        <v>7.4961820490297201E+18</v>
      </c>
      <c r="J73" s="5"/>
      <c r="K73" s="5"/>
      <c r="L73" s="5"/>
      <c r="M73" s="5" t="s">
        <v>1276</v>
      </c>
    </row>
    <row r="74" spans="3:13" x14ac:dyDescent="0.35">
      <c r="C74" s="5"/>
      <c r="D74" s="5" t="s">
        <v>114</v>
      </c>
      <c r="E74" s="5">
        <v>1103263145</v>
      </c>
      <c r="F74" s="5" t="s">
        <v>906</v>
      </c>
      <c r="G74" s="5"/>
      <c r="H74" s="5" t="s">
        <v>114</v>
      </c>
      <c r="I74" s="17">
        <v>7.4961572413733898E+18</v>
      </c>
      <c r="J74" s="5" t="s">
        <v>911</v>
      </c>
      <c r="K74" s="5"/>
      <c r="L74" s="5" t="s">
        <v>954</v>
      </c>
      <c r="M74" s="5" t="s">
        <v>1276</v>
      </c>
    </row>
    <row r="75" spans="3:13" x14ac:dyDescent="0.35">
      <c r="C75" s="5"/>
      <c r="D75" s="5" t="s">
        <v>115</v>
      </c>
      <c r="E75" s="5">
        <v>1103632656</v>
      </c>
      <c r="F75" s="5" t="s">
        <v>905</v>
      </c>
      <c r="G75" s="5"/>
      <c r="H75" s="5" t="s">
        <v>115</v>
      </c>
      <c r="I75" s="17">
        <v>7.4961635847704105E+18</v>
      </c>
      <c r="J75" s="5"/>
      <c r="K75" s="5"/>
      <c r="L75" s="5"/>
      <c r="M75" s="5" t="s">
        <v>1276</v>
      </c>
    </row>
    <row r="76" spans="3:13" x14ac:dyDescent="0.35">
      <c r="C76" s="5"/>
      <c r="D76" s="5" t="s">
        <v>116</v>
      </c>
      <c r="E76" s="5">
        <v>1106909174</v>
      </c>
      <c r="F76" s="5" t="s">
        <v>903</v>
      </c>
      <c r="G76" s="5"/>
      <c r="H76" s="5" t="s">
        <v>116</v>
      </c>
      <c r="I76" s="17">
        <v>7.4962226380772096E+18</v>
      </c>
      <c r="J76" s="5" t="s">
        <v>913</v>
      </c>
      <c r="K76" s="5"/>
      <c r="L76" s="5" t="s">
        <v>955</v>
      </c>
      <c r="M76" s="5" t="s">
        <v>1276</v>
      </c>
    </row>
    <row r="77" spans="3:13" x14ac:dyDescent="0.35">
      <c r="C77" s="5"/>
      <c r="D77" s="5" t="s">
        <v>117</v>
      </c>
      <c r="E77" s="5">
        <v>1107058320</v>
      </c>
      <c r="F77" s="5" t="s">
        <v>903</v>
      </c>
      <c r="G77" s="5"/>
      <c r="H77" s="5"/>
      <c r="I77" s="17"/>
      <c r="J77" s="5"/>
      <c r="K77" s="5"/>
      <c r="L77" s="5"/>
      <c r="M77" s="5" t="s">
        <v>1276</v>
      </c>
    </row>
    <row r="78" spans="3:13" x14ac:dyDescent="0.35">
      <c r="C78" s="5"/>
      <c r="D78" s="5" t="s">
        <v>118</v>
      </c>
      <c r="E78" s="5">
        <v>1114645438</v>
      </c>
      <c r="F78" s="5" t="s">
        <v>904</v>
      </c>
      <c r="G78" s="5"/>
      <c r="H78" s="5" t="s">
        <v>118</v>
      </c>
      <c r="I78" s="17">
        <v>7.4961473777790802E+18</v>
      </c>
      <c r="J78" s="5" t="s">
        <v>926</v>
      </c>
      <c r="K78" s="5"/>
      <c r="L78" s="5" t="s">
        <v>956</v>
      </c>
      <c r="M78" s="5" t="s">
        <v>1276</v>
      </c>
    </row>
    <row r="79" spans="3:13" x14ac:dyDescent="0.35">
      <c r="C79" s="5"/>
      <c r="D79" s="5" t="s">
        <v>119</v>
      </c>
      <c r="E79" s="5">
        <v>1115776530</v>
      </c>
      <c r="F79" s="5" t="s">
        <v>903</v>
      </c>
      <c r="G79" s="5"/>
      <c r="H79" s="5" t="s">
        <v>119</v>
      </c>
      <c r="I79" s="17">
        <v>7.4962356751884902E+18</v>
      </c>
      <c r="J79" s="5" t="s">
        <v>924</v>
      </c>
      <c r="K79" s="5"/>
      <c r="L79" s="5"/>
      <c r="M79" s="5" t="s">
        <v>1276</v>
      </c>
    </row>
    <row r="80" spans="3:13" x14ac:dyDescent="0.35">
      <c r="C80" s="5"/>
      <c r="D80" s="5" t="s">
        <v>120</v>
      </c>
      <c r="E80" s="5">
        <v>1117805526</v>
      </c>
      <c r="F80" s="5" t="s">
        <v>904</v>
      </c>
      <c r="G80" s="5"/>
      <c r="H80" s="5" t="s">
        <v>120</v>
      </c>
      <c r="I80" s="17">
        <v>7.4961622409073398E+18</v>
      </c>
      <c r="J80" s="5"/>
      <c r="K80" s="5"/>
      <c r="L80" s="5"/>
      <c r="M80" s="5" t="s">
        <v>1276</v>
      </c>
    </row>
    <row r="81" spans="3:13" x14ac:dyDescent="0.35">
      <c r="C81" s="5"/>
      <c r="D81" s="5" t="s">
        <v>121</v>
      </c>
      <c r="E81" s="5">
        <v>1124876296</v>
      </c>
      <c r="F81" s="5" t="s">
        <v>905</v>
      </c>
      <c r="G81" s="5"/>
      <c r="H81" s="5" t="s">
        <v>121</v>
      </c>
      <c r="I81" s="17">
        <v>7.4962202635324303E+18</v>
      </c>
      <c r="J81" s="5" t="s">
        <v>928</v>
      </c>
      <c r="K81" s="5"/>
      <c r="L81" s="5" t="s">
        <v>957</v>
      </c>
      <c r="M81" s="5" t="s">
        <v>1276</v>
      </c>
    </row>
    <row r="82" spans="3:13" x14ac:dyDescent="0.35">
      <c r="C82" s="5"/>
      <c r="D82" s="5" t="s">
        <v>122</v>
      </c>
      <c r="E82" s="5">
        <v>1125005184</v>
      </c>
      <c r="F82" s="5" t="s">
        <v>905</v>
      </c>
      <c r="G82" s="5"/>
      <c r="H82" s="5" t="s">
        <v>122</v>
      </c>
      <c r="I82" s="17">
        <v>7.4961598880604795E+18</v>
      </c>
      <c r="J82" s="5" t="s">
        <v>942</v>
      </c>
      <c r="K82" s="5"/>
      <c r="L82" s="5" t="s">
        <v>958</v>
      </c>
      <c r="M82" s="5" t="s">
        <v>1276</v>
      </c>
    </row>
    <row r="83" spans="3:13" x14ac:dyDescent="0.35">
      <c r="C83" s="5"/>
      <c r="D83" s="5" t="s">
        <v>123</v>
      </c>
      <c r="E83" s="5">
        <v>1131383931</v>
      </c>
      <c r="F83" s="5" t="s">
        <v>903</v>
      </c>
      <c r="G83" s="5"/>
      <c r="H83" s="5"/>
      <c r="I83" s="17"/>
      <c r="J83" s="5"/>
      <c r="K83" s="5"/>
      <c r="L83" s="5"/>
      <c r="M83" s="5" t="s">
        <v>1276</v>
      </c>
    </row>
    <row r="84" spans="3:13" x14ac:dyDescent="0.35">
      <c r="C84" s="5"/>
      <c r="D84" s="5" t="s">
        <v>124</v>
      </c>
      <c r="E84" s="5">
        <v>1134941899</v>
      </c>
      <c r="F84" s="5" t="s">
        <v>905</v>
      </c>
      <c r="G84" s="5"/>
      <c r="H84" s="5" t="s">
        <v>124</v>
      </c>
      <c r="I84" s="17">
        <v>7.4962286429590999E+18</v>
      </c>
      <c r="J84" s="5" t="s">
        <v>916</v>
      </c>
      <c r="K84" s="5"/>
      <c r="L84" s="5" t="s">
        <v>959</v>
      </c>
      <c r="M84" s="5" t="s">
        <v>1276</v>
      </c>
    </row>
    <row r="85" spans="3:13" x14ac:dyDescent="0.35">
      <c r="C85" s="5"/>
      <c r="D85" s="5" t="s">
        <v>125</v>
      </c>
      <c r="E85" s="5">
        <v>1137042457</v>
      </c>
      <c r="F85" s="5" t="s">
        <v>904</v>
      </c>
      <c r="G85" s="5"/>
      <c r="H85" s="5" t="s">
        <v>125</v>
      </c>
      <c r="I85" s="17">
        <v>7.4962281677924198E+18</v>
      </c>
      <c r="J85" s="5" t="s">
        <v>926</v>
      </c>
      <c r="K85" s="5"/>
      <c r="L85" s="5"/>
      <c r="M85" s="5" t="s">
        <v>1276</v>
      </c>
    </row>
    <row r="86" spans="3:13" x14ac:dyDescent="0.35">
      <c r="C86" s="5"/>
      <c r="D86" s="5" t="s">
        <v>126</v>
      </c>
      <c r="E86" s="5">
        <v>1141434114</v>
      </c>
      <c r="F86" s="5" t="s">
        <v>905</v>
      </c>
      <c r="G86" s="5"/>
      <c r="H86" s="5" t="s">
        <v>126</v>
      </c>
      <c r="I86" s="17">
        <v>7.4963144079937004E+18</v>
      </c>
      <c r="J86" s="5" t="s">
        <v>916</v>
      </c>
      <c r="K86" s="5"/>
      <c r="L86" s="5" t="s">
        <v>960</v>
      </c>
      <c r="M86" s="5" t="s">
        <v>1276</v>
      </c>
    </row>
    <row r="87" spans="3:13" x14ac:dyDescent="0.35">
      <c r="C87" s="5"/>
      <c r="D87" s="5" t="s">
        <v>127</v>
      </c>
      <c r="E87" s="5">
        <v>1146998712</v>
      </c>
      <c r="F87" s="5" t="s">
        <v>903</v>
      </c>
      <c r="G87" s="5"/>
      <c r="H87" s="5" t="s">
        <v>127</v>
      </c>
      <c r="I87" s="17">
        <v>7.4961819163707597E+18</v>
      </c>
      <c r="J87" s="5" t="s">
        <v>918</v>
      </c>
      <c r="K87" s="5"/>
      <c r="L87" s="5"/>
      <c r="M87" s="5" t="s">
        <v>1276</v>
      </c>
    </row>
    <row r="88" spans="3:13" x14ac:dyDescent="0.35">
      <c r="C88" s="5"/>
      <c r="D88" s="5" t="s">
        <v>128</v>
      </c>
      <c r="E88" s="5">
        <v>1147645290</v>
      </c>
      <c r="F88" s="5" t="s">
        <v>903</v>
      </c>
      <c r="G88" s="5"/>
      <c r="H88" s="5" t="s">
        <v>128</v>
      </c>
      <c r="I88" s="17">
        <v>7.4941278184082299E+18</v>
      </c>
      <c r="J88" s="5" t="s">
        <v>924</v>
      </c>
      <c r="K88" s="5"/>
      <c r="L88" s="5" t="s">
        <v>961</v>
      </c>
      <c r="M88" s="5" t="s">
        <v>1276</v>
      </c>
    </row>
    <row r="89" spans="3:13" x14ac:dyDescent="0.35">
      <c r="C89" s="5"/>
      <c r="D89" s="5" t="s">
        <v>129</v>
      </c>
      <c r="E89" s="5">
        <v>1147785585</v>
      </c>
      <c r="F89" s="5" t="s">
        <v>906</v>
      </c>
      <c r="G89" s="5"/>
      <c r="H89" s="5" t="s">
        <v>129</v>
      </c>
      <c r="I89" s="17">
        <v>7.4962091319662602E+18</v>
      </c>
      <c r="J89" s="5" t="s">
        <v>908</v>
      </c>
      <c r="K89" s="5"/>
      <c r="L89" s="5" t="s">
        <v>962</v>
      </c>
      <c r="M89" s="5" t="s">
        <v>1276</v>
      </c>
    </row>
    <row r="90" spans="3:13" x14ac:dyDescent="0.35">
      <c r="C90" s="5"/>
      <c r="D90" s="5" t="s">
        <v>130</v>
      </c>
      <c r="E90" s="5">
        <v>1155571749</v>
      </c>
      <c r="F90" s="5" t="s">
        <v>904</v>
      </c>
      <c r="G90" s="5"/>
      <c r="H90" s="5" t="s">
        <v>130</v>
      </c>
      <c r="I90" s="17">
        <v>7.4961549366529495E+18</v>
      </c>
      <c r="J90" s="5"/>
      <c r="K90" s="5"/>
      <c r="L90" s="5"/>
      <c r="M90" s="5" t="s">
        <v>1276</v>
      </c>
    </row>
    <row r="91" spans="3:13" x14ac:dyDescent="0.35">
      <c r="C91" s="5"/>
      <c r="D91" s="5" t="s">
        <v>131</v>
      </c>
      <c r="E91" s="5">
        <v>1160162236</v>
      </c>
      <c r="F91" s="5" t="s">
        <v>905</v>
      </c>
      <c r="G91" s="5"/>
      <c r="H91" s="5" t="s">
        <v>131</v>
      </c>
      <c r="I91" s="17">
        <v>7.4961819041824399E+18</v>
      </c>
      <c r="J91" s="5" t="s">
        <v>918</v>
      </c>
      <c r="K91" s="5"/>
      <c r="L91" s="5" t="s">
        <v>963</v>
      </c>
      <c r="M91" s="5" t="s">
        <v>1276</v>
      </c>
    </row>
    <row r="92" spans="3:13" x14ac:dyDescent="0.35">
      <c r="C92" s="5"/>
      <c r="D92" s="5" t="s">
        <v>132</v>
      </c>
      <c r="E92" s="5">
        <v>1165620003</v>
      </c>
      <c r="F92" s="5" t="s">
        <v>904</v>
      </c>
      <c r="G92" s="5"/>
      <c r="H92" s="5"/>
      <c r="I92" s="17"/>
      <c r="J92" s="5"/>
      <c r="K92" s="5"/>
      <c r="L92" s="5"/>
      <c r="M92" s="5" t="s">
        <v>1276</v>
      </c>
    </row>
    <row r="93" spans="3:13" x14ac:dyDescent="0.35">
      <c r="C93" s="5"/>
      <c r="D93" s="5" t="s">
        <v>133</v>
      </c>
      <c r="E93" s="5">
        <v>1166405683</v>
      </c>
      <c r="F93" s="5" t="s">
        <v>904</v>
      </c>
      <c r="G93" s="5"/>
      <c r="H93" s="5" t="s">
        <v>133</v>
      </c>
      <c r="I93" s="17">
        <v>7.4961597091580805E+18</v>
      </c>
      <c r="J93" s="5" t="s">
        <v>964</v>
      </c>
      <c r="K93" s="5"/>
      <c r="L93" s="5"/>
      <c r="M93" s="5" t="s">
        <v>1276</v>
      </c>
    </row>
    <row r="94" spans="3:13" x14ac:dyDescent="0.35">
      <c r="C94" s="5"/>
      <c r="D94" s="5" t="s">
        <v>134</v>
      </c>
      <c r="E94" s="5">
        <v>1168668910</v>
      </c>
      <c r="F94" s="5" t="s">
        <v>906</v>
      </c>
      <c r="G94" s="5"/>
      <c r="H94" s="5" t="s">
        <v>134</v>
      </c>
      <c r="I94" s="17">
        <v>7.4961819247029402E+18</v>
      </c>
      <c r="J94" s="5" t="s">
        <v>911</v>
      </c>
      <c r="K94" s="5"/>
      <c r="L94" s="5"/>
      <c r="M94" s="5" t="s">
        <v>1276</v>
      </c>
    </row>
    <row r="95" spans="3:13" x14ac:dyDescent="0.35">
      <c r="C95" s="5"/>
      <c r="D95" s="5" t="s">
        <v>135</v>
      </c>
      <c r="E95" s="5">
        <v>1170622375</v>
      </c>
      <c r="F95" s="5" t="s">
        <v>906</v>
      </c>
      <c r="G95" s="5"/>
      <c r="H95" s="5" t="s">
        <v>135</v>
      </c>
      <c r="I95" s="17">
        <v>7.4941576476083804E+18</v>
      </c>
      <c r="J95" s="5"/>
      <c r="K95" s="5"/>
      <c r="L95" s="5"/>
      <c r="M95" s="5" t="s">
        <v>1276</v>
      </c>
    </row>
    <row r="96" spans="3:13" x14ac:dyDescent="0.35">
      <c r="C96" s="5"/>
      <c r="D96" s="5" t="s">
        <v>136</v>
      </c>
      <c r="E96" s="5">
        <v>1171273264</v>
      </c>
      <c r="F96" s="5" t="s">
        <v>906</v>
      </c>
      <c r="G96" s="5"/>
      <c r="H96" s="5" t="s">
        <v>136</v>
      </c>
      <c r="I96" s="17">
        <v>7.49616355422434E+18</v>
      </c>
      <c r="J96" s="5" t="s">
        <v>908</v>
      </c>
      <c r="K96" s="5"/>
      <c r="L96" s="5" t="s">
        <v>965</v>
      </c>
      <c r="M96" s="5" t="s">
        <v>1276</v>
      </c>
    </row>
    <row r="97" spans="3:13" x14ac:dyDescent="0.35">
      <c r="C97" s="5"/>
      <c r="D97" s="5" t="s">
        <v>137</v>
      </c>
      <c r="E97" s="5">
        <v>1171941844</v>
      </c>
      <c r="F97" s="5" t="s">
        <v>904</v>
      </c>
      <c r="G97" s="5"/>
      <c r="H97" s="5" t="s">
        <v>137</v>
      </c>
      <c r="I97" s="17">
        <v>7.4961873486265395E+18</v>
      </c>
      <c r="J97" s="5" t="s">
        <v>936</v>
      </c>
      <c r="K97" s="5"/>
      <c r="L97" s="5" t="s">
        <v>966</v>
      </c>
      <c r="M97" s="5" t="s">
        <v>1276</v>
      </c>
    </row>
    <row r="98" spans="3:13" x14ac:dyDescent="0.35">
      <c r="C98" s="5"/>
      <c r="D98" s="5" t="s">
        <v>138</v>
      </c>
      <c r="E98" s="5">
        <v>1173083086</v>
      </c>
      <c r="F98" s="5" t="s">
        <v>905</v>
      </c>
      <c r="G98" s="5"/>
      <c r="H98" s="5"/>
      <c r="I98" s="17"/>
      <c r="J98" s="5"/>
      <c r="K98" s="5"/>
      <c r="L98" s="5"/>
      <c r="M98" s="5" t="s">
        <v>1276</v>
      </c>
    </row>
    <row r="99" spans="3:13" x14ac:dyDescent="0.35">
      <c r="C99" s="5"/>
      <c r="D99" s="5" t="s">
        <v>139</v>
      </c>
      <c r="E99" s="5">
        <v>1177319319</v>
      </c>
      <c r="F99" s="5" t="s">
        <v>907</v>
      </c>
      <c r="G99" s="5"/>
      <c r="H99" s="5" t="s">
        <v>139</v>
      </c>
      <c r="I99" s="17">
        <v>7.4961626035106898E+18</v>
      </c>
      <c r="J99" s="5" t="s">
        <v>936</v>
      </c>
      <c r="K99" s="5"/>
      <c r="L99" s="5" t="s">
        <v>967</v>
      </c>
      <c r="M99" s="5" t="s">
        <v>1276</v>
      </c>
    </row>
    <row r="100" spans="3:13" x14ac:dyDescent="0.35">
      <c r="C100" s="5"/>
      <c r="D100" s="5" t="s">
        <v>140</v>
      </c>
      <c r="E100" s="5">
        <v>1177903362</v>
      </c>
      <c r="F100" s="5" t="s">
        <v>906</v>
      </c>
      <c r="G100" s="5"/>
      <c r="H100" s="5" t="s">
        <v>140</v>
      </c>
      <c r="I100" s="17">
        <v>7.4961519207800801E+18</v>
      </c>
      <c r="J100" s="5" t="s">
        <v>911</v>
      </c>
      <c r="K100" s="5"/>
      <c r="L100" s="5" t="s">
        <v>968</v>
      </c>
      <c r="M100" s="5" t="s">
        <v>1276</v>
      </c>
    </row>
    <row r="101" spans="3:13" x14ac:dyDescent="0.35">
      <c r="C101" s="5"/>
      <c r="D101" s="5" t="s">
        <v>141</v>
      </c>
      <c r="E101" s="5">
        <v>1179613076</v>
      </c>
      <c r="F101" s="5" t="s">
        <v>906</v>
      </c>
      <c r="G101" s="5"/>
      <c r="H101" s="5" t="s">
        <v>141</v>
      </c>
      <c r="I101" s="17">
        <v>7.4956779437686395E+18</v>
      </c>
      <c r="J101" s="5"/>
      <c r="K101" s="5"/>
      <c r="L101" s="5"/>
      <c r="M101" s="5" t="s">
        <v>1276</v>
      </c>
    </row>
    <row r="102" spans="3:13" x14ac:dyDescent="0.35">
      <c r="C102" s="5"/>
      <c r="D102" s="5" t="s">
        <v>142</v>
      </c>
      <c r="E102" s="5">
        <v>1180697486</v>
      </c>
      <c r="F102" s="5" t="s">
        <v>903</v>
      </c>
      <c r="G102" s="5"/>
      <c r="H102" s="5" t="s">
        <v>142</v>
      </c>
      <c r="I102" s="17">
        <v>7.49616042264687E+18</v>
      </c>
      <c r="J102" s="5" t="s">
        <v>969</v>
      </c>
      <c r="K102" s="5"/>
      <c r="L102" s="5"/>
      <c r="M102" s="5" t="s">
        <v>1276</v>
      </c>
    </row>
    <row r="103" spans="3:13" x14ac:dyDescent="0.35">
      <c r="C103" s="5"/>
      <c r="D103" s="5" t="s">
        <v>143</v>
      </c>
      <c r="E103" s="5">
        <v>1187336421</v>
      </c>
      <c r="F103" s="5" t="s">
        <v>903</v>
      </c>
      <c r="G103" s="5"/>
      <c r="H103" s="5" t="s">
        <v>143</v>
      </c>
      <c r="I103" s="17">
        <v>7.4961476057391104E+18</v>
      </c>
      <c r="J103" s="5" t="s">
        <v>913</v>
      </c>
      <c r="K103" s="5"/>
      <c r="L103" s="5" t="s">
        <v>970</v>
      </c>
      <c r="M103" s="5" t="s">
        <v>1276</v>
      </c>
    </row>
    <row r="104" spans="3:13" x14ac:dyDescent="0.35">
      <c r="C104" s="5"/>
      <c r="D104" s="5" t="s">
        <v>144</v>
      </c>
      <c r="E104" s="5">
        <v>1187524480</v>
      </c>
      <c r="F104" s="5" t="s">
        <v>904</v>
      </c>
      <c r="G104" s="5"/>
      <c r="H104" s="5"/>
      <c r="I104" s="17"/>
      <c r="J104" s="5"/>
      <c r="K104" s="5"/>
      <c r="L104" s="5"/>
      <c r="M104" s="5" t="s">
        <v>1276</v>
      </c>
    </row>
    <row r="105" spans="3:13" x14ac:dyDescent="0.35">
      <c r="C105" s="5"/>
      <c r="D105" s="5" t="s">
        <v>145</v>
      </c>
      <c r="E105" s="5">
        <v>1188165400</v>
      </c>
      <c r="F105" s="5" t="s">
        <v>906</v>
      </c>
      <c r="G105" s="5"/>
      <c r="H105" s="5" t="s">
        <v>145</v>
      </c>
      <c r="I105" s="17">
        <v>7.49614824102733E+18</v>
      </c>
      <c r="J105" s="5" t="s">
        <v>908</v>
      </c>
      <c r="K105" s="5"/>
      <c r="L105" s="5" t="s">
        <v>971</v>
      </c>
      <c r="M105" s="5" t="s">
        <v>1276</v>
      </c>
    </row>
    <row r="106" spans="3:13" x14ac:dyDescent="0.35">
      <c r="C106" s="5"/>
      <c r="D106" s="5" t="s">
        <v>146</v>
      </c>
      <c r="E106" s="5">
        <v>1188935762</v>
      </c>
      <c r="F106" s="5" t="s">
        <v>905</v>
      </c>
      <c r="G106" s="5"/>
      <c r="H106" s="5" t="s">
        <v>146</v>
      </c>
      <c r="I106" s="17">
        <v>7.49618430346641E+18</v>
      </c>
      <c r="J106" s="5" t="s">
        <v>916</v>
      </c>
      <c r="K106" s="5"/>
      <c r="L106" s="5" t="s">
        <v>972</v>
      </c>
      <c r="M106" s="5" t="s">
        <v>1276</v>
      </c>
    </row>
    <row r="107" spans="3:13" x14ac:dyDescent="0.35">
      <c r="C107" s="5"/>
      <c r="D107" s="5" t="s">
        <v>147</v>
      </c>
      <c r="E107" s="5">
        <v>1197145594</v>
      </c>
      <c r="F107" s="5" t="s">
        <v>905</v>
      </c>
      <c r="G107" s="5"/>
      <c r="H107" s="5" t="s">
        <v>147</v>
      </c>
      <c r="I107" s="17">
        <v>7.4942489534707405E+18</v>
      </c>
      <c r="J107" s="5"/>
      <c r="K107" s="5"/>
      <c r="L107" s="5"/>
      <c r="M107" s="5" t="s">
        <v>1276</v>
      </c>
    </row>
    <row r="108" spans="3:13" x14ac:dyDescent="0.35">
      <c r="C108" s="5"/>
      <c r="D108" s="5" t="s">
        <v>148</v>
      </c>
      <c r="E108" s="5">
        <v>1197938863</v>
      </c>
      <c r="F108" s="5" t="s">
        <v>903</v>
      </c>
      <c r="G108" s="5"/>
      <c r="H108" s="5" t="s">
        <v>148</v>
      </c>
      <c r="I108" s="17">
        <v>7.4961825065434102E+18</v>
      </c>
      <c r="J108" s="5" t="s">
        <v>913</v>
      </c>
      <c r="K108" s="5"/>
      <c r="L108" s="5"/>
      <c r="M108" s="5" t="s">
        <v>1276</v>
      </c>
    </row>
    <row r="109" spans="3:13" x14ac:dyDescent="0.35">
      <c r="C109" s="5"/>
      <c r="D109" s="5" t="s">
        <v>149</v>
      </c>
      <c r="E109" s="5">
        <v>1198407784</v>
      </c>
      <c r="F109" s="5" t="s">
        <v>905</v>
      </c>
      <c r="G109" s="5"/>
      <c r="H109" s="5" t="s">
        <v>149</v>
      </c>
      <c r="I109" s="17">
        <v>7.4961811324892303E+18</v>
      </c>
      <c r="J109" s="5" t="s">
        <v>916</v>
      </c>
      <c r="K109" s="5"/>
      <c r="L109" s="5" t="s">
        <v>973</v>
      </c>
      <c r="M109" s="5" t="s">
        <v>1276</v>
      </c>
    </row>
    <row r="110" spans="3:13" x14ac:dyDescent="0.35">
      <c r="C110" s="5"/>
      <c r="D110" s="5" t="s">
        <v>150</v>
      </c>
      <c r="E110" s="5">
        <v>1202791528</v>
      </c>
      <c r="F110" s="5" t="s">
        <v>905</v>
      </c>
      <c r="G110" s="5"/>
      <c r="H110" s="5" t="s">
        <v>150</v>
      </c>
      <c r="I110" s="17">
        <v>7.4961874129169603E+18</v>
      </c>
      <c r="J110" s="5" t="s">
        <v>916</v>
      </c>
      <c r="K110" s="5"/>
      <c r="L110" s="5"/>
      <c r="M110" s="5" t="s">
        <v>1276</v>
      </c>
    </row>
    <row r="111" spans="3:13" x14ac:dyDescent="0.35">
      <c r="C111" s="5"/>
      <c r="D111" s="5" t="s">
        <v>151</v>
      </c>
      <c r="E111" s="5">
        <v>1206343082</v>
      </c>
      <c r="F111" s="5" t="s">
        <v>904</v>
      </c>
      <c r="G111" s="5"/>
      <c r="H111" s="5" t="s">
        <v>151</v>
      </c>
      <c r="I111" s="17">
        <v>7.4961818016536003E+18</v>
      </c>
      <c r="J111" s="5" t="s">
        <v>926</v>
      </c>
      <c r="K111" s="5"/>
      <c r="L111" s="5" t="s">
        <v>974</v>
      </c>
      <c r="M111" s="5" t="s">
        <v>1276</v>
      </c>
    </row>
    <row r="112" spans="3:13" x14ac:dyDescent="0.35">
      <c r="C112" s="5"/>
      <c r="D112" s="5" t="s">
        <v>152</v>
      </c>
      <c r="E112" s="5">
        <v>1210714652</v>
      </c>
      <c r="F112" s="5" t="s">
        <v>905</v>
      </c>
      <c r="G112" s="5"/>
      <c r="H112" s="5" t="s">
        <v>152</v>
      </c>
      <c r="I112" s="17">
        <v>7.4962089997437102E+18</v>
      </c>
      <c r="J112" s="5" t="s">
        <v>916</v>
      </c>
      <c r="K112" s="5"/>
      <c r="L112" s="5"/>
      <c r="M112" s="5" t="s">
        <v>1276</v>
      </c>
    </row>
    <row r="113" spans="3:13" x14ac:dyDescent="0.35">
      <c r="C113" s="5"/>
      <c r="D113" s="5" t="s">
        <v>153</v>
      </c>
      <c r="E113" s="5">
        <v>1218871036</v>
      </c>
      <c r="F113" s="5" t="s">
        <v>906</v>
      </c>
      <c r="G113" s="5"/>
      <c r="H113" s="5"/>
      <c r="I113" s="17"/>
      <c r="J113" s="5"/>
      <c r="K113" s="5"/>
      <c r="L113" s="5"/>
      <c r="M113" s="5" t="s">
        <v>1276</v>
      </c>
    </row>
    <row r="114" spans="3:13" x14ac:dyDescent="0.35">
      <c r="C114" s="5"/>
      <c r="D114" s="5" t="s">
        <v>154</v>
      </c>
      <c r="E114" s="5">
        <v>1220163366</v>
      </c>
      <c r="F114" s="5" t="s">
        <v>906</v>
      </c>
      <c r="G114" s="5"/>
      <c r="H114" s="5" t="s">
        <v>154</v>
      </c>
      <c r="I114" s="17">
        <v>7.4961799266974095E+18</v>
      </c>
      <c r="J114" s="5" t="s">
        <v>975</v>
      </c>
      <c r="K114" s="5"/>
      <c r="L114" s="5" t="s">
        <v>976</v>
      </c>
      <c r="M114" s="5" t="s">
        <v>1276</v>
      </c>
    </row>
    <row r="115" spans="3:13" x14ac:dyDescent="0.35">
      <c r="C115" s="5"/>
      <c r="D115" s="5" t="s">
        <v>155</v>
      </c>
      <c r="E115" s="5">
        <v>1220163366</v>
      </c>
      <c r="F115" s="5" t="s">
        <v>906</v>
      </c>
      <c r="G115" s="5"/>
      <c r="H115" s="5" t="s">
        <v>154</v>
      </c>
      <c r="I115" s="17">
        <v>7.4961799266974095E+18</v>
      </c>
      <c r="J115" s="5" t="s">
        <v>975</v>
      </c>
      <c r="K115" s="5"/>
      <c r="L115" s="5" t="s">
        <v>976</v>
      </c>
      <c r="M115" s="5" t="s">
        <v>1276</v>
      </c>
    </row>
    <row r="116" spans="3:13" x14ac:dyDescent="0.35">
      <c r="C116" s="5"/>
      <c r="D116" s="5" t="s">
        <v>156</v>
      </c>
      <c r="E116" s="5">
        <v>1220262169</v>
      </c>
      <c r="F116" s="5" t="s">
        <v>903</v>
      </c>
      <c r="G116" s="5"/>
      <c r="H116" s="5"/>
      <c r="I116" s="17"/>
      <c r="J116" s="5"/>
      <c r="K116" s="5"/>
      <c r="L116" s="5"/>
      <c r="M116" s="5" t="s">
        <v>1276</v>
      </c>
    </row>
    <row r="117" spans="3:13" x14ac:dyDescent="0.35">
      <c r="C117" s="5"/>
      <c r="D117" s="5" t="s">
        <v>157</v>
      </c>
      <c r="E117" s="5">
        <v>1221171840</v>
      </c>
      <c r="F117" s="5" t="s">
        <v>906</v>
      </c>
      <c r="G117" s="5"/>
      <c r="H117" s="5" t="s">
        <v>157</v>
      </c>
      <c r="I117" s="17">
        <v>7.4962800572125297E+18</v>
      </c>
      <c r="J117" s="5" t="s">
        <v>908</v>
      </c>
      <c r="K117" s="5"/>
      <c r="L117" s="5"/>
      <c r="M117" s="5" t="s">
        <v>1276</v>
      </c>
    </row>
    <row r="118" spans="3:13" x14ac:dyDescent="0.35">
      <c r="C118" s="5"/>
      <c r="D118" s="5" t="s">
        <v>158</v>
      </c>
      <c r="E118" s="5">
        <v>1222999175</v>
      </c>
      <c r="F118" s="5" t="s">
        <v>906</v>
      </c>
      <c r="G118" s="5"/>
      <c r="H118" s="5" t="s">
        <v>158</v>
      </c>
      <c r="I118" s="17">
        <v>7.49618636074978E+18</v>
      </c>
      <c r="J118" s="5" t="s">
        <v>908</v>
      </c>
      <c r="K118" s="5"/>
      <c r="L118" s="5" t="s">
        <v>977</v>
      </c>
      <c r="M118" s="5" t="s">
        <v>1276</v>
      </c>
    </row>
    <row r="119" spans="3:13" x14ac:dyDescent="0.35">
      <c r="C119" s="5"/>
      <c r="D119" s="5" t="s">
        <v>159</v>
      </c>
      <c r="E119" s="5">
        <v>1224304136</v>
      </c>
      <c r="F119" s="5" t="s">
        <v>904</v>
      </c>
      <c r="G119" s="5"/>
      <c r="H119" s="5" t="s">
        <v>159</v>
      </c>
      <c r="I119" s="17">
        <v>7.4961634149951396E+18</v>
      </c>
      <c r="J119" s="5" t="s">
        <v>926</v>
      </c>
      <c r="K119" s="5"/>
      <c r="L119" s="5" t="s">
        <v>978</v>
      </c>
      <c r="M119" s="5" t="s">
        <v>1276</v>
      </c>
    </row>
    <row r="120" spans="3:13" x14ac:dyDescent="0.35">
      <c r="C120" s="5"/>
      <c r="D120" s="5" t="s">
        <v>155</v>
      </c>
      <c r="E120" s="5">
        <v>1224363395</v>
      </c>
      <c r="F120" s="5" t="s">
        <v>905</v>
      </c>
      <c r="G120" s="5"/>
      <c r="H120" s="5" t="s">
        <v>155</v>
      </c>
      <c r="I120" s="17">
        <v>7.4961704307732296E+18</v>
      </c>
      <c r="J120" s="5"/>
      <c r="K120" s="5"/>
      <c r="L120" s="5"/>
      <c r="M120" s="5" t="s">
        <v>1276</v>
      </c>
    </row>
    <row r="121" spans="3:13" x14ac:dyDescent="0.35">
      <c r="C121" s="5"/>
      <c r="D121" s="5" t="s">
        <v>160</v>
      </c>
      <c r="E121" s="5">
        <v>1226387431</v>
      </c>
      <c r="F121" s="5" t="s">
        <v>904</v>
      </c>
      <c r="G121" s="5"/>
      <c r="H121" s="5" t="s">
        <v>160</v>
      </c>
      <c r="I121" s="17">
        <v>7.4961819182443704E+18</v>
      </c>
      <c r="J121" s="5" t="s">
        <v>908</v>
      </c>
      <c r="K121" s="5"/>
      <c r="L121" s="5"/>
      <c r="M121" s="5" t="s">
        <v>1276</v>
      </c>
    </row>
    <row r="122" spans="3:13" x14ac:dyDescent="0.35">
      <c r="C122" s="5"/>
      <c r="D122" s="5" t="s">
        <v>161</v>
      </c>
      <c r="E122" s="5">
        <v>1230634477</v>
      </c>
      <c r="F122" s="5" t="s">
        <v>906</v>
      </c>
      <c r="G122" s="5"/>
      <c r="H122" s="5"/>
      <c r="I122" s="17"/>
      <c r="J122" s="5"/>
      <c r="K122" s="5"/>
      <c r="L122" s="5"/>
      <c r="M122" s="5" t="s">
        <v>1276</v>
      </c>
    </row>
    <row r="123" spans="3:13" x14ac:dyDescent="0.35">
      <c r="C123" s="5"/>
      <c r="D123" s="5" t="s">
        <v>162</v>
      </c>
      <c r="E123" s="5">
        <v>1236649136</v>
      </c>
      <c r="F123" s="5" t="s">
        <v>903</v>
      </c>
      <c r="G123" s="5"/>
      <c r="H123" s="5" t="s">
        <v>162</v>
      </c>
      <c r="I123" s="17">
        <v>7.4963005271987599E+18</v>
      </c>
      <c r="J123" s="5" t="s">
        <v>910</v>
      </c>
      <c r="K123" s="5"/>
      <c r="L123" s="5" t="s">
        <v>979</v>
      </c>
      <c r="M123" s="5" t="s">
        <v>1276</v>
      </c>
    </row>
    <row r="124" spans="3:13" x14ac:dyDescent="0.35">
      <c r="C124" s="5"/>
      <c r="D124" s="5" t="s">
        <v>163</v>
      </c>
      <c r="E124" s="5">
        <v>1237944001</v>
      </c>
      <c r="F124" s="5" t="s">
        <v>903</v>
      </c>
      <c r="G124" s="5"/>
      <c r="H124" s="5" t="s">
        <v>163</v>
      </c>
      <c r="I124" s="17">
        <v>7.4961824811166904E+18</v>
      </c>
      <c r="J124" s="5" t="s">
        <v>941</v>
      </c>
      <c r="K124" s="5"/>
      <c r="L124" s="5"/>
      <c r="M124" s="5" t="s">
        <v>1276</v>
      </c>
    </row>
    <row r="125" spans="3:13" x14ac:dyDescent="0.35">
      <c r="C125" s="5"/>
      <c r="D125" s="5" t="s">
        <v>164</v>
      </c>
      <c r="E125" s="5">
        <v>1240425443</v>
      </c>
      <c r="F125" s="5" t="s">
        <v>904</v>
      </c>
      <c r="G125" s="5"/>
      <c r="H125" s="5" t="s">
        <v>164</v>
      </c>
      <c r="I125" s="17">
        <v>7.4961821220587704E+18</v>
      </c>
      <c r="J125" s="5"/>
      <c r="K125" s="5"/>
      <c r="L125" s="5"/>
      <c r="M125" s="5" t="s">
        <v>1276</v>
      </c>
    </row>
    <row r="126" spans="3:13" x14ac:dyDescent="0.35">
      <c r="C126" s="5"/>
      <c r="D126" s="5" t="s">
        <v>165</v>
      </c>
      <c r="E126" s="5">
        <v>1241517624</v>
      </c>
      <c r="F126" s="5" t="s">
        <v>903</v>
      </c>
      <c r="G126" s="5"/>
      <c r="H126" s="5" t="s">
        <v>165</v>
      </c>
      <c r="I126" s="17">
        <v>7.4962378671977595E+18</v>
      </c>
      <c r="J126" s="5" t="s">
        <v>910</v>
      </c>
      <c r="K126" s="5"/>
      <c r="L126" s="5" t="s">
        <v>980</v>
      </c>
      <c r="M126" s="5" t="s">
        <v>1276</v>
      </c>
    </row>
    <row r="127" spans="3:13" x14ac:dyDescent="0.35">
      <c r="C127" s="5"/>
      <c r="D127" s="5" t="s">
        <v>166</v>
      </c>
      <c r="E127" s="5">
        <v>1242044379</v>
      </c>
      <c r="F127" s="5" t="s">
        <v>903</v>
      </c>
      <c r="G127" s="5"/>
      <c r="H127" s="5" t="s">
        <v>166</v>
      </c>
      <c r="I127" s="17">
        <v>7.4950922247513395E+18</v>
      </c>
      <c r="J127" s="5" t="s">
        <v>939</v>
      </c>
      <c r="K127" s="5"/>
      <c r="L127" s="5" t="s">
        <v>981</v>
      </c>
      <c r="M127" s="5" t="s">
        <v>1276</v>
      </c>
    </row>
    <row r="128" spans="3:13" x14ac:dyDescent="0.35">
      <c r="C128" s="5"/>
      <c r="D128" s="5" t="s">
        <v>167</v>
      </c>
      <c r="E128" s="5">
        <v>1242718651</v>
      </c>
      <c r="F128" s="5" t="s">
        <v>905</v>
      </c>
      <c r="G128" s="5"/>
      <c r="H128" s="5" t="s">
        <v>167</v>
      </c>
      <c r="I128" s="17">
        <v>7.4961549433356595E+18</v>
      </c>
      <c r="J128" s="5" t="s">
        <v>931</v>
      </c>
      <c r="K128" s="5"/>
      <c r="L128" s="5" t="s">
        <v>982</v>
      </c>
      <c r="M128" s="5" t="s">
        <v>1276</v>
      </c>
    </row>
    <row r="129" spans="3:13" x14ac:dyDescent="0.35">
      <c r="C129" s="5"/>
      <c r="D129" s="5" t="s">
        <v>168</v>
      </c>
      <c r="E129" s="5">
        <v>1249020836</v>
      </c>
      <c r="F129" s="5" t="s">
        <v>904</v>
      </c>
      <c r="G129" s="5"/>
      <c r="H129" s="5" t="s">
        <v>168</v>
      </c>
      <c r="I129" s="17">
        <v>7.4962011502996695E+18</v>
      </c>
      <c r="J129" s="5" t="s">
        <v>922</v>
      </c>
      <c r="K129" s="5"/>
      <c r="L129" s="5" t="s">
        <v>983</v>
      </c>
      <c r="M129" s="5" t="s">
        <v>1276</v>
      </c>
    </row>
    <row r="130" spans="3:13" x14ac:dyDescent="0.35">
      <c r="C130" s="5"/>
      <c r="D130" s="5" t="s">
        <v>169</v>
      </c>
      <c r="E130" s="5">
        <v>1249391293</v>
      </c>
      <c r="F130" s="5" t="s">
        <v>904</v>
      </c>
      <c r="G130" s="5"/>
      <c r="H130" s="5" t="s">
        <v>169</v>
      </c>
      <c r="I130" s="17">
        <v>7.4962216138850601E+18</v>
      </c>
      <c r="J130" s="5"/>
      <c r="K130" s="5"/>
      <c r="L130" s="5"/>
      <c r="M130" s="5" t="s">
        <v>1276</v>
      </c>
    </row>
    <row r="131" spans="3:13" x14ac:dyDescent="0.35">
      <c r="C131" s="5"/>
      <c r="D131" s="5" t="s">
        <v>170</v>
      </c>
      <c r="E131" s="5">
        <v>1249469659</v>
      </c>
      <c r="F131" s="5" t="s">
        <v>905</v>
      </c>
      <c r="G131" s="5"/>
      <c r="H131" s="5" t="s">
        <v>170</v>
      </c>
      <c r="I131" s="17">
        <v>7.4961473932103803E+18</v>
      </c>
      <c r="J131" s="5" t="s">
        <v>984</v>
      </c>
      <c r="K131" s="5"/>
      <c r="L131" s="5" t="s">
        <v>985</v>
      </c>
      <c r="M131" s="5" t="s">
        <v>1276</v>
      </c>
    </row>
    <row r="132" spans="3:13" x14ac:dyDescent="0.35">
      <c r="C132" s="5"/>
      <c r="D132" s="5" t="s">
        <v>171</v>
      </c>
      <c r="E132" s="5">
        <v>1250437840</v>
      </c>
      <c r="F132" s="5" t="s">
        <v>905</v>
      </c>
      <c r="G132" s="5"/>
      <c r="H132" s="5"/>
      <c r="I132" s="17"/>
      <c r="J132" s="5"/>
      <c r="K132" s="5"/>
      <c r="L132" s="5"/>
      <c r="M132" s="5" t="s">
        <v>1276</v>
      </c>
    </row>
    <row r="133" spans="3:13" x14ac:dyDescent="0.35">
      <c r="C133" s="5"/>
      <c r="D133" s="5" t="s">
        <v>172</v>
      </c>
      <c r="E133" s="5">
        <v>1250695884</v>
      </c>
      <c r="F133" s="5" t="s">
        <v>907</v>
      </c>
      <c r="G133" s="5"/>
      <c r="H133" s="5" t="s">
        <v>172</v>
      </c>
      <c r="I133" s="17">
        <v>7.4963052573844101E+18</v>
      </c>
      <c r="J133" s="5" t="s">
        <v>936</v>
      </c>
      <c r="K133" s="5"/>
      <c r="L133" s="5" t="s">
        <v>986</v>
      </c>
      <c r="M133" s="5" t="s">
        <v>1276</v>
      </c>
    </row>
    <row r="134" spans="3:13" x14ac:dyDescent="0.35">
      <c r="C134" s="5"/>
      <c r="D134" s="5" t="s">
        <v>173</v>
      </c>
      <c r="E134" s="5">
        <v>1252771078</v>
      </c>
      <c r="F134" s="5" t="s">
        <v>905</v>
      </c>
      <c r="G134" s="5"/>
      <c r="H134" s="5" t="s">
        <v>173</v>
      </c>
      <c r="I134" s="17">
        <v>7.4962185895687895E+18</v>
      </c>
      <c r="J134" s="5"/>
      <c r="K134" s="5"/>
      <c r="L134" s="5"/>
      <c r="M134" s="5" t="s">
        <v>1276</v>
      </c>
    </row>
    <row r="135" spans="3:13" x14ac:dyDescent="0.35">
      <c r="C135" s="5"/>
      <c r="D135" s="5" t="s">
        <v>174</v>
      </c>
      <c r="E135" s="5">
        <v>1253500452</v>
      </c>
      <c r="F135" s="5" t="s">
        <v>906</v>
      </c>
      <c r="G135" s="5"/>
      <c r="H135" s="5" t="s">
        <v>174</v>
      </c>
      <c r="I135" s="17">
        <v>7.4961863017429402E+18</v>
      </c>
      <c r="J135" s="5" t="s">
        <v>911</v>
      </c>
      <c r="K135" s="5"/>
      <c r="L135" s="5"/>
      <c r="M135" s="5" t="s">
        <v>1276</v>
      </c>
    </row>
    <row r="136" spans="3:13" x14ac:dyDescent="0.35">
      <c r="C136" s="5"/>
      <c r="D136" s="5" t="s">
        <v>175</v>
      </c>
      <c r="E136" s="5">
        <v>1258721722</v>
      </c>
      <c r="F136" s="5" t="s">
        <v>903</v>
      </c>
      <c r="G136" s="5"/>
      <c r="H136" s="5" t="s">
        <v>175</v>
      </c>
      <c r="I136" s="17">
        <v>7.49621170728819E+18</v>
      </c>
      <c r="J136" s="5" t="s">
        <v>913</v>
      </c>
      <c r="K136" s="5"/>
      <c r="L136" s="5" t="s">
        <v>987</v>
      </c>
      <c r="M136" s="5" t="s">
        <v>1276</v>
      </c>
    </row>
    <row r="137" spans="3:13" x14ac:dyDescent="0.35">
      <c r="C137" s="5"/>
      <c r="D137" s="5" t="s">
        <v>176</v>
      </c>
      <c r="E137" s="5">
        <v>1258830014</v>
      </c>
      <c r="F137" s="5" t="s">
        <v>906</v>
      </c>
      <c r="G137" s="5"/>
      <c r="H137" s="5" t="s">
        <v>176</v>
      </c>
      <c r="I137" s="17">
        <v>7.4961613660864799E+18</v>
      </c>
      <c r="J137" s="5" t="s">
        <v>908</v>
      </c>
      <c r="K137" s="5"/>
      <c r="L137" s="5"/>
      <c r="M137" s="5" t="s">
        <v>1276</v>
      </c>
    </row>
    <row r="138" spans="3:13" x14ac:dyDescent="0.35">
      <c r="C138" s="5"/>
      <c r="D138" s="5" t="s">
        <v>177</v>
      </c>
      <c r="E138" s="5">
        <v>1259153098</v>
      </c>
      <c r="F138" s="5" t="s">
        <v>904</v>
      </c>
      <c r="G138" s="5"/>
      <c r="H138" s="5" t="s">
        <v>177</v>
      </c>
      <c r="I138" s="17">
        <v>7.4961873721300398E+18</v>
      </c>
      <c r="J138" s="5" t="s">
        <v>926</v>
      </c>
      <c r="K138" s="5"/>
      <c r="L138" s="5"/>
      <c r="M138" s="5" t="s">
        <v>1276</v>
      </c>
    </row>
    <row r="139" spans="3:13" x14ac:dyDescent="0.35">
      <c r="C139" s="5"/>
      <c r="D139" s="5" t="s">
        <v>178</v>
      </c>
      <c r="E139" s="5">
        <v>1261733250</v>
      </c>
      <c r="F139" s="5" t="s">
        <v>903</v>
      </c>
      <c r="G139" s="5"/>
      <c r="H139" s="5" t="s">
        <v>178</v>
      </c>
      <c r="I139" s="17">
        <v>7.4961865304422799E+18</v>
      </c>
      <c r="J139" s="5" t="s">
        <v>933</v>
      </c>
      <c r="K139" s="5"/>
      <c r="L139" s="5"/>
      <c r="M139" s="5" t="s">
        <v>1276</v>
      </c>
    </row>
    <row r="140" spans="3:13" x14ac:dyDescent="0.35">
      <c r="C140" s="5"/>
      <c r="D140" s="5" t="s">
        <v>179</v>
      </c>
      <c r="E140" s="5">
        <v>1262603742</v>
      </c>
      <c r="F140" s="5" t="s">
        <v>906</v>
      </c>
      <c r="G140" s="5"/>
      <c r="H140" s="5" t="s">
        <v>179</v>
      </c>
      <c r="I140" s="17">
        <v>7.4962024628752497E+18</v>
      </c>
      <c r="J140" s="5" t="s">
        <v>908</v>
      </c>
      <c r="K140" s="5"/>
      <c r="L140" s="5" t="s">
        <v>988</v>
      </c>
      <c r="M140" s="5" t="s">
        <v>1276</v>
      </c>
    </row>
    <row r="141" spans="3:13" x14ac:dyDescent="0.35">
      <c r="C141" s="5"/>
      <c r="D141" s="5" t="s">
        <v>180</v>
      </c>
      <c r="E141" s="5">
        <v>1264112423</v>
      </c>
      <c r="F141" s="5" t="s">
        <v>904</v>
      </c>
      <c r="G141" s="5"/>
      <c r="H141" s="5" t="s">
        <v>180</v>
      </c>
      <c r="I141" s="17">
        <v>7.4962012524096E+18</v>
      </c>
      <c r="J141" s="5" t="s">
        <v>926</v>
      </c>
      <c r="K141" s="5"/>
      <c r="L141" s="5" t="s">
        <v>989</v>
      </c>
      <c r="M141" s="5" t="s">
        <v>1276</v>
      </c>
    </row>
    <row r="142" spans="3:13" x14ac:dyDescent="0.35">
      <c r="C142" s="5"/>
      <c r="D142" s="5" t="s">
        <v>181</v>
      </c>
      <c r="E142" s="5">
        <v>1264631014</v>
      </c>
      <c r="F142" s="5" t="s">
        <v>905</v>
      </c>
      <c r="G142" s="5"/>
      <c r="H142" s="5" t="s">
        <v>181</v>
      </c>
      <c r="I142" s="17">
        <v>7.4961616106136197E+18</v>
      </c>
      <c r="J142" s="5" t="s">
        <v>941</v>
      </c>
      <c r="K142" s="5"/>
      <c r="L142" s="5" t="s">
        <v>990</v>
      </c>
      <c r="M142" s="5" t="s">
        <v>1276</v>
      </c>
    </row>
    <row r="143" spans="3:13" x14ac:dyDescent="0.35">
      <c r="C143" s="5"/>
      <c r="D143" s="5" t="s">
        <v>182</v>
      </c>
      <c r="E143" s="5">
        <v>1265443235</v>
      </c>
      <c r="F143" s="5" t="s">
        <v>906</v>
      </c>
      <c r="G143" s="5"/>
      <c r="H143" s="5" t="s">
        <v>182</v>
      </c>
      <c r="I143" s="17">
        <v>7.4961867000717896E+18</v>
      </c>
      <c r="J143" s="5"/>
      <c r="K143" s="5"/>
      <c r="L143" s="5"/>
      <c r="M143" s="5" t="s">
        <v>1276</v>
      </c>
    </row>
    <row r="144" spans="3:13" x14ac:dyDescent="0.35">
      <c r="C144" s="5"/>
      <c r="D144" s="5" t="s">
        <v>183</v>
      </c>
      <c r="E144" s="5">
        <v>1266325318</v>
      </c>
      <c r="F144" s="5" t="s">
        <v>906</v>
      </c>
      <c r="G144" s="5"/>
      <c r="H144" s="5" t="s">
        <v>183</v>
      </c>
      <c r="I144" s="17">
        <v>7.4962052732305101E+18</v>
      </c>
      <c r="J144" s="5" t="s">
        <v>908</v>
      </c>
      <c r="K144" s="5"/>
      <c r="L144" s="5" t="s">
        <v>991</v>
      </c>
      <c r="M144" s="5" t="s">
        <v>1276</v>
      </c>
    </row>
    <row r="145" spans="3:13" x14ac:dyDescent="0.35">
      <c r="C145" s="5"/>
      <c r="D145" s="5" t="s">
        <v>184</v>
      </c>
      <c r="E145" s="5">
        <v>1266325318</v>
      </c>
      <c r="F145" s="5" t="s">
        <v>906</v>
      </c>
      <c r="G145" s="5"/>
      <c r="H145" s="5" t="s">
        <v>183</v>
      </c>
      <c r="I145" s="17">
        <v>7.4962052732305101E+18</v>
      </c>
      <c r="J145" s="5" t="s">
        <v>908</v>
      </c>
      <c r="K145" s="5"/>
      <c r="L145" s="5" t="s">
        <v>991</v>
      </c>
      <c r="M145" s="5" t="s">
        <v>1276</v>
      </c>
    </row>
    <row r="146" spans="3:13" x14ac:dyDescent="0.35">
      <c r="C146" s="5"/>
      <c r="D146" s="5" t="s">
        <v>185</v>
      </c>
      <c r="E146" s="5">
        <v>1267085986</v>
      </c>
      <c r="F146" s="5" t="s">
        <v>906</v>
      </c>
      <c r="G146" s="5"/>
      <c r="H146" s="5" t="s">
        <v>185</v>
      </c>
      <c r="I146" s="17">
        <v>7.4961820142301E+18</v>
      </c>
      <c r="J146" s="5" t="s">
        <v>908</v>
      </c>
      <c r="K146" s="5"/>
      <c r="L146" s="5" t="s">
        <v>992</v>
      </c>
      <c r="M146" s="5" t="s">
        <v>1276</v>
      </c>
    </row>
    <row r="147" spans="3:13" x14ac:dyDescent="0.35">
      <c r="C147" s="5"/>
      <c r="D147" s="5" t="s">
        <v>186</v>
      </c>
      <c r="E147" s="5">
        <v>1267153913</v>
      </c>
      <c r="F147" s="5" t="s">
        <v>905</v>
      </c>
      <c r="G147" s="5"/>
      <c r="H147" s="5" t="s">
        <v>186</v>
      </c>
      <c r="I147" s="17">
        <v>7.4961665766555904E+18</v>
      </c>
      <c r="J147" s="5" t="s">
        <v>936</v>
      </c>
      <c r="K147" s="5"/>
      <c r="L147" s="5" t="s">
        <v>993</v>
      </c>
      <c r="M147" s="5" t="s">
        <v>1276</v>
      </c>
    </row>
    <row r="148" spans="3:13" x14ac:dyDescent="0.35">
      <c r="C148" s="5"/>
      <c r="D148" s="5" t="s">
        <v>187</v>
      </c>
      <c r="E148" s="5">
        <v>1271897145</v>
      </c>
      <c r="F148" s="5" t="s">
        <v>903</v>
      </c>
      <c r="G148" s="5"/>
      <c r="H148" s="5" t="s">
        <v>187</v>
      </c>
      <c r="I148" s="17">
        <v>7.4941601108744899E+18</v>
      </c>
      <c r="J148" s="5"/>
      <c r="K148" s="5"/>
      <c r="L148" s="5"/>
      <c r="M148" s="5" t="s">
        <v>1276</v>
      </c>
    </row>
    <row r="149" spans="3:13" x14ac:dyDescent="0.35">
      <c r="C149" s="5"/>
      <c r="D149" s="5" t="s">
        <v>188</v>
      </c>
      <c r="E149" s="5">
        <v>1271907467</v>
      </c>
      <c r="F149" s="5" t="s">
        <v>905</v>
      </c>
      <c r="G149" s="5"/>
      <c r="H149" s="5"/>
      <c r="I149" s="17"/>
      <c r="J149" s="5"/>
      <c r="K149" s="5"/>
      <c r="L149" s="5"/>
      <c r="M149" s="5" t="s">
        <v>1276</v>
      </c>
    </row>
    <row r="150" spans="3:13" x14ac:dyDescent="0.35">
      <c r="C150" s="5"/>
      <c r="D150" s="5" t="s">
        <v>189</v>
      </c>
      <c r="E150" s="5">
        <v>1278493331</v>
      </c>
      <c r="F150" s="5" t="s">
        <v>905</v>
      </c>
      <c r="G150" s="5"/>
      <c r="H150" s="5" t="s">
        <v>189</v>
      </c>
      <c r="I150" s="17">
        <v>7.4941168850322995E+18</v>
      </c>
      <c r="J150" s="5"/>
      <c r="K150" s="5"/>
      <c r="L150" s="5"/>
      <c r="M150" s="5" t="s">
        <v>1276</v>
      </c>
    </row>
    <row r="151" spans="3:13" x14ac:dyDescent="0.35">
      <c r="C151" s="5"/>
      <c r="D151" s="5" t="s">
        <v>190</v>
      </c>
      <c r="E151" s="5">
        <v>1280640240</v>
      </c>
      <c r="F151" s="5" t="s">
        <v>903</v>
      </c>
      <c r="G151" s="5"/>
      <c r="H151" s="5" t="s">
        <v>190</v>
      </c>
      <c r="I151" s="17">
        <v>7.4962521058062797E+18</v>
      </c>
      <c r="J151" s="5" t="s">
        <v>910</v>
      </c>
      <c r="K151" s="5"/>
      <c r="L151" s="5" t="s">
        <v>994</v>
      </c>
      <c r="M151" s="5" t="s">
        <v>1276</v>
      </c>
    </row>
    <row r="152" spans="3:13" x14ac:dyDescent="0.35">
      <c r="C152" s="5"/>
      <c r="D152" s="5" t="s">
        <v>191</v>
      </c>
      <c r="E152" s="5">
        <v>1286402844</v>
      </c>
      <c r="F152" s="5" t="s">
        <v>904</v>
      </c>
      <c r="G152" s="5"/>
      <c r="H152" s="5" t="s">
        <v>191</v>
      </c>
      <c r="I152" s="17">
        <v>7.4962371739794504E+18</v>
      </c>
      <c r="J152" s="5" t="s">
        <v>926</v>
      </c>
      <c r="K152" s="5"/>
      <c r="L152" s="5" t="s">
        <v>995</v>
      </c>
      <c r="M152" s="5" t="s">
        <v>1276</v>
      </c>
    </row>
    <row r="153" spans="3:13" x14ac:dyDescent="0.35">
      <c r="C153" s="5"/>
      <c r="D153" s="5" t="s">
        <v>192</v>
      </c>
      <c r="E153" s="5">
        <v>1289190189</v>
      </c>
      <c r="F153" s="5" t="s">
        <v>903</v>
      </c>
      <c r="G153" s="5"/>
      <c r="H153" s="5"/>
      <c r="I153" s="17"/>
      <c r="J153" s="5"/>
      <c r="K153" s="5"/>
      <c r="L153" s="5"/>
      <c r="M153" s="5" t="s">
        <v>1276</v>
      </c>
    </row>
    <row r="154" spans="3:13" x14ac:dyDescent="0.35">
      <c r="C154" s="5"/>
      <c r="D154" s="5" t="s">
        <v>193</v>
      </c>
      <c r="E154" s="5">
        <v>1295467768</v>
      </c>
      <c r="F154" s="5" t="s">
        <v>906</v>
      </c>
      <c r="G154" s="5"/>
      <c r="H154" s="5"/>
      <c r="I154" s="17"/>
      <c r="J154" s="5"/>
      <c r="K154" s="5"/>
      <c r="L154" s="5"/>
      <c r="M154" s="5" t="s">
        <v>1276</v>
      </c>
    </row>
    <row r="155" spans="3:13" x14ac:dyDescent="0.35">
      <c r="C155" s="5"/>
      <c r="D155" s="5" t="s">
        <v>194</v>
      </c>
      <c r="E155" s="5">
        <v>1295890416</v>
      </c>
      <c r="F155" s="5" t="s">
        <v>903</v>
      </c>
      <c r="G155" s="5"/>
      <c r="H155" s="5"/>
      <c r="I155" s="17"/>
      <c r="J155" s="5"/>
      <c r="K155" s="5"/>
      <c r="L155" s="5"/>
      <c r="M155" s="5" t="s">
        <v>1276</v>
      </c>
    </row>
    <row r="156" spans="3:13" x14ac:dyDescent="0.35">
      <c r="C156" s="5"/>
      <c r="D156" s="5" t="s">
        <v>195</v>
      </c>
      <c r="E156" s="5">
        <v>1299283009</v>
      </c>
      <c r="F156" s="5" t="s">
        <v>906</v>
      </c>
      <c r="G156" s="5"/>
      <c r="H156" s="5" t="s">
        <v>195</v>
      </c>
      <c r="I156" s="17">
        <v>7.49424173795072E+18</v>
      </c>
      <c r="J156" s="5"/>
      <c r="K156" s="5"/>
      <c r="L156" s="5"/>
      <c r="M156" s="5" t="s">
        <v>1276</v>
      </c>
    </row>
    <row r="157" spans="3:13" x14ac:dyDescent="0.35">
      <c r="C157" s="5"/>
      <c r="D157" s="5" t="s">
        <v>196</v>
      </c>
      <c r="E157" s="5">
        <v>1299621852</v>
      </c>
      <c r="F157" s="5" t="s">
        <v>907</v>
      </c>
      <c r="G157" s="5"/>
      <c r="H157" s="5" t="s">
        <v>196</v>
      </c>
      <c r="I157" s="17">
        <v>7.4961531492206797E+18</v>
      </c>
      <c r="J157" s="5" t="s">
        <v>984</v>
      </c>
      <c r="K157" s="5"/>
      <c r="L157" s="5" t="s">
        <v>996</v>
      </c>
      <c r="M157" s="5" t="s">
        <v>1276</v>
      </c>
    </row>
    <row r="158" spans="3:13" x14ac:dyDescent="0.35">
      <c r="C158" s="5"/>
      <c r="D158" s="5" t="s">
        <v>197</v>
      </c>
      <c r="E158" s="5">
        <v>1304513381</v>
      </c>
      <c r="F158" s="5" t="s">
        <v>906</v>
      </c>
      <c r="G158" s="5"/>
      <c r="H158" s="5" t="s">
        <v>197</v>
      </c>
      <c r="I158" s="17">
        <v>7.4961549048489196E+18</v>
      </c>
      <c r="J158" s="5" t="s">
        <v>908</v>
      </c>
      <c r="K158" s="5"/>
      <c r="L158" s="5" t="s">
        <v>997</v>
      </c>
      <c r="M158" s="5" t="s">
        <v>1276</v>
      </c>
    </row>
    <row r="159" spans="3:13" x14ac:dyDescent="0.35">
      <c r="C159" s="5"/>
      <c r="D159" s="5" t="s">
        <v>198</v>
      </c>
      <c r="E159" s="5">
        <v>1306123151</v>
      </c>
      <c r="F159" s="5" t="s">
        <v>903</v>
      </c>
      <c r="G159" s="5"/>
      <c r="H159" s="5" t="s">
        <v>198</v>
      </c>
      <c r="I159" s="17">
        <v>7.4961843812480799E+18</v>
      </c>
      <c r="J159" s="5" t="s">
        <v>913</v>
      </c>
      <c r="K159" s="5"/>
      <c r="L159" s="5" t="s">
        <v>998</v>
      </c>
      <c r="M159" s="5" t="s">
        <v>1276</v>
      </c>
    </row>
    <row r="160" spans="3:13" x14ac:dyDescent="0.35">
      <c r="C160" s="5"/>
      <c r="D160" s="5" t="s">
        <v>199</v>
      </c>
      <c r="E160" s="5">
        <v>1307017279</v>
      </c>
      <c r="F160" s="5" t="s">
        <v>907</v>
      </c>
      <c r="G160" s="5"/>
      <c r="H160" s="5" t="s">
        <v>199</v>
      </c>
      <c r="I160" s="17">
        <v>7.4941890929233398E+18</v>
      </c>
      <c r="J160" s="5"/>
      <c r="K160" s="5"/>
      <c r="L160" s="5"/>
      <c r="M160" s="5" t="s">
        <v>1276</v>
      </c>
    </row>
    <row r="161" spans="3:13" x14ac:dyDescent="0.35">
      <c r="C161" s="5"/>
      <c r="D161" s="5" t="s">
        <v>200</v>
      </c>
      <c r="E161" s="5">
        <v>1308629416</v>
      </c>
      <c r="F161" s="5" t="s">
        <v>905</v>
      </c>
      <c r="G161" s="5"/>
      <c r="H161" s="5" t="s">
        <v>200</v>
      </c>
      <c r="I161" s="17">
        <v>7.4961797487384003E+18</v>
      </c>
      <c r="J161" s="5"/>
      <c r="K161" s="5"/>
      <c r="L161" s="5"/>
      <c r="M161" s="5" t="s">
        <v>1276</v>
      </c>
    </row>
    <row r="162" spans="3:13" x14ac:dyDescent="0.35">
      <c r="C162" s="5"/>
      <c r="D162" s="5" t="s">
        <v>201</v>
      </c>
      <c r="E162" s="5">
        <v>1309493698</v>
      </c>
      <c r="F162" s="5" t="s">
        <v>905</v>
      </c>
      <c r="G162" s="5"/>
      <c r="H162" s="5" t="s">
        <v>201</v>
      </c>
      <c r="I162" s="17">
        <v>7.4961873958293596E+18</v>
      </c>
      <c r="J162" s="5" t="s">
        <v>941</v>
      </c>
      <c r="K162" s="5"/>
      <c r="L162" s="5"/>
      <c r="M162" s="5" t="s">
        <v>1276</v>
      </c>
    </row>
    <row r="163" spans="3:13" x14ac:dyDescent="0.35">
      <c r="C163" s="5"/>
      <c r="D163" s="5" t="s">
        <v>202</v>
      </c>
      <c r="E163" s="5">
        <v>1310974876</v>
      </c>
      <c r="F163" s="5" t="s">
        <v>903</v>
      </c>
      <c r="G163" s="5"/>
      <c r="H163" s="5" t="s">
        <v>202</v>
      </c>
      <c r="I163" s="17">
        <v>7.4962051233426596E+18</v>
      </c>
      <c r="J163" s="5" t="s">
        <v>933</v>
      </c>
      <c r="K163" s="5"/>
      <c r="L163" s="5" t="s">
        <v>999</v>
      </c>
      <c r="M163" s="5" t="s">
        <v>1276</v>
      </c>
    </row>
    <row r="164" spans="3:13" x14ac:dyDescent="0.35">
      <c r="C164" s="5"/>
      <c r="D164" s="5" t="s">
        <v>203</v>
      </c>
      <c r="E164" s="5">
        <v>1315716433</v>
      </c>
      <c r="F164" s="5" t="s">
        <v>905</v>
      </c>
      <c r="G164" s="5"/>
      <c r="H164" s="5" t="s">
        <v>203</v>
      </c>
      <c r="I164" s="17">
        <v>7.4961677662382602E+18</v>
      </c>
      <c r="J164" s="5" t="s">
        <v>984</v>
      </c>
      <c r="K164" s="5"/>
      <c r="L164" s="5" t="s">
        <v>1000</v>
      </c>
      <c r="M164" s="5" t="s">
        <v>1276</v>
      </c>
    </row>
    <row r="165" spans="3:13" x14ac:dyDescent="0.35">
      <c r="C165" s="5"/>
      <c r="D165" s="5" t="s">
        <v>204</v>
      </c>
      <c r="E165" s="5">
        <v>1316535252</v>
      </c>
      <c r="F165" s="5" t="s">
        <v>903</v>
      </c>
      <c r="G165" s="5"/>
      <c r="H165" s="5" t="s">
        <v>204</v>
      </c>
      <c r="I165" s="17">
        <v>7.4961853378041897E+18</v>
      </c>
      <c r="J165" s="5" t="s">
        <v>924</v>
      </c>
      <c r="K165" s="5"/>
      <c r="L165" s="5" t="s">
        <v>1001</v>
      </c>
      <c r="M165" s="5" t="s">
        <v>1276</v>
      </c>
    </row>
    <row r="166" spans="3:13" x14ac:dyDescent="0.35">
      <c r="C166" s="5"/>
      <c r="D166" s="5" t="s">
        <v>205</v>
      </c>
      <c r="E166" s="5">
        <v>1321565815</v>
      </c>
      <c r="F166" s="5" t="s">
        <v>903</v>
      </c>
      <c r="G166" s="5"/>
      <c r="H166" s="5" t="s">
        <v>205</v>
      </c>
      <c r="I166" s="17">
        <v>7.4961829789569198E+18</v>
      </c>
      <c r="J166" s="5" t="s">
        <v>941</v>
      </c>
      <c r="K166" s="5"/>
      <c r="L166" s="5" t="s">
        <v>1002</v>
      </c>
      <c r="M166" s="5" t="s">
        <v>1276</v>
      </c>
    </row>
    <row r="167" spans="3:13" x14ac:dyDescent="0.35">
      <c r="C167" s="5"/>
      <c r="D167" s="5" t="s">
        <v>206</v>
      </c>
      <c r="E167" s="5">
        <v>1334088625</v>
      </c>
      <c r="F167" s="5" t="s">
        <v>906</v>
      </c>
      <c r="G167" s="5"/>
      <c r="H167" s="5" t="s">
        <v>206</v>
      </c>
      <c r="I167" s="17">
        <v>7.4961819702677002E+18</v>
      </c>
      <c r="J167" s="5" t="s">
        <v>908</v>
      </c>
      <c r="K167" s="5"/>
      <c r="L167" s="5" t="s">
        <v>1003</v>
      </c>
      <c r="M167" s="5" t="s">
        <v>1276</v>
      </c>
    </row>
    <row r="168" spans="3:13" x14ac:dyDescent="0.35">
      <c r="C168" s="5"/>
      <c r="D168" s="5" t="s">
        <v>207</v>
      </c>
      <c r="E168" s="5">
        <v>1334329570</v>
      </c>
      <c r="F168" s="5" t="s">
        <v>906</v>
      </c>
      <c r="G168" s="5"/>
      <c r="H168" s="5" t="s">
        <v>207</v>
      </c>
      <c r="I168" s="17">
        <v>7.4963009119413504E+18</v>
      </c>
      <c r="J168" s="5" t="s">
        <v>939</v>
      </c>
      <c r="K168" s="5"/>
      <c r="L168" s="5" t="s">
        <v>1004</v>
      </c>
      <c r="M168" s="5" t="s">
        <v>1276</v>
      </c>
    </row>
    <row r="169" spans="3:13" x14ac:dyDescent="0.35">
      <c r="C169" s="5"/>
      <c r="D169" s="5" t="s">
        <v>208</v>
      </c>
      <c r="E169" s="5">
        <v>1335811830</v>
      </c>
      <c r="F169" s="5" t="s">
        <v>903</v>
      </c>
      <c r="G169" s="5"/>
      <c r="H169" s="5" t="s">
        <v>208</v>
      </c>
      <c r="I169" s="17">
        <v>7.4961986611637402E+18</v>
      </c>
      <c r="J169" s="5" t="s">
        <v>941</v>
      </c>
      <c r="K169" s="5"/>
      <c r="L169" s="5"/>
      <c r="M169" s="5" t="s">
        <v>1276</v>
      </c>
    </row>
    <row r="170" spans="3:13" x14ac:dyDescent="0.35">
      <c r="C170" s="5"/>
      <c r="D170" s="5" t="s">
        <v>209</v>
      </c>
      <c r="E170" s="5">
        <v>1338070754</v>
      </c>
      <c r="F170" s="5" t="s">
        <v>903</v>
      </c>
      <c r="G170" s="5"/>
      <c r="H170" s="5"/>
      <c r="I170" s="17"/>
      <c r="J170" s="5"/>
      <c r="K170" s="5"/>
      <c r="L170" s="5"/>
      <c r="M170" s="5" t="s">
        <v>1276</v>
      </c>
    </row>
    <row r="171" spans="3:13" x14ac:dyDescent="0.35">
      <c r="C171" s="5"/>
      <c r="D171" s="5" t="s">
        <v>210</v>
      </c>
      <c r="E171" s="5">
        <v>1338579049</v>
      </c>
      <c r="F171" s="5" t="s">
        <v>905</v>
      </c>
      <c r="G171" s="5"/>
      <c r="H171" s="5"/>
      <c r="I171" s="17"/>
      <c r="J171" s="5"/>
      <c r="K171" s="5"/>
      <c r="L171" s="5"/>
      <c r="M171" s="5" t="s">
        <v>1276</v>
      </c>
    </row>
    <row r="172" spans="3:13" x14ac:dyDescent="0.35">
      <c r="C172" s="5"/>
      <c r="D172" s="5" t="s">
        <v>211</v>
      </c>
      <c r="E172" s="5">
        <v>1340867165</v>
      </c>
      <c r="F172" s="5" t="s">
        <v>903</v>
      </c>
      <c r="G172" s="5"/>
      <c r="H172" s="5" t="s">
        <v>211</v>
      </c>
      <c r="I172" s="17">
        <v>7.4962125162776801E+18</v>
      </c>
      <c r="J172" s="5" t="s">
        <v>941</v>
      </c>
      <c r="K172" s="5"/>
      <c r="L172" s="5" t="s">
        <v>1005</v>
      </c>
      <c r="M172" s="5" t="s">
        <v>1276</v>
      </c>
    </row>
    <row r="173" spans="3:13" x14ac:dyDescent="0.35">
      <c r="C173" s="5"/>
      <c r="D173" s="5" t="s">
        <v>212</v>
      </c>
      <c r="E173" s="5">
        <v>1344835721</v>
      </c>
      <c r="F173" s="5" t="s">
        <v>905</v>
      </c>
      <c r="G173" s="5"/>
      <c r="H173" s="5" t="s">
        <v>212</v>
      </c>
      <c r="I173" s="17">
        <v>7.4962286813403197E+18</v>
      </c>
      <c r="J173" s="5" t="s">
        <v>942</v>
      </c>
      <c r="K173" s="5"/>
      <c r="L173" s="5" t="s">
        <v>1006</v>
      </c>
      <c r="M173" s="5" t="s">
        <v>1276</v>
      </c>
    </row>
    <row r="174" spans="3:13" x14ac:dyDescent="0.35">
      <c r="C174" s="5"/>
      <c r="D174" s="5" t="s">
        <v>213</v>
      </c>
      <c r="E174" s="5">
        <v>1345899619</v>
      </c>
      <c r="F174" s="5" t="s">
        <v>906</v>
      </c>
      <c r="G174" s="5"/>
      <c r="H174" s="5" t="s">
        <v>213</v>
      </c>
      <c r="I174" s="17">
        <v>7.4961621601998899E+18</v>
      </c>
      <c r="J174" s="5"/>
      <c r="K174" s="5"/>
      <c r="L174" s="5"/>
      <c r="M174" s="5" t="s">
        <v>1276</v>
      </c>
    </row>
    <row r="175" spans="3:13" x14ac:dyDescent="0.35">
      <c r="C175" s="5"/>
      <c r="D175" s="5" t="s">
        <v>214</v>
      </c>
      <c r="E175" s="5">
        <v>1356910862</v>
      </c>
      <c r="F175" s="5" t="s">
        <v>904</v>
      </c>
      <c r="G175" s="5"/>
      <c r="H175" s="5" t="s">
        <v>214</v>
      </c>
      <c r="I175" s="17">
        <v>7.4962128284029102E+18</v>
      </c>
      <c r="J175" s="5" t="s">
        <v>918</v>
      </c>
      <c r="K175" s="5"/>
      <c r="L175" s="5" t="s">
        <v>1007</v>
      </c>
      <c r="M175" s="5" t="s">
        <v>1276</v>
      </c>
    </row>
    <row r="176" spans="3:13" x14ac:dyDescent="0.35">
      <c r="C176" s="5"/>
      <c r="D176" s="5" t="s">
        <v>215</v>
      </c>
      <c r="E176" s="5">
        <v>1360752092</v>
      </c>
      <c r="F176" s="5" t="s">
        <v>906</v>
      </c>
      <c r="G176" s="5"/>
      <c r="H176" s="5"/>
      <c r="I176" s="17"/>
      <c r="J176" s="5"/>
      <c r="K176" s="5"/>
      <c r="L176" s="5"/>
      <c r="M176" s="5" t="s">
        <v>1276</v>
      </c>
    </row>
    <row r="177" spans="3:13" x14ac:dyDescent="0.35">
      <c r="C177" s="5"/>
      <c r="D177" s="5" t="s">
        <v>216</v>
      </c>
      <c r="E177" s="5">
        <v>1360757616</v>
      </c>
      <c r="F177" s="5" t="s">
        <v>903</v>
      </c>
      <c r="G177" s="5"/>
      <c r="H177" s="5"/>
      <c r="I177" s="17"/>
      <c r="J177" s="5"/>
      <c r="K177" s="5"/>
      <c r="L177" s="5"/>
      <c r="M177" s="5" t="s">
        <v>1276</v>
      </c>
    </row>
    <row r="178" spans="3:13" x14ac:dyDescent="0.35">
      <c r="C178" s="5"/>
      <c r="D178" s="5" t="s">
        <v>217</v>
      </c>
      <c r="E178" s="5">
        <v>1361396750</v>
      </c>
      <c r="F178" s="5" t="s">
        <v>903</v>
      </c>
      <c r="G178" s="5"/>
      <c r="H178" s="5"/>
      <c r="I178" s="17"/>
      <c r="J178" s="5"/>
      <c r="K178" s="5"/>
      <c r="L178" s="5"/>
      <c r="M178" s="5" t="s">
        <v>1276</v>
      </c>
    </row>
    <row r="179" spans="3:13" x14ac:dyDescent="0.35">
      <c r="C179" s="5"/>
      <c r="D179" s="5" t="s">
        <v>218</v>
      </c>
      <c r="E179" s="5">
        <v>1362271096</v>
      </c>
      <c r="F179" s="5" t="s">
        <v>905</v>
      </c>
      <c r="G179" s="5"/>
      <c r="H179" s="5"/>
      <c r="I179" s="17"/>
      <c r="J179" s="5"/>
      <c r="K179" s="5"/>
      <c r="L179" s="5"/>
      <c r="M179" s="5" t="s">
        <v>1276</v>
      </c>
    </row>
    <row r="180" spans="3:13" x14ac:dyDescent="0.35">
      <c r="C180" s="5"/>
      <c r="D180" s="5" t="s">
        <v>219</v>
      </c>
      <c r="E180" s="5">
        <v>1363574852</v>
      </c>
      <c r="F180" s="5" t="s">
        <v>906</v>
      </c>
      <c r="G180" s="5"/>
      <c r="H180" s="5" t="s">
        <v>219</v>
      </c>
      <c r="I180" s="17">
        <v>7.4961820585245696E+18</v>
      </c>
      <c r="J180" s="5" t="s">
        <v>939</v>
      </c>
      <c r="K180" s="5"/>
      <c r="L180" s="5" t="s">
        <v>1008</v>
      </c>
      <c r="M180" s="5" t="s">
        <v>1276</v>
      </c>
    </row>
    <row r="181" spans="3:13" x14ac:dyDescent="0.35">
      <c r="C181" s="5"/>
      <c r="D181" s="5" t="s">
        <v>220</v>
      </c>
      <c r="E181" s="5">
        <v>1368400178</v>
      </c>
      <c r="F181" s="5" t="s">
        <v>903</v>
      </c>
      <c r="G181" s="5"/>
      <c r="H181" s="5"/>
      <c r="I181" s="17"/>
      <c r="J181" s="5"/>
      <c r="K181" s="5"/>
      <c r="L181" s="5"/>
      <c r="M181" s="5" t="s">
        <v>1276</v>
      </c>
    </row>
    <row r="182" spans="3:13" x14ac:dyDescent="0.35">
      <c r="C182" s="5"/>
      <c r="D182" s="5" t="s">
        <v>221</v>
      </c>
      <c r="E182" s="5">
        <v>1371273333</v>
      </c>
      <c r="F182" s="5" t="s">
        <v>903</v>
      </c>
      <c r="G182" s="5"/>
      <c r="H182" s="5"/>
      <c r="I182" s="17"/>
      <c r="J182" s="5"/>
      <c r="K182" s="5"/>
      <c r="L182" s="5"/>
      <c r="M182" s="5" t="s">
        <v>1276</v>
      </c>
    </row>
    <row r="183" spans="3:13" x14ac:dyDescent="0.35">
      <c r="C183" s="5"/>
      <c r="D183" s="5" t="s">
        <v>222</v>
      </c>
      <c r="E183" s="5">
        <v>1371808882</v>
      </c>
      <c r="F183" s="5" t="s">
        <v>903</v>
      </c>
      <c r="G183" s="5"/>
      <c r="H183" s="5"/>
      <c r="I183" s="17"/>
      <c r="J183" s="5"/>
      <c r="K183" s="5"/>
      <c r="L183" s="5"/>
      <c r="M183" s="5" t="s">
        <v>1276</v>
      </c>
    </row>
    <row r="184" spans="3:13" x14ac:dyDescent="0.35">
      <c r="C184" s="5"/>
      <c r="D184" s="5" t="s">
        <v>223</v>
      </c>
      <c r="E184" s="5">
        <v>1373548058</v>
      </c>
      <c r="F184" s="5" t="s">
        <v>906</v>
      </c>
      <c r="G184" s="5"/>
      <c r="H184" s="5" t="s">
        <v>223</v>
      </c>
      <c r="I184" s="17">
        <v>7.4961632432399596E+18</v>
      </c>
      <c r="J184" s="5" t="s">
        <v>926</v>
      </c>
      <c r="K184" s="5"/>
      <c r="L184" s="5" t="s">
        <v>1009</v>
      </c>
      <c r="M184" s="5" t="s">
        <v>1276</v>
      </c>
    </row>
    <row r="185" spans="3:13" x14ac:dyDescent="0.35">
      <c r="C185" s="5"/>
      <c r="D185" s="5" t="s">
        <v>224</v>
      </c>
      <c r="E185" s="5">
        <v>1376768118</v>
      </c>
      <c r="F185" s="5" t="s">
        <v>903</v>
      </c>
      <c r="G185" s="5"/>
      <c r="H185" s="5" t="s">
        <v>224</v>
      </c>
      <c r="I185" s="17">
        <v>7.4962208406558095E+18</v>
      </c>
      <c r="J185" s="5" t="s">
        <v>933</v>
      </c>
      <c r="K185" s="5"/>
      <c r="L185" s="5"/>
      <c r="M185" s="5" t="s">
        <v>1276</v>
      </c>
    </row>
    <row r="186" spans="3:13" x14ac:dyDescent="0.35">
      <c r="C186" s="5"/>
      <c r="D186" s="5" t="s">
        <v>225</v>
      </c>
      <c r="E186" s="5">
        <v>1376768118</v>
      </c>
      <c r="F186" s="5" t="s">
        <v>903</v>
      </c>
      <c r="G186" s="5"/>
      <c r="H186" s="5" t="s">
        <v>224</v>
      </c>
      <c r="I186" s="17">
        <v>7.4962208406558095E+18</v>
      </c>
      <c r="J186" s="5" t="s">
        <v>933</v>
      </c>
      <c r="K186" s="5"/>
      <c r="L186" s="5"/>
      <c r="M186" s="5" t="s">
        <v>1276</v>
      </c>
    </row>
    <row r="187" spans="3:13" x14ac:dyDescent="0.35">
      <c r="C187" s="5"/>
      <c r="D187" s="5" t="s">
        <v>226</v>
      </c>
      <c r="E187" s="5">
        <v>1377846021</v>
      </c>
      <c r="F187" s="5" t="s">
        <v>906</v>
      </c>
      <c r="G187" s="5"/>
      <c r="H187" s="5" t="s">
        <v>226</v>
      </c>
      <c r="I187" s="17">
        <v>7.4961906281899305E+18</v>
      </c>
      <c r="J187" s="5" t="s">
        <v>916</v>
      </c>
      <c r="K187" s="5"/>
      <c r="L187" s="5"/>
      <c r="M187" s="5" t="s">
        <v>1276</v>
      </c>
    </row>
    <row r="188" spans="3:13" x14ac:dyDescent="0.35">
      <c r="C188" s="5"/>
      <c r="D188" s="5" t="s">
        <v>227</v>
      </c>
      <c r="E188" s="5">
        <v>1378104016</v>
      </c>
      <c r="F188" s="5" t="s">
        <v>905</v>
      </c>
      <c r="G188" s="5"/>
      <c r="H188" s="5" t="s">
        <v>227</v>
      </c>
      <c r="I188" s="17">
        <v>7.49618189504653E+18</v>
      </c>
      <c r="J188" s="5" t="s">
        <v>931</v>
      </c>
      <c r="K188" s="5"/>
      <c r="L188" s="5" t="s">
        <v>1010</v>
      </c>
      <c r="M188" s="5" t="s">
        <v>1276</v>
      </c>
    </row>
    <row r="189" spans="3:13" x14ac:dyDescent="0.35">
      <c r="C189" s="5"/>
      <c r="D189" s="5" t="s">
        <v>228</v>
      </c>
      <c r="E189" s="5">
        <v>1379352265</v>
      </c>
      <c r="F189" s="5" t="s">
        <v>903</v>
      </c>
      <c r="G189" s="5"/>
      <c r="H189" s="5"/>
      <c r="I189" s="17"/>
      <c r="J189" s="5"/>
      <c r="K189" s="5"/>
      <c r="L189" s="5"/>
      <c r="M189" s="5" t="s">
        <v>1276</v>
      </c>
    </row>
    <row r="190" spans="3:13" x14ac:dyDescent="0.35">
      <c r="C190" s="5"/>
      <c r="D190" s="5" t="s">
        <v>229</v>
      </c>
      <c r="E190" s="5">
        <v>1382685526</v>
      </c>
      <c r="F190" s="5" t="s">
        <v>904</v>
      </c>
      <c r="G190" s="5"/>
      <c r="H190" s="5" t="s">
        <v>229</v>
      </c>
      <c r="I190" s="17">
        <v>7.4961829342873805E+18</v>
      </c>
      <c r="J190" s="5" t="s">
        <v>918</v>
      </c>
      <c r="K190" s="5"/>
      <c r="L190" s="5"/>
      <c r="M190" s="5" t="s">
        <v>1276</v>
      </c>
    </row>
    <row r="191" spans="3:13" x14ac:dyDescent="0.35">
      <c r="C191" s="5"/>
      <c r="D191" s="5" t="s">
        <v>230</v>
      </c>
      <c r="E191" s="5">
        <v>1383463294</v>
      </c>
      <c r="F191" s="5" t="s">
        <v>904</v>
      </c>
      <c r="G191" s="5"/>
      <c r="H191" s="5" t="s">
        <v>230</v>
      </c>
      <c r="I191" s="17">
        <v>7.4961821525006397E+18</v>
      </c>
      <c r="J191" s="5"/>
      <c r="K191" s="5"/>
      <c r="L191" s="5"/>
      <c r="M191" s="5" t="s">
        <v>1276</v>
      </c>
    </row>
    <row r="192" spans="3:13" x14ac:dyDescent="0.35">
      <c r="C192" s="5"/>
      <c r="D192" s="5" t="s">
        <v>231</v>
      </c>
      <c r="E192" s="5">
        <v>1384073074</v>
      </c>
      <c r="F192" s="5" t="s">
        <v>905</v>
      </c>
      <c r="G192" s="5"/>
      <c r="H192" s="5" t="s">
        <v>231</v>
      </c>
      <c r="I192" s="17">
        <v>7.4961853615757404E+18</v>
      </c>
      <c r="J192" s="5"/>
      <c r="K192" s="5"/>
      <c r="L192" s="5"/>
      <c r="M192" s="5" t="s">
        <v>1276</v>
      </c>
    </row>
    <row r="193" spans="3:13" x14ac:dyDescent="0.35">
      <c r="C193" s="5"/>
      <c r="D193" s="5" t="s">
        <v>232</v>
      </c>
      <c r="E193" s="5">
        <v>1384102065</v>
      </c>
      <c r="F193" s="5" t="s">
        <v>903</v>
      </c>
      <c r="G193" s="5"/>
      <c r="H193" s="5" t="s">
        <v>232</v>
      </c>
      <c r="I193" s="17">
        <v>7.49621119407603E+18</v>
      </c>
      <c r="J193" s="5" t="s">
        <v>916</v>
      </c>
      <c r="K193" s="5"/>
      <c r="L193" s="5" t="s">
        <v>1011</v>
      </c>
      <c r="M193" s="5" t="s">
        <v>1276</v>
      </c>
    </row>
    <row r="194" spans="3:13" x14ac:dyDescent="0.35">
      <c r="C194" s="5"/>
      <c r="D194" s="5" t="s">
        <v>233</v>
      </c>
      <c r="E194" s="5">
        <v>1384141139</v>
      </c>
      <c r="F194" s="5" t="s">
        <v>905</v>
      </c>
      <c r="G194" s="5"/>
      <c r="H194" s="5" t="s">
        <v>233</v>
      </c>
      <c r="I194" s="17">
        <v>7.4962111405702195E+18</v>
      </c>
      <c r="J194" s="5" t="s">
        <v>908</v>
      </c>
      <c r="K194" s="5"/>
      <c r="L194" s="5"/>
      <c r="M194" s="5" t="s">
        <v>1276</v>
      </c>
    </row>
    <row r="195" spans="3:13" x14ac:dyDescent="0.35">
      <c r="C195" s="5"/>
      <c r="D195" s="5" t="s">
        <v>234</v>
      </c>
      <c r="E195" s="5">
        <v>1384322861</v>
      </c>
      <c r="F195" s="5" t="s">
        <v>906</v>
      </c>
      <c r="G195" s="5"/>
      <c r="H195" s="5" t="s">
        <v>234</v>
      </c>
      <c r="I195" s="17">
        <v>7.4961828797763103E+18</v>
      </c>
      <c r="J195" s="5" t="s">
        <v>984</v>
      </c>
      <c r="K195" s="5"/>
      <c r="L195" s="5"/>
      <c r="M195" s="5" t="s">
        <v>1276</v>
      </c>
    </row>
    <row r="196" spans="3:13" x14ac:dyDescent="0.35">
      <c r="C196" s="5"/>
      <c r="D196" s="5" t="s">
        <v>235</v>
      </c>
      <c r="E196" s="5">
        <v>1384722375</v>
      </c>
      <c r="F196" s="5" t="s">
        <v>903</v>
      </c>
      <c r="G196" s="5"/>
      <c r="H196" s="5" t="s">
        <v>235</v>
      </c>
      <c r="I196" s="17">
        <v>7.49626838673421E+18</v>
      </c>
      <c r="J196" s="5" t="s">
        <v>933</v>
      </c>
      <c r="K196" s="5"/>
      <c r="L196" s="5" t="s">
        <v>1012</v>
      </c>
      <c r="M196" s="5" t="s">
        <v>1276</v>
      </c>
    </row>
    <row r="197" spans="3:13" x14ac:dyDescent="0.35">
      <c r="C197" s="5"/>
      <c r="D197" s="5" t="s">
        <v>236</v>
      </c>
      <c r="E197" s="5">
        <v>1386771889</v>
      </c>
      <c r="F197" s="5" t="s">
        <v>904</v>
      </c>
      <c r="G197" s="5"/>
      <c r="H197" s="5" t="s">
        <v>236</v>
      </c>
      <c r="I197" s="17">
        <v>7.4941128431652997E+18</v>
      </c>
      <c r="J197" s="5" t="s">
        <v>911</v>
      </c>
      <c r="K197" s="5"/>
      <c r="L197" s="5"/>
      <c r="M197" s="5" t="s">
        <v>1276</v>
      </c>
    </row>
    <row r="198" spans="3:13" x14ac:dyDescent="0.35">
      <c r="C198" s="5"/>
      <c r="D198" s="5" t="s">
        <v>237</v>
      </c>
      <c r="E198" s="5">
        <v>1386779319</v>
      </c>
      <c r="F198" s="5" t="s">
        <v>905</v>
      </c>
      <c r="G198" s="5"/>
      <c r="H198" s="5" t="s">
        <v>237</v>
      </c>
      <c r="I198" s="17">
        <v>7.4962521302297098E+18</v>
      </c>
      <c r="J198" s="5" t="s">
        <v>931</v>
      </c>
      <c r="K198" s="5"/>
      <c r="L198" s="5" t="s">
        <v>1013</v>
      </c>
      <c r="M198" s="5" t="s">
        <v>1276</v>
      </c>
    </row>
    <row r="199" spans="3:13" x14ac:dyDescent="0.35">
      <c r="C199" s="5"/>
      <c r="D199" s="5" t="s">
        <v>238</v>
      </c>
      <c r="E199" s="5">
        <v>1388186755</v>
      </c>
      <c r="F199" s="5" t="s">
        <v>905</v>
      </c>
      <c r="G199" s="5"/>
      <c r="H199" s="5"/>
      <c r="I199" s="17"/>
      <c r="J199" s="5"/>
      <c r="K199" s="5"/>
      <c r="L199" s="5"/>
      <c r="M199" s="5" t="s">
        <v>1276</v>
      </c>
    </row>
    <row r="200" spans="3:13" x14ac:dyDescent="0.35">
      <c r="C200" s="5"/>
      <c r="D200" s="5" t="s">
        <v>239</v>
      </c>
      <c r="E200" s="5">
        <v>1388709282</v>
      </c>
      <c r="F200" s="5" t="s">
        <v>904</v>
      </c>
      <c r="G200" s="5"/>
      <c r="H200" s="5" t="s">
        <v>239</v>
      </c>
      <c r="I200" s="17">
        <v>7.4962906881663601E+18</v>
      </c>
      <c r="J200" s="5"/>
      <c r="K200" s="5"/>
      <c r="L200" s="5"/>
      <c r="M200" s="5" t="s">
        <v>1276</v>
      </c>
    </row>
    <row r="201" spans="3:13" x14ac:dyDescent="0.35">
      <c r="C201" s="5"/>
      <c r="D201" s="5" t="s">
        <v>240</v>
      </c>
      <c r="E201" s="5">
        <v>1392120718</v>
      </c>
      <c r="F201" s="5" t="s">
        <v>905</v>
      </c>
      <c r="G201" s="5"/>
      <c r="H201" s="5"/>
      <c r="I201" s="17"/>
      <c r="J201" s="5"/>
      <c r="K201" s="5"/>
      <c r="L201" s="5"/>
      <c r="M201" s="5" t="s">
        <v>1276</v>
      </c>
    </row>
    <row r="202" spans="3:13" x14ac:dyDescent="0.35">
      <c r="C202" s="5"/>
      <c r="D202" s="5" t="s">
        <v>241</v>
      </c>
      <c r="E202" s="5">
        <v>1392148813</v>
      </c>
      <c r="F202" s="5" t="s">
        <v>903</v>
      </c>
      <c r="G202" s="5"/>
      <c r="H202" s="5" t="s">
        <v>241</v>
      </c>
      <c r="I202" s="17">
        <v>7.4961802595742802E+18</v>
      </c>
      <c r="J202" s="5" t="s">
        <v>913</v>
      </c>
      <c r="K202" s="5"/>
      <c r="L202" s="5" t="s">
        <v>1014</v>
      </c>
      <c r="M202" s="5" t="s">
        <v>1276</v>
      </c>
    </row>
    <row r="203" spans="3:13" x14ac:dyDescent="0.35">
      <c r="C203" s="5"/>
      <c r="D203" s="5" t="s">
        <v>242</v>
      </c>
      <c r="E203" s="5">
        <v>1395633897</v>
      </c>
      <c r="F203" s="5" t="s">
        <v>903</v>
      </c>
      <c r="G203" s="5"/>
      <c r="H203" s="5" t="s">
        <v>242</v>
      </c>
      <c r="I203" s="17">
        <v>7.4962623223189002E+18</v>
      </c>
      <c r="J203" s="5" t="s">
        <v>910</v>
      </c>
      <c r="K203" s="5"/>
      <c r="L203" s="5" t="s">
        <v>1015</v>
      </c>
      <c r="M203" s="5" t="s">
        <v>1276</v>
      </c>
    </row>
    <row r="204" spans="3:13" x14ac:dyDescent="0.35">
      <c r="C204" s="5"/>
      <c r="D204" s="5" t="s">
        <v>243</v>
      </c>
      <c r="E204" s="5">
        <v>1396264576</v>
      </c>
      <c r="F204" s="5" t="s">
        <v>906</v>
      </c>
      <c r="G204" s="5"/>
      <c r="H204" s="5" t="s">
        <v>243</v>
      </c>
      <c r="I204" s="17">
        <v>7.49622715051294E+18</v>
      </c>
      <c r="J204" s="5" t="s">
        <v>908</v>
      </c>
      <c r="K204" s="5"/>
      <c r="L204" s="5"/>
      <c r="M204" s="5" t="s">
        <v>1276</v>
      </c>
    </row>
    <row r="205" spans="3:13" x14ac:dyDescent="0.35">
      <c r="C205" s="5"/>
      <c r="D205" s="5" t="s">
        <v>244</v>
      </c>
      <c r="E205" s="5">
        <v>1397772996</v>
      </c>
      <c r="F205" s="5" t="s">
        <v>903</v>
      </c>
      <c r="G205" s="5"/>
      <c r="H205" s="5" t="s">
        <v>244</v>
      </c>
      <c r="I205" s="17">
        <v>7.4961675671221996E+18</v>
      </c>
      <c r="J205" s="5"/>
      <c r="K205" s="5"/>
      <c r="L205" s="5"/>
      <c r="M205" s="5" t="s">
        <v>1276</v>
      </c>
    </row>
    <row r="206" spans="3:13" x14ac:dyDescent="0.35">
      <c r="C206" s="5"/>
      <c r="D206" s="5" t="s">
        <v>245</v>
      </c>
      <c r="E206" s="5">
        <v>1398191079</v>
      </c>
      <c r="F206" s="5" t="s">
        <v>905</v>
      </c>
      <c r="G206" s="5"/>
      <c r="H206" s="5"/>
      <c r="I206" s="17"/>
      <c r="J206" s="5"/>
      <c r="K206" s="5"/>
      <c r="L206" s="5"/>
      <c r="M206" s="5" t="s">
        <v>1276</v>
      </c>
    </row>
    <row r="207" spans="3:13" x14ac:dyDescent="0.35">
      <c r="C207" s="5"/>
      <c r="D207" s="5" t="s">
        <v>246</v>
      </c>
      <c r="E207" s="5">
        <v>1398610040</v>
      </c>
      <c r="F207" s="5" t="s">
        <v>903</v>
      </c>
      <c r="G207" s="5"/>
      <c r="H207" s="5" t="s">
        <v>246</v>
      </c>
      <c r="I207" s="17">
        <v>7.4961828108994099E+18</v>
      </c>
      <c r="J207" s="5" t="s">
        <v>924</v>
      </c>
      <c r="K207" s="5"/>
      <c r="L207" s="5" t="s">
        <v>1016</v>
      </c>
      <c r="M207" s="5" t="s">
        <v>1276</v>
      </c>
    </row>
    <row r="208" spans="3:13" x14ac:dyDescent="0.35">
      <c r="C208" s="5"/>
      <c r="D208" s="5" t="s">
        <v>247</v>
      </c>
      <c r="E208" s="5">
        <v>1399263967</v>
      </c>
      <c r="F208" s="5" t="s">
        <v>906</v>
      </c>
      <c r="G208" s="5"/>
      <c r="H208" s="5" t="s">
        <v>247</v>
      </c>
      <c r="I208" s="17">
        <v>7.4961725030229299E+18</v>
      </c>
      <c r="J208" s="5" t="s">
        <v>964</v>
      </c>
      <c r="K208" s="5"/>
      <c r="L208" s="5" t="s">
        <v>1017</v>
      </c>
      <c r="M208" s="5" t="s">
        <v>1276</v>
      </c>
    </row>
    <row r="209" spans="3:13" x14ac:dyDescent="0.35">
      <c r="C209" s="5"/>
      <c r="D209" s="5" t="s">
        <v>248</v>
      </c>
      <c r="E209" s="5">
        <v>1400307192</v>
      </c>
      <c r="F209" s="5" t="s">
        <v>903</v>
      </c>
      <c r="G209" s="5"/>
      <c r="H209" s="5"/>
      <c r="I209" s="17"/>
      <c r="J209" s="5"/>
      <c r="K209" s="5"/>
      <c r="L209" s="5"/>
      <c r="M209" s="5" t="s">
        <v>1276</v>
      </c>
    </row>
    <row r="210" spans="3:13" x14ac:dyDescent="0.35">
      <c r="C210" s="5"/>
      <c r="D210" s="5" t="s">
        <v>249</v>
      </c>
      <c r="E210" s="5">
        <v>1402016312</v>
      </c>
      <c r="F210" s="5" t="s">
        <v>903</v>
      </c>
      <c r="G210" s="5"/>
      <c r="H210" s="5"/>
      <c r="I210" s="17"/>
      <c r="J210" s="5"/>
      <c r="K210" s="5"/>
      <c r="L210" s="5"/>
      <c r="M210" s="5" t="s">
        <v>1276</v>
      </c>
    </row>
    <row r="211" spans="3:13" x14ac:dyDescent="0.35">
      <c r="C211" s="5"/>
      <c r="D211" s="5" t="s">
        <v>250</v>
      </c>
      <c r="E211" s="5">
        <v>1402016312</v>
      </c>
      <c r="F211" s="5" t="s">
        <v>903</v>
      </c>
      <c r="G211" s="5"/>
      <c r="H211" s="5" t="s">
        <v>250</v>
      </c>
      <c r="I211" s="17">
        <v>7.4962117362087004E+18</v>
      </c>
      <c r="J211" s="5" t="s">
        <v>913</v>
      </c>
      <c r="K211" s="5"/>
      <c r="L211" s="5" t="s">
        <v>1018</v>
      </c>
      <c r="M211" s="5" t="s">
        <v>1276</v>
      </c>
    </row>
    <row r="212" spans="3:13" x14ac:dyDescent="0.35">
      <c r="C212" s="5"/>
      <c r="D212" s="5" t="s">
        <v>251</v>
      </c>
      <c r="E212" s="5">
        <v>1408278359</v>
      </c>
      <c r="F212" s="5" t="s">
        <v>903</v>
      </c>
      <c r="G212" s="5"/>
      <c r="H212" s="5" t="s">
        <v>251</v>
      </c>
      <c r="I212" s="17">
        <v>7.49618862275379E+18</v>
      </c>
      <c r="J212" s="5" t="s">
        <v>924</v>
      </c>
      <c r="K212" s="5"/>
      <c r="L212" s="5"/>
      <c r="M212" s="5" t="s">
        <v>1276</v>
      </c>
    </row>
    <row r="213" spans="3:13" x14ac:dyDescent="0.35">
      <c r="C213" s="5"/>
      <c r="D213" s="5" t="s">
        <v>252</v>
      </c>
      <c r="E213" s="5">
        <v>1414334654</v>
      </c>
      <c r="F213" s="5" t="s">
        <v>903</v>
      </c>
      <c r="G213" s="5"/>
      <c r="H213" s="5" t="s">
        <v>252</v>
      </c>
      <c r="I213" s="17">
        <v>7.4963008926076396E+18</v>
      </c>
      <c r="J213" s="5" t="s">
        <v>924</v>
      </c>
      <c r="K213" s="5"/>
      <c r="L213" s="5" t="s">
        <v>1019</v>
      </c>
      <c r="M213" s="5" t="s">
        <v>1276</v>
      </c>
    </row>
    <row r="214" spans="3:13" x14ac:dyDescent="0.35">
      <c r="C214" s="5"/>
      <c r="D214" s="5" t="s">
        <v>253</v>
      </c>
      <c r="E214" s="5">
        <v>1419481128</v>
      </c>
      <c r="F214" s="5" t="s">
        <v>905</v>
      </c>
      <c r="G214" s="5"/>
      <c r="H214" s="5"/>
      <c r="I214" s="17"/>
      <c r="J214" s="5"/>
      <c r="K214" s="5"/>
      <c r="L214" s="5"/>
      <c r="M214" s="5" t="s">
        <v>1276</v>
      </c>
    </row>
    <row r="215" spans="3:13" x14ac:dyDescent="0.35">
      <c r="C215" s="5"/>
      <c r="D215" s="5" t="s">
        <v>254</v>
      </c>
      <c r="E215" s="5">
        <v>1420699091</v>
      </c>
      <c r="F215" s="5" t="s">
        <v>905</v>
      </c>
      <c r="G215" s="5"/>
      <c r="H215" s="5" t="s">
        <v>254</v>
      </c>
      <c r="I215" s="17">
        <v>7.4963197607471002E+18</v>
      </c>
      <c r="J215" s="5" t="s">
        <v>942</v>
      </c>
      <c r="K215" s="5"/>
      <c r="L215" s="5" t="s">
        <v>1020</v>
      </c>
      <c r="M215" s="5" t="s">
        <v>1276</v>
      </c>
    </row>
    <row r="216" spans="3:13" x14ac:dyDescent="0.35">
      <c r="C216" s="5"/>
      <c r="D216" s="5" t="s">
        <v>255</v>
      </c>
      <c r="E216" s="5">
        <v>1421328925</v>
      </c>
      <c r="F216" s="5" t="s">
        <v>903</v>
      </c>
      <c r="G216" s="5"/>
      <c r="H216" s="5" t="s">
        <v>255</v>
      </c>
      <c r="I216" s="17">
        <v>7.4961823104068096E+18</v>
      </c>
      <c r="J216" s="5" t="s">
        <v>924</v>
      </c>
      <c r="K216" s="5"/>
      <c r="L216" s="5" t="s">
        <v>1021</v>
      </c>
      <c r="M216" s="5" t="s">
        <v>1276</v>
      </c>
    </row>
    <row r="217" spans="3:13" x14ac:dyDescent="0.35">
      <c r="C217" s="5"/>
      <c r="D217" s="5" t="s">
        <v>256</v>
      </c>
      <c r="E217" s="5">
        <v>1424090437</v>
      </c>
      <c r="F217" s="5" t="s">
        <v>903</v>
      </c>
      <c r="G217" s="5"/>
      <c r="H217" s="5"/>
      <c r="I217" s="17"/>
      <c r="J217" s="5"/>
      <c r="K217" s="5"/>
      <c r="L217" s="5"/>
      <c r="M217" s="5" t="s">
        <v>1276</v>
      </c>
    </row>
    <row r="218" spans="3:13" x14ac:dyDescent="0.35">
      <c r="C218" s="5"/>
      <c r="D218" s="5" t="s">
        <v>257</v>
      </c>
      <c r="E218" s="5">
        <v>1428298563</v>
      </c>
      <c r="F218" s="5" t="s">
        <v>905</v>
      </c>
      <c r="G218" s="5"/>
      <c r="H218" s="5" t="s">
        <v>257</v>
      </c>
      <c r="I218" s="17">
        <v>7.4961678169598505E+18</v>
      </c>
      <c r="J218" s="5" t="s">
        <v>911</v>
      </c>
      <c r="K218" s="5"/>
      <c r="L218" s="5" t="s">
        <v>1022</v>
      </c>
      <c r="M218" s="5" t="s">
        <v>1276</v>
      </c>
    </row>
    <row r="219" spans="3:13" x14ac:dyDescent="0.35">
      <c r="C219" s="5"/>
      <c r="D219" s="5" t="s">
        <v>258</v>
      </c>
      <c r="E219" s="5">
        <v>1429781525</v>
      </c>
      <c r="F219" s="5" t="s">
        <v>905</v>
      </c>
      <c r="G219" s="5"/>
      <c r="H219" s="5" t="s">
        <v>258</v>
      </c>
      <c r="I219" s="17">
        <v>7.4961615625089495E+18</v>
      </c>
      <c r="J219" s="5"/>
      <c r="K219" s="5"/>
      <c r="L219" s="5"/>
      <c r="M219" s="5" t="s">
        <v>1276</v>
      </c>
    </row>
    <row r="220" spans="3:13" x14ac:dyDescent="0.35">
      <c r="C220" s="5"/>
      <c r="D220" s="5" t="s">
        <v>259</v>
      </c>
      <c r="E220" s="5">
        <v>1432734429</v>
      </c>
      <c r="F220" s="5" t="s">
        <v>904</v>
      </c>
      <c r="G220" s="5"/>
      <c r="H220" s="5"/>
      <c r="I220" s="17"/>
      <c r="J220" s="5"/>
      <c r="K220" s="5"/>
      <c r="L220" s="5"/>
      <c r="M220" s="5" t="s">
        <v>1276</v>
      </c>
    </row>
    <row r="221" spans="3:13" x14ac:dyDescent="0.35">
      <c r="C221" s="5"/>
      <c r="D221" s="5" t="s">
        <v>260</v>
      </c>
      <c r="E221" s="5">
        <v>1438389708</v>
      </c>
      <c r="F221" s="5" t="s">
        <v>904</v>
      </c>
      <c r="G221" s="5"/>
      <c r="H221" s="5" t="s">
        <v>260</v>
      </c>
      <c r="I221" s="17">
        <v>7.4961823534591201E+18</v>
      </c>
      <c r="J221" s="5" t="s">
        <v>918</v>
      </c>
      <c r="K221" s="5"/>
      <c r="L221" s="5" t="s">
        <v>1023</v>
      </c>
      <c r="M221" s="5" t="s">
        <v>1276</v>
      </c>
    </row>
    <row r="222" spans="3:13" x14ac:dyDescent="0.35">
      <c r="C222" s="5"/>
      <c r="D222" s="5" t="s">
        <v>261</v>
      </c>
      <c r="E222" s="5">
        <v>1439190466</v>
      </c>
      <c r="F222" s="5" t="s">
        <v>906</v>
      </c>
      <c r="G222" s="5"/>
      <c r="H222" s="5" t="s">
        <v>261</v>
      </c>
      <c r="I222" s="17">
        <v>7.4962068287130501E+18</v>
      </c>
      <c r="J222" s="5" t="s">
        <v>941</v>
      </c>
      <c r="K222" s="5"/>
      <c r="L222" s="5"/>
      <c r="M222" s="5" t="s">
        <v>1276</v>
      </c>
    </row>
    <row r="223" spans="3:13" x14ac:dyDescent="0.35">
      <c r="C223" s="5"/>
      <c r="D223" s="5" t="s">
        <v>262</v>
      </c>
      <c r="E223" s="5">
        <v>1443627936</v>
      </c>
      <c r="F223" s="5" t="s">
        <v>905</v>
      </c>
      <c r="G223" s="5"/>
      <c r="H223" s="5"/>
      <c r="I223" s="17"/>
      <c r="J223" s="5"/>
      <c r="K223" s="5"/>
      <c r="L223" s="5"/>
      <c r="M223" s="5" t="s">
        <v>1276</v>
      </c>
    </row>
    <row r="224" spans="3:13" x14ac:dyDescent="0.35">
      <c r="C224" s="5"/>
      <c r="D224" s="5" t="s">
        <v>263</v>
      </c>
      <c r="E224" s="5">
        <v>1446868970</v>
      </c>
      <c r="F224" s="5" t="s">
        <v>903</v>
      </c>
      <c r="G224" s="5"/>
      <c r="H224" s="5" t="s">
        <v>263</v>
      </c>
      <c r="I224" s="17">
        <v>7.4961819743826995E+18</v>
      </c>
      <c r="J224" s="5" t="s">
        <v>924</v>
      </c>
      <c r="K224" s="5"/>
      <c r="L224" s="5"/>
      <c r="M224" s="5" t="s">
        <v>1276</v>
      </c>
    </row>
    <row r="225" spans="3:13" x14ac:dyDescent="0.35">
      <c r="C225" s="5"/>
      <c r="D225" s="5" t="s">
        <v>264</v>
      </c>
      <c r="E225" s="5">
        <v>1448287795</v>
      </c>
      <c r="F225" s="5" t="s">
        <v>903</v>
      </c>
      <c r="G225" s="5"/>
      <c r="H225" s="5"/>
      <c r="I225" s="17"/>
      <c r="J225" s="5"/>
      <c r="K225" s="5"/>
      <c r="L225" s="5"/>
      <c r="M225" s="5" t="s">
        <v>1276</v>
      </c>
    </row>
    <row r="226" spans="3:13" x14ac:dyDescent="0.35">
      <c r="C226" s="5"/>
      <c r="D226" s="5" t="s">
        <v>265</v>
      </c>
      <c r="E226" s="5">
        <v>1448347966</v>
      </c>
      <c r="F226" s="5" t="s">
        <v>903</v>
      </c>
      <c r="G226" s="5"/>
      <c r="H226" s="5" t="s">
        <v>265</v>
      </c>
      <c r="I226" s="17">
        <v>7.4961533937958605E+18</v>
      </c>
      <c r="J226" s="5" t="s">
        <v>924</v>
      </c>
      <c r="K226" s="5"/>
      <c r="L226" s="5" t="s">
        <v>1024</v>
      </c>
      <c r="M226" s="5" t="s">
        <v>1276</v>
      </c>
    </row>
    <row r="227" spans="3:13" x14ac:dyDescent="0.35">
      <c r="C227" s="5"/>
      <c r="D227" s="5" t="s">
        <v>266</v>
      </c>
      <c r="E227" s="5">
        <v>1449265059</v>
      </c>
      <c r="F227" s="5" t="s">
        <v>903</v>
      </c>
      <c r="G227" s="5"/>
      <c r="H227" s="5"/>
      <c r="I227" s="17"/>
      <c r="J227" s="5"/>
      <c r="K227" s="5"/>
      <c r="L227" s="5"/>
      <c r="M227" s="5" t="s">
        <v>1276</v>
      </c>
    </row>
    <row r="228" spans="3:13" x14ac:dyDescent="0.35">
      <c r="C228" s="5"/>
      <c r="D228" s="5" t="s">
        <v>267</v>
      </c>
      <c r="E228" s="5">
        <v>1453923275</v>
      </c>
      <c r="F228" s="5" t="s">
        <v>903</v>
      </c>
      <c r="G228" s="5"/>
      <c r="H228" s="5" t="s">
        <v>267</v>
      </c>
      <c r="I228" s="17">
        <v>7.49622951396019E+18</v>
      </c>
      <c r="J228" s="5" t="s">
        <v>941</v>
      </c>
      <c r="K228" s="5"/>
      <c r="L228" s="5" t="s">
        <v>1025</v>
      </c>
      <c r="M228" s="5" t="s">
        <v>1276</v>
      </c>
    </row>
    <row r="229" spans="3:13" x14ac:dyDescent="0.35">
      <c r="C229" s="5"/>
      <c r="D229" s="5" t="s">
        <v>268</v>
      </c>
      <c r="E229" s="5">
        <v>1454853630</v>
      </c>
      <c r="F229" s="5" t="s">
        <v>903</v>
      </c>
      <c r="G229" s="5"/>
      <c r="H229" s="5" t="s">
        <v>268</v>
      </c>
      <c r="I229" s="17">
        <v>7.4963104051852401E+18</v>
      </c>
      <c r="J229" s="5" t="s">
        <v>913</v>
      </c>
      <c r="K229" s="5"/>
      <c r="L229" s="5" t="s">
        <v>1026</v>
      </c>
      <c r="M229" s="5" t="s">
        <v>1276</v>
      </c>
    </row>
    <row r="230" spans="3:13" x14ac:dyDescent="0.35">
      <c r="C230" s="5"/>
      <c r="D230" s="5" t="s">
        <v>269</v>
      </c>
      <c r="E230" s="5">
        <v>1456503885</v>
      </c>
      <c r="F230" s="5" t="s">
        <v>906</v>
      </c>
      <c r="G230" s="5"/>
      <c r="H230" s="5" t="s">
        <v>269</v>
      </c>
      <c r="I230" s="17">
        <v>7.49628083654797E+18</v>
      </c>
      <c r="J230" s="5" t="s">
        <v>908</v>
      </c>
      <c r="K230" s="5"/>
      <c r="L230" s="5" t="s">
        <v>1027</v>
      </c>
      <c r="M230" s="5" t="s">
        <v>1276</v>
      </c>
    </row>
    <row r="231" spans="3:13" x14ac:dyDescent="0.35">
      <c r="C231" s="5"/>
      <c r="D231" s="5" t="s">
        <v>270</v>
      </c>
      <c r="E231" s="5">
        <v>1457230584</v>
      </c>
      <c r="F231" s="5" t="s">
        <v>904</v>
      </c>
      <c r="G231" s="5"/>
      <c r="H231" s="5" t="s">
        <v>270</v>
      </c>
      <c r="I231" s="17">
        <v>7.49630100347712E+18</v>
      </c>
      <c r="J231" s="5" t="s">
        <v>916</v>
      </c>
      <c r="K231" s="5"/>
      <c r="L231" s="5" t="s">
        <v>1028</v>
      </c>
      <c r="M231" s="5" t="s">
        <v>1276</v>
      </c>
    </row>
    <row r="232" spans="3:13" x14ac:dyDescent="0.35">
      <c r="C232" s="5"/>
      <c r="D232" s="5" t="s">
        <v>271</v>
      </c>
      <c r="E232" s="5">
        <v>1458103805</v>
      </c>
      <c r="F232" s="5" t="s">
        <v>904</v>
      </c>
      <c r="G232" s="5"/>
      <c r="H232" s="5"/>
      <c r="I232" s="17"/>
      <c r="J232" s="5"/>
      <c r="K232" s="5"/>
      <c r="L232" s="5"/>
      <c r="M232" s="5" t="s">
        <v>1276</v>
      </c>
    </row>
    <row r="233" spans="3:13" x14ac:dyDescent="0.35">
      <c r="C233" s="5"/>
      <c r="D233" s="5" t="s">
        <v>272</v>
      </c>
      <c r="E233" s="5">
        <v>1462595809</v>
      </c>
      <c r="F233" s="5" t="s">
        <v>903</v>
      </c>
      <c r="G233" s="5"/>
      <c r="H233" s="5"/>
      <c r="I233" s="17"/>
      <c r="J233" s="5"/>
      <c r="K233" s="5"/>
      <c r="L233" s="5"/>
      <c r="M233" s="5" t="s">
        <v>1276</v>
      </c>
    </row>
    <row r="234" spans="3:13" x14ac:dyDescent="0.35">
      <c r="C234" s="5"/>
      <c r="D234" s="5" t="s">
        <v>273</v>
      </c>
      <c r="E234" s="5">
        <v>1462786458</v>
      </c>
      <c r="F234" s="5" t="s">
        <v>905</v>
      </c>
      <c r="G234" s="5"/>
      <c r="H234" s="5" t="s">
        <v>273</v>
      </c>
      <c r="I234" s="17">
        <v>7.4961797548867195E+18</v>
      </c>
      <c r="J234" s="5" t="s">
        <v>942</v>
      </c>
      <c r="K234" s="5"/>
      <c r="L234" s="5" t="s">
        <v>1029</v>
      </c>
      <c r="M234" s="5" t="s">
        <v>1276</v>
      </c>
    </row>
    <row r="235" spans="3:13" x14ac:dyDescent="0.35">
      <c r="C235" s="5"/>
      <c r="D235" s="5" t="s">
        <v>274</v>
      </c>
      <c r="E235" s="5">
        <v>1464719932</v>
      </c>
      <c r="F235" s="5" t="s">
        <v>904</v>
      </c>
      <c r="G235" s="5"/>
      <c r="H235" s="5" t="s">
        <v>274</v>
      </c>
      <c r="I235" s="17">
        <v>7.4962138698511503E+18</v>
      </c>
      <c r="J235" s="5" t="s">
        <v>1030</v>
      </c>
      <c r="K235" s="5"/>
      <c r="L235" s="5" t="s">
        <v>1031</v>
      </c>
      <c r="M235" s="5" t="s">
        <v>1276</v>
      </c>
    </row>
    <row r="236" spans="3:13" x14ac:dyDescent="0.35">
      <c r="C236" s="5"/>
      <c r="D236" s="5" t="s">
        <v>275</v>
      </c>
      <c r="E236" s="5">
        <v>1478213434</v>
      </c>
      <c r="F236" s="5" t="s">
        <v>904</v>
      </c>
      <c r="G236" s="5"/>
      <c r="H236" s="5"/>
      <c r="I236" s="17"/>
      <c r="J236" s="5"/>
      <c r="K236" s="5"/>
      <c r="L236" s="5"/>
      <c r="M236" s="5" t="s">
        <v>1276</v>
      </c>
    </row>
    <row r="237" spans="3:13" x14ac:dyDescent="0.35">
      <c r="C237" s="5"/>
      <c r="D237" s="5" t="s">
        <v>276</v>
      </c>
      <c r="E237" s="5">
        <v>1479109146</v>
      </c>
      <c r="F237" s="5" t="s">
        <v>903</v>
      </c>
      <c r="G237" s="5"/>
      <c r="H237" s="5" t="s">
        <v>276</v>
      </c>
      <c r="I237" s="17">
        <v>7.4961831987853701E+18</v>
      </c>
      <c r="J237" s="5" t="s">
        <v>924</v>
      </c>
      <c r="K237" s="5"/>
      <c r="L237" s="5" t="s">
        <v>1032</v>
      </c>
      <c r="M237" s="5" t="s">
        <v>1276</v>
      </c>
    </row>
    <row r="238" spans="3:13" x14ac:dyDescent="0.35">
      <c r="C238" s="5"/>
      <c r="D238" s="5" t="s">
        <v>277</v>
      </c>
      <c r="E238" s="5">
        <v>1479426478</v>
      </c>
      <c r="F238" s="5" t="s">
        <v>907</v>
      </c>
      <c r="G238" s="5"/>
      <c r="H238" s="5" t="s">
        <v>277</v>
      </c>
      <c r="I238" s="17">
        <v>7.4961607498611098E+18</v>
      </c>
      <c r="J238" s="5" t="s">
        <v>926</v>
      </c>
      <c r="K238" s="5"/>
      <c r="L238" s="5"/>
      <c r="M238" s="5" t="s">
        <v>1276</v>
      </c>
    </row>
    <row r="239" spans="3:13" x14ac:dyDescent="0.35">
      <c r="C239" s="5"/>
      <c r="D239" s="5" t="s">
        <v>278</v>
      </c>
      <c r="E239" s="5">
        <v>1480594679</v>
      </c>
      <c r="F239" s="5" t="s">
        <v>903</v>
      </c>
      <c r="G239" s="5"/>
      <c r="H239" s="5" t="s">
        <v>278</v>
      </c>
      <c r="I239" s="17">
        <v>7.4961603811204403E+18</v>
      </c>
      <c r="J239" s="5" t="s">
        <v>933</v>
      </c>
      <c r="K239" s="5"/>
      <c r="L239" s="5" t="s">
        <v>1033</v>
      </c>
      <c r="M239" s="5" t="s">
        <v>1276</v>
      </c>
    </row>
    <row r="240" spans="3:13" x14ac:dyDescent="0.35">
      <c r="C240" s="5"/>
      <c r="D240" s="5" t="s">
        <v>279</v>
      </c>
      <c r="E240" s="5">
        <v>1484181071</v>
      </c>
      <c r="F240" s="5" t="s">
        <v>903</v>
      </c>
      <c r="G240" s="5"/>
      <c r="H240" s="5" t="s">
        <v>279</v>
      </c>
      <c r="I240" s="17">
        <v>7.4961616565350902E+18</v>
      </c>
      <c r="J240" s="5" t="s">
        <v>933</v>
      </c>
      <c r="K240" s="5"/>
      <c r="L240" s="5" t="s">
        <v>1034</v>
      </c>
      <c r="M240" s="5" t="s">
        <v>1276</v>
      </c>
    </row>
    <row r="241" spans="3:13" x14ac:dyDescent="0.35">
      <c r="C241" s="5"/>
      <c r="D241" s="5" t="s">
        <v>280</v>
      </c>
      <c r="E241" s="5">
        <v>1485858575</v>
      </c>
      <c r="F241" s="5" t="s">
        <v>906</v>
      </c>
      <c r="G241" s="5"/>
      <c r="H241" s="5"/>
      <c r="I241" s="17"/>
      <c r="J241" s="5"/>
      <c r="K241" s="5"/>
      <c r="L241" s="5"/>
      <c r="M241" s="5" t="s">
        <v>1276</v>
      </c>
    </row>
    <row r="242" spans="3:13" x14ac:dyDescent="0.35">
      <c r="C242" s="5"/>
      <c r="D242" s="5" t="s">
        <v>281</v>
      </c>
      <c r="E242" s="5">
        <v>1485858575</v>
      </c>
      <c r="F242" s="5" t="s">
        <v>906</v>
      </c>
      <c r="G242" s="5"/>
      <c r="H242" s="5" t="s">
        <v>281</v>
      </c>
      <c r="I242" s="17">
        <v>7.4962000047939604E+18</v>
      </c>
      <c r="J242" s="5" t="s">
        <v>908</v>
      </c>
      <c r="K242" s="5"/>
      <c r="L242" s="5"/>
      <c r="M242" s="5" t="s">
        <v>1276</v>
      </c>
    </row>
    <row r="243" spans="3:13" x14ac:dyDescent="0.35">
      <c r="C243" s="5"/>
      <c r="D243" s="5" t="s">
        <v>282</v>
      </c>
      <c r="E243" s="5">
        <v>1488495833</v>
      </c>
      <c r="F243" s="5" t="s">
        <v>903</v>
      </c>
      <c r="G243" s="5"/>
      <c r="H243" s="5" t="s">
        <v>282</v>
      </c>
      <c r="I243" s="17">
        <v>7.4962801435491297E+18</v>
      </c>
      <c r="J243" s="5" t="s">
        <v>913</v>
      </c>
      <c r="K243" s="5"/>
      <c r="L243" s="5"/>
      <c r="M243" s="5" t="s">
        <v>1276</v>
      </c>
    </row>
    <row r="244" spans="3:13" x14ac:dyDescent="0.35">
      <c r="C244" s="5"/>
      <c r="D244" s="5" t="s">
        <v>283</v>
      </c>
      <c r="E244" s="5">
        <v>1490920199</v>
      </c>
      <c r="F244" s="5" t="s">
        <v>905</v>
      </c>
      <c r="G244" s="5"/>
      <c r="H244" s="5" t="s">
        <v>283</v>
      </c>
      <c r="I244" s="17">
        <v>7.4961999659113196E+18</v>
      </c>
      <c r="J244" s="5" t="s">
        <v>916</v>
      </c>
      <c r="K244" s="5"/>
      <c r="L244" s="5" t="s">
        <v>1035</v>
      </c>
      <c r="M244" s="5" t="s">
        <v>1276</v>
      </c>
    </row>
    <row r="245" spans="3:13" x14ac:dyDescent="0.35">
      <c r="C245" s="5"/>
      <c r="D245" s="5" t="s">
        <v>284</v>
      </c>
      <c r="E245" s="5">
        <v>1494273370</v>
      </c>
      <c r="F245" s="5" t="s">
        <v>904</v>
      </c>
      <c r="G245" s="5"/>
      <c r="H245" s="5" t="s">
        <v>284</v>
      </c>
      <c r="I245" s="17">
        <v>7.49618619827405E+18</v>
      </c>
      <c r="J245" s="5" t="s">
        <v>926</v>
      </c>
      <c r="K245" s="5"/>
      <c r="L245" s="5" t="s">
        <v>1036</v>
      </c>
      <c r="M245" s="5" t="s">
        <v>1276</v>
      </c>
    </row>
    <row r="246" spans="3:13" x14ac:dyDescent="0.35">
      <c r="C246" s="5"/>
      <c r="D246" s="5" t="s">
        <v>285</v>
      </c>
      <c r="E246" s="5">
        <v>1494273370</v>
      </c>
      <c r="F246" s="5" t="s">
        <v>904</v>
      </c>
      <c r="G246" s="5"/>
      <c r="H246" s="5"/>
      <c r="I246" s="17"/>
      <c r="J246" s="5"/>
      <c r="K246" s="5"/>
      <c r="L246" s="5"/>
      <c r="M246" s="5" t="s">
        <v>1276</v>
      </c>
    </row>
    <row r="247" spans="3:13" x14ac:dyDescent="0.35">
      <c r="C247" s="5"/>
      <c r="D247" s="5" t="s">
        <v>286</v>
      </c>
      <c r="E247" s="5">
        <v>1495626487</v>
      </c>
      <c r="F247" s="5" t="s">
        <v>905</v>
      </c>
      <c r="G247" s="5"/>
      <c r="H247" s="5" t="s">
        <v>286</v>
      </c>
      <c r="I247" s="17">
        <v>7.4961833867499602E+18</v>
      </c>
      <c r="J247" s="5" t="s">
        <v>1037</v>
      </c>
      <c r="K247" s="5"/>
      <c r="L247" s="5" t="s">
        <v>1038</v>
      </c>
      <c r="M247" s="5" t="s">
        <v>1276</v>
      </c>
    </row>
    <row r="248" spans="3:13" x14ac:dyDescent="0.35">
      <c r="C248" s="5"/>
      <c r="D248" s="5" t="s">
        <v>287</v>
      </c>
      <c r="E248" s="5">
        <v>1495680040</v>
      </c>
      <c r="F248" s="5" t="s">
        <v>903</v>
      </c>
      <c r="G248" s="5"/>
      <c r="H248" s="5" t="s">
        <v>287</v>
      </c>
      <c r="I248" s="17">
        <v>7.49618841619375E+18</v>
      </c>
      <c r="J248" s="5" t="s">
        <v>913</v>
      </c>
      <c r="K248" s="5"/>
      <c r="L248" s="5" t="s">
        <v>1039</v>
      </c>
      <c r="M248" s="5" t="s">
        <v>1276</v>
      </c>
    </row>
    <row r="249" spans="3:13" x14ac:dyDescent="0.35">
      <c r="C249" s="5"/>
      <c r="D249" s="5" t="s">
        <v>288</v>
      </c>
      <c r="E249" s="5">
        <v>1498115533</v>
      </c>
      <c r="F249" s="5" t="s">
        <v>905</v>
      </c>
      <c r="G249" s="5"/>
      <c r="H249" s="5" t="s">
        <v>288</v>
      </c>
      <c r="I249" s="17">
        <v>7.4962883466644296E+18</v>
      </c>
      <c r="J249" s="5" t="s">
        <v>928</v>
      </c>
      <c r="K249" s="5"/>
      <c r="L249" s="5" t="s">
        <v>1040</v>
      </c>
      <c r="M249" s="5" t="s">
        <v>1276</v>
      </c>
    </row>
    <row r="250" spans="3:13" x14ac:dyDescent="0.35">
      <c r="C250" s="5"/>
      <c r="D250" s="5" t="s">
        <v>289</v>
      </c>
      <c r="E250" s="5">
        <v>1498117394</v>
      </c>
      <c r="F250" s="5" t="s">
        <v>903</v>
      </c>
      <c r="G250" s="5"/>
      <c r="H250" s="5" t="s">
        <v>289</v>
      </c>
      <c r="I250" s="17">
        <v>7.4961605499162102E+18</v>
      </c>
      <c r="J250" s="5" t="s">
        <v>913</v>
      </c>
      <c r="K250" s="5"/>
      <c r="L250" s="5" t="s">
        <v>1041</v>
      </c>
      <c r="M250" s="5" t="s">
        <v>1276</v>
      </c>
    </row>
    <row r="251" spans="3:13" x14ac:dyDescent="0.35">
      <c r="C251" s="5"/>
      <c r="D251" s="5" t="s">
        <v>290</v>
      </c>
      <c r="E251" s="5">
        <v>1502864819</v>
      </c>
      <c r="F251" s="5" t="s">
        <v>904</v>
      </c>
      <c r="G251" s="5"/>
      <c r="H251" s="5" t="s">
        <v>290</v>
      </c>
      <c r="I251" s="17">
        <v>7.49618190225011E+18</v>
      </c>
      <c r="J251" s="5" t="s">
        <v>942</v>
      </c>
      <c r="K251" s="5"/>
      <c r="L251" s="5" t="s">
        <v>1042</v>
      </c>
      <c r="M251" s="5" t="s">
        <v>1276</v>
      </c>
    </row>
    <row r="252" spans="3:13" x14ac:dyDescent="0.35">
      <c r="C252" s="5"/>
      <c r="D252" s="5" t="s">
        <v>291</v>
      </c>
      <c r="E252" s="5">
        <v>1504994084</v>
      </c>
      <c r="F252" s="5" t="s">
        <v>903</v>
      </c>
      <c r="G252" s="5"/>
      <c r="H252" s="5" t="s">
        <v>291</v>
      </c>
      <c r="I252" s="17">
        <v>7.4962708127678095E+18</v>
      </c>
      <c r="J252" s="5" t="s">
        <v>916</v>
      </c>
      <c r="K252" s="5"/>
      <c r="L252" s="5" t="s">
        <v>1043</v>
      </c>
      <c r="M252" s="5" t="s">
        <v>1276</v>
      </c>
    </row>
    <row r="253" spans="3:13" x14ac:dyDescent="0.35">
      <c r="C253" s="5"/>
      <c r="D253" s="5" t="s">
        <v>292</v>
      </c>
      <c r="E253" s="5">
        <v>1506918672</v>
      </c>
      <c r="F253" s="5" t="s">
        <v>905</v>
      </c>
      <c r="G253" s="5"/>
      <c r="H253" s="5" t="s">
        <v>292</v>
      </c>
      <c r="I253" s="17">
        <v>7.4961869234503997E+18</v>
      </c>
      <c r="J253" s="5" t="s">
        <v>964</v>
      </c>
      <c r="K253" s="5"/>
      <c r="L253" s="5" t="s">
        <v>1044</v>
      </c>
      <c r="M253" s="5" t="s">
        <v>1276</v>
      </c>
    </row>
    <row r="254" spans="3:13" x14ac:dyDescent="0.35">
      <c r="C254" s="5"/>
      <c r="D254" s="5" t="s">
        <v>293</v>
      </c>
      <c r="E254" s="5">
        <v>1507250592</v>
      </c>
      <c r="F254" s="5" t="s">
        <v>904</v>
      </c>
      <c r="G254" s="5"/>
      <c r="H254" s="5" t="s">
        <v>293</v>
      </c>
      <c r="I254" s="17">
        <v>7.4961898047157996E+18</v>
      </c>
      <c r="J254" s="5" t="s">
        <v>926</v>
      </c>
      <c r="K254" s="5"/>
      <c r="L254" s="5" t="s">
        <v>1045</v>
      </c>
      <c r="M254" s="5" t="s">
        <v>1276</v>
      </c>
    </row>
    <row r="255" spans="3:13" x14ac:dyDescent="0.35">
      <c r="C255" s="5"/>
      <c r="D255" s="5" t="s">
        <v>294</v>
      </c>
      <c r="E255" s="5">
        <v>1511195894</v>
      </c>
      <c r="F255" s="5" t="s">
        <v>903</v>
      </c>
      <c r="G255" s="5"/>
      <c r="H255" s="5" t="s">
        <v>294</v>
      </c>
      <c r="I255" s="17">
        <v>7.4961861767058196E+18</v>
      </c>
      <c r="J255" s="5" t="s">
        <v>913</v>
      </c>
      <c r="K255" s="5"/>
      <c r="L255" s="5"/>
      <c r="M255" s="5" t="s">
        <v>1276</v>
      </c>
    </row>
    <row r="256" spans="3:13" x14ac:dyDescent="0.35">
      <c r="C256" s="5"/>
      <c r="D256" s="5" t="s">
        <v>295</v>
      </c>
      <c r="E256" s="5">
        <v>1511408214</v>
      </c>
      <c r="F256" s="5" t="s">
        <v>903</v>
      </c>
      <c r="G256" s="5"/>
      <c r="H256" s="5" t="s">
        <v>295</v>
      </c>
      <c r="I256" s="17">
        <v>7.4941216714028104E+18</v>
      </c>
      <c r="J256" s="5"/>
      <c r="K256" s="5"/>
      <c r="L256" s="5"/>
      <c r="M256" s="5" t="s">
        <v>1276</v>
      </c>
    </row>
    <row r="257" spans="3:13" x14ac:dyDescent="0.35">
      <c r="C257" s="5"/>
      <c r="D257" s="5" t="s">
        <v>296</v>
      </c>
      <c r="E257" s="5">
        <v>1512084630</v>
      </c>
      <c r="F257" s="5" t="s">
        <v>905</v>
      </c>
      <c r="G257" s="5"/>
      <c r="H257" s="5" t="s">
        <v>296</v>
      </c>
      <c r="I257" s="17">
        <v>7.49624841096269E+18</v>
      </c>
      <c r="J257" s="5" t="s">
        <v>911</v>
      </c>
      <c r="K257" s="5"/>
      <c r="L257" s="5" t="s">
        <v>1046</v>
      </c>
      <c r="M257" s="5" t="s">
        <v>1276</v>
      </c>
    </row>
    <row r="258" spans="3:13" x14ac:dyDescent="0.35">
      <c r="C258" s="5"/>
      <c r="D258" s="5" t="s">
        <v>297</v>
      </c>
      <c r="E258" s="5">
        <v>1512229821</v>
      </c>
      <c r="F258" s="5" t="s">
        <v>906</v>
      </c>
      <c r="G258" s="5"/>
      <c r="H258" s="5" t="s">
        <v>297</v>
      </c>
      <c r="I258" s="17">
        <v>7.4962621320563599E+18</v>
      </c>
      <c r="J258" s="5" t="s">
        <v>908</v>
      </c>
      <c r="K258" s="5"/>
      <c r="L258" s="5"/>
      <c r="M258" s="5" t="s">
        <v>1276</v>
      </c>
    </row>
    <row r="259" spans="3:13" x14ac:dyDescent="0.35">
      <c r="C259" s="5"/>
      <c r="D259" s="5" t="s">
        <v>298</v>
      </c>
      <c r="E259" s="5">
        <v>1515050102</v>
      </c>
      <c r="F259" s="5" t="s">
        <v>905</v>
      </c>
      <c r="G259" s="5"/>
      <c r="H259" s="5"/>
      <c r="I259" s="17"/>
      <c r="J259" s="5"/>
      <c r="K259" s="5"/>
      <c r="L259" s="5"/>
      <c r="M259" s="5" t="s">
        <v>1276</v>
      </c>
    </row>
    <row r="260" spans="3:13" x14ac:dyDescent="0.35">
      <c r="C260" s="5"/>
      <c r="D260" s="5" t="s">
        <v>299</v>
      </c>
      <c r="E260" s="5">
        <v>1515741369</v>
      </c>
      <c r="F260" s="5" t="s">
        <v>905</v>
      </c>
      <c r="G260" s="5"/>
      <c r="H260" s="5" t="s">
        <v>299</v>
      </c>
      <c r="I260" s="17">
        <v>7.4961821545348803E+18</v>
      </c>
      <c r="J260" s="5"/>
      <c r="K260" s="5"/>
      <c r="L260" s="5"/>
      <c r="M260" s="5" t="s">
        <v>1276</v>
      </c>
    </row>
    <row r="261" spans="3:13" x14ac:dyDescent="0.35">
      <c r="C261" s="5"/>
      <c r="D261" s="5" t="s">
        <v>300</v>
      </c>
      <c r="E261" s="5">
        <v>1517417059</v>
      </c>
      <c r="F261" s="5" t="s">
        <v>903</v>
      </c>
      <c r="G261" s="5"/>
      <c r="H261" s="5" t="s">
        <v>300</v>
      </c>
      <c r="I261" s="17">
        <v>7.4962938315592499E+18</v>
      </c>
      <c r="J261" s="5" t="s">
        <v>913</v>
      </c>
      <c r="K261" s="5"/>
      <c r="L261" s="5" t="s">
        <v>1047</v>
      </c>
      <c r="M261" s="5" t="s">
        <v>1276</v>
      </c>
    </row>
    <row r="262" spans="3:13" x14ac:dyDescent="0.35">
      <c r="C262" s="5"/>
      <c r="D262" s="5" t="s">
        <v>301</v>
      </c>
      <c r="E262" s="5">
        <v>1518133819</v>
      </c>
      <c r="F262" s="5" t="s">
        <v>903</v>
      </c>
      <c r="G262" s="5"/>
      <c r="H262" s="5"/>
      <c r="I262" s="17"/>
      <c r="J262" s="5"/>
      <c r="K262" s="5"/>
      <c r="L262" s="5"/>
      <c r="M262" s="5" t="s">
        <v>1276</v>
      </c>
    </row>
    <row r="263" spans="3:13" x14ac:dyDescent="0.35">
      <c r="C263" s="5"/>
      <c r="D263" s="5" t="s">
        <v>302</v>
      </c>
      <c r="E263" s="5">
        <v>1520805161</v>
      </c>
      <c r="F263" s="5" t="s">
        <v>904</v>
      </c>
      <c r="G263" s="5"/>
      <c r="H263" s="5" t="s">
        <v>302</v>
      </c>
      <c r="I263" s="17">
        <v>7.4961481308681298E+18</v>
      </c>
      <c r="J263" s="5" t="s">
        <v>926</v>
      </c>
      <c r="K263" s="5"/>
      <c r="L263" s="5" t="s">
        <v>1048</v>
      </c>
      <c r="M263" s="5" t="s">
        <v>1276</v>
      </c>
    </row>
    <row r="264" spans="3:13" x14ac:dyDescent="0.35">
      <c r="C264" s="5"/>
      <c r="D264" s="5" t="s">
        <v>303</v>
      </c>
      <c r="E264" s="5">
        <v>1533219165</v>
      </c>
      <c r="F264" s="5" t="s">
        <v>903</v>
      </c>
      <c r="G264" s="5"/>
      <c r="H264" s="5" t="s">
        <v>303</v>
      </c>
      <c r="I264" s="17">
        <v>7.4962207238760305E+18</v>
      </c>
      <c r="J264" s="5" t="s">
        <v>969</v>
      </c>
      <c r="K264" s="5"/>
      <c r="L264" s="5"/>
      <c r="M264" s="5" t="s">
        <v>1276</v>
      </c>
    </row>
    <row r="265" spans="3:13" x14ac:dyDescent="0.35">
      <c r="C265" s="5"/>
      <c r="D265" s="5" t="s">
        <v>304</v>
      </c>
      <c r="E265" s="5">
        <v>1535560514</v>
      </c>
      <c r="F265" s="5" t="s">
        <v>905</v>
      </c>
      <c r="G265" s="5"/>
      <c r="H265" s="5"/>
      <c r="I265" s="17"/>
      <c r="J265" s="5"/>
      <c r="K265" s="5"/>
      <c r="L265" s="5"/>
      <c r="M265" s="5" t="s">
        <v>1276</v>
      </c>
    </row>
    <row r="266" spans="3:13" x14ac:dyDescent="0.35">
      <c r="C266" s="5"/>
      <c r="D266" s="5" t="s">
        <v>305</v>
      </c>
      <c r="E266" s="5">
        <v>1537828773</v>
      </c>
      <c r="F266" s="5" t="s">
        <v>905</v>
      </c>
      <c r="G266" s="5"/>
      <c r="H266" s="5" t="s">
        <v>305</v>
      </c>
      <c r="I266" s="17">
        <v>7.4961622248015401E+18</v>
      </c>
      <c r="J266" s="5" t="s">
        <v>916</v>
      </c>
      <c r="K266" s="5"/>
      <c r="L266" s="5"/>
      <c r="M266" s="5" t="s">
        <v>1276</v>
      </c>
    </row>
    <row r="267" spans="3:13" x14ac:dyDescent="0.35">
      <c r="C267" s="5"/>
      <c r="D267" s="5" t="s">
        <v>306</v>
      </c>
      <c r="E267" s="5">
        <v>1540588776</v>
      </c>
      <c r="F267" s="5" t="s">
        <v>906</v>
      </c>
      <c r="G267" s="5"/>
      <c r="H267" s="5" t="s">
        <v>306</v>
      </c>
      <c r="I267" s="17">
        <v>7.4962307061025004E+18</v>
      </c>
      <c r="J267" s="5" t="s">
        <v>908</v>
      </c>
      <c r="K267" s="5"/>
      <c r="L267" s="5" t="s">
        <v>1049</v>
      </c>
      <c r="M267" s="5" t="s">
        <v>1276</v>
      </c>
    </row>
    <row r="268" spans="3:13" x14ac:dyDescent="0.35">
      <c r="C268" s="5"/>
      <c r="D268" s="5" t="s">
        <v>307</v>
      </c>
      <c r="E268" s="5">
        <v>1541927562</v>
      </c>
      <c r="F268" s="5" t="s">
        <v>905</v>
      </c>
      <c r="G268" s="5"/>
      <c r="H268" s="5" t="s">
        <v>307</v>
      </c>
      <c r="I268" s="17">
        <v>7.4963107548595098E+18</v>
      </c>
      <c r="J268" s="5"/>
      <c r="K268" s="5"/>
      <c r="L268" s="5"/>
      <c r="M268" s="5" t="s">
        <v>1276</v>
      </c>
    </row>
    <row r="269" spans="3:13" x14ac:dyDescent="0.35">
      <c r="C269" s="5"/>
      <c r="D269" s="5" t="s">
        <v>308</v>
      </c>
      <c r="E269" s="5">
        <v>1542778484</v>
      </c>
      <c r="F269" s="5" t="s">
        <v>906</v>
      </c>
      <c r="G269" s="5"/>
      <c r="H269" s="5"/>
      <c r="I269" s="17"/>
      <c r="J269" s="5"/>
      <c r="K269" s="5"/>
      <c r="L269" s="5"/>
      <c r="M269" s="5" t="s">
        <v>1276</v>
      </c>
    </row>
    <row r="270" spans="3:13" x14ac:dyDescent="0.35">
      <c r="C270" s="5"/>
      <c r="D270" s="5" t="s">
        <v>309</v>
      </c>
      <c r="E270" s="5">
        <v>1542808350</v>
      </c>
      <c r="F270" s="5" t="s">
        <v>903</v>
      </c>
      <c r="G270" s="5"/>
      <c r="H270" s="5" t="s">
        <v>309</v>
      </c>
      <c r="I270" s="17">
        <v>7.49620501204595E+18</v>
      </c>
      <c r="J270" s="5" t="s">
        <v>913</v>
      </c>
      <c r="K270" s="5"/>
      <c r="L270" s="5" t="s">
        <v>1050</v>
      </c>
      <c r="M270" s="5" t="s">
        <v>1276</v>
      </c>
    </row>
    <row r="271" spans="3:13" x14ac:dyDescent="0.35">
      <c r="C271" s="5"/>
      <c r="D271" s="5" t="s">
        <v>310</v>
      </c>
      <c r="E271" s="5">
        <v>1543591764</v>
      </c>
      <c r="F271" s="5" t="s">
        <v>906</v>
      </c>
      <c r="G271" s="5"/>
      <c r="H271" s="5" t="s">
        <v>310</v>
      </c>
      <c r="I271" s="17">
        <v>7.4962163949034803E+18</v>
      </c>
      <c r="J271" s="5" t="s">
        <v>939</v>
      </c>
      <c r="K271" s="5"/>
      <c r="L271" s="5" t="s">
        <v>1051</v>
      </c>
      <c r="M271" s="5" t="s">
        <v>1276</v>
      </c>
    </row>
    <row r="272" spans="3:13" x14ac:dyDescent="0.35">
      <c r="C272" s="5"/>
      <c r="D272" s="5" t="s">
        <v>311</v>
      </c>
      <c r="E272" s="5">
        <v>1544399955</v>
      </c>
      <c r="F272" s="5" t="s">
        <v>905</v>
      </c>
      <c r="G272" s="5"/>
      <c r="H272" s="5" t="s">
        <v>311</v>
      </c>
      <c r="I272" s="17">
        <v>7.4961824025428296E+18</v>
      </c>
      <c r="J272" s="5" t="s">
        <v>928</v>
      </c>
      <c r="K272" s="5"/>
      <c r="L272" s="5"/>
      <c r="M272" s="5" t="s">
        <v>1276</v>
      </c>
    </row>
    <row r="273" spans="3:13" x14ac:dyDescent="0.35">
      <c r="C273" s="5"/>
      <c r="D273" s="5" t="s">
        <v>312</v>
      </c>
      <c r="E273" s="5">
        <v>1545597358</v>
      </c>
      <c r="F273" s="5" t="s">
        <v>905</v>
      </c>
      <c r="G273" s="5"/>
      <c r="H273" s="5" t="s">
        <v>312</v>
      </c>
      <c r="I273" s="17">
        <v>7.4962109750408899E+18</v>
      </c>
      <c r="J273" s="5" t="s">
        <v>908</v>
      </c>
      <c r="K273" s="5"/>
      <c r="L273" s="5" t="s">
        <v>1052</v>
      </c>
      <c r="M273" s="5" t="s">
        <v>1276</v>
      </c>
    </row>
    <row r="274" spans="3:13" x14ac:dyDescent="0.35">
      <c r="C274" s="5"/>
      <c r="D274" s="5" t="s">
        <v>313</v>
      </c>
      <c r="E274" s="5">
        <v>1548029796</v>
      </c>
      <c r="F274" s="5" t="s">
        <v>906</v>
      </c>
      <c r="G274" s="5"/>
      <c r="H274" s="5" t="s">
        <v>313</v>
      </c>
      <c r="I274" s="17">
        <v>7.49615432925534E+18</v>
      </c>
      <c r="J274" s="5" t="s">
        <v>908</v>
      </c>
      <c r="K274" s="5"/>
      <c r="L274" s="5" t="s">
        <v>1053</v>
      </c>
      <c r="M274" s="5" t="s">
        <v>1276</v>
      </c>
    </row>
    <row r="275" spans="3:13" x14ac:dyDescent="0.35">
      <c r="C275" s="5"/>
      <c r="D275" s="5" t="s">
        <v>314</v>
      </c>
      <c r="E275" s="5">
        <v>1548587836</v>
      </c>
      <c r="F275" s="5" t="s">
        <v>904</v>
      </c>
      <c r="G275" s="5"/>
      <c r="H275" s="5"/>
      <c r="I275" s="17"/>
      <c r="J275" s="5"/>
      <c r="K275" s="5"/>
      <c r="L275" s="5"/>
      <c r="M275" s="5" t="s">
        <v>1276</v>
      </c>
    </row>
    <row r="276" spans="3:13" x14ac:dyDescent="0.35">
      <c r="C276" s="5"/>
      <c r="D276" s="5" t="s">
        <v>315</v>
      </c>
      <c r="E276" s="5">
        <v>1548587836</v>
      </c>
      <c r="F276" s="5" t="s">
        <v>904</v>
      </c>
      <c r="G276" s="5"/>
      <c r="H276" s="5"/>
      <c r="I276" s="17"/>
      <c r="J276" s="5"/>
      <c r="K276" s="5"/>
      <c r="L276" s="5"/>
      <c r="M276" s="5" t="s">
        <v>1276</v>
      </c>
    </row>
    <row r="277" spans="3:13" x14ac:dyDescent="0.35">
      <c r="C277" s="5"/>
      <c r="D277" s="5" t="s">
        <v>316</v>
      </c>
      <c r="E277" s="5">
        <v>1550915634</v>
      </c>
      <c r="F277" s="5" t="s">
        <v>903</v>
      </c>
      <c r="G277" s="5"/>
      <c r="H277" s="5" t="s">
        <v>316</v>
      </c>
      <c r="I277" s="17">
        <v>7.4961821590767196E+18</v>
      </c>
      <c r="J277" s="5" t="s">
        <v>924</v>
      </c>
      <c r="K277" s="5"/>
      <c r="L277" s="5" t="s">
        <v>1054</v>
      </c>
      <c r="M277" s="5" t="s">
        <v>1276</v>
      </c>
    </row>
    <row r="278" spans="3:13" x14ac:dyDescent="0.35">
      <c r="C278" s="5"/>
      <c r="D278" s="5" t="s">
        <v>317</v>
      </c>
      <c r="E278" s="5">
        <v>1553336088</v>
      </c>
      <c r="F278" s="5" t="s">
        <v>906</v>
      </c>
      <c r="G278" s="5"/>
      <c r="H278" s="5" t="s">
        <v>317</v>
      </c>
      <c r="I278" s="17">
        <v>7.49631248585054E+18</v>
      </c>
      <c r="J278" s="5" t="s">
        <v>908</v>
      </c>
      <c r="K278" s="5"/>
      <c r="L278" s="5" t="s">
        <v>1055</v>
      </c>
      <c r="M278" s="5" t="s">
        <v>1276</v>
      </c>
    </row>
    <row r="279" spans="3:13" x14ac:dyDescent="0.35">
      <c r="C279" s="5"/>
      <c r="D279" s="5" t="s">
        <v>318</v>
      </c>
      <c r="E279" s="5">
        <v>1553736756</v>
      </c>
      <c r="F279" s="5" t="s">
        <v>904</v>
      </c>
      <c r="G279" s="5"/>
      <c r="H279" s="5" t="s">
        <v>318</v>
      </c>
      <c r="I279" s="17">
        <v>7.4962439492078397E+18</v>
      </c>
      <c r="J279" s="5" t="s">
        <v>916</v>
      </c>
      <c r="K279" s="5"/>
      <c r="L279" s="5" t="s">
        <v>1056</v>
      </c>
      <c r="M279" s="5" t="s">
        <v>1276</v>
      </c>
    </row>
    <row r="280" spans="3:13" x14ac:dyDescent="0.35">
      <c r="C280" s="5"/>
      <c r="D280" s="5" t="s">
        <v>319</v>
      </c>
      <c r="E280" s="5">
        <v>1553995251</v>
      </c>
      <c r="F280" s="5" t="s">
        <v>903</v>
      </c>
      <c r="G280" s="5"/>
      <c r="H280" s="5"/>
      <c r="I280" s="17"/>
      <c r="J280" s="5"/>
      <c r="K280" s="5"/>
      <c r="L280" s="5"/>
      <c r="M280" s="5" t="s">
        <v>1276</v>
      </c>
    </row>
    <row r="281" spans="3:13" x14ac:dyDescent="0.35">
      <c r="C281" s="5"/>
      <c r="D281" s="5" t="s">
        <v>320</v>
      </c>
      <c r="E281" s="5">
        <v>1558162575</v>
      </c>
      <c r="F281" s="5" t="s">
        <v>904</v>
      </c>
      <c r="G281" s="5"/>
      <c r="H281" s="5" t="s">
        <v>320</v>
      </c>
      <c r="I281" s="17">
        <v>7.49621889918707E+18</v>
      </c>
      <c r="J281" s="5" t="s">
        <v>926</v>
      </c>
      <c r="K281" s="5"/>
      <c r="L281" s="5" t="s">
        <v>1057</v>
      </c>
      <c r="M281" s="5" t="s">
        <v>1276</v>
      </c>
    </row>
    <row r="282" spans="3:13" x14ac:dyDescent="0.35">
      <c r="C282" s="5"/>
      <c r="D282" s="5" t="s">
        <v>321</v>
      </c>
      <c r="E282" s="5">
        <v>1559124979</v>
      </c>
      <c r="F282" s="5" t="s">
        <v>903</v>
      </c>
      <c r="G282" s="5"/>
      <c r="H282" s="5" t="s">
        <v>321</v>
      </c>
      <c r="I282" s="17">
        <v>7.4961976378492498E+18</v>
      </c>
      <c r="J282" s="5" t="s">
        <v>910</v>
      </c>
      <c r="K282" s="5"/>
      <c r="L282" s="5" t="s">
        <v>1058</v>
      </c>
      <c r="M282" s="5" t="s">
        <v>1276</v>
      </c>
    </row>
    <row r="283" spans="3:13" x14ac:dyDescent="0.35">
      <c r="C283" s="5"/>
      <c r="D283" s="5" t="s">
        <v>322</v>
      </c>
      <c r="E283" s="5">
        <v>1562135057</v>
      </c>
      <c r="F283" s="5" t="s">
        <v>905</v>
      </c>
      <c r="G283" s="5"/>
      <c r="H283" s="5" t="s">
        <v>322</v>
      </c>
      <c r="I283" s="17">
        <v>7.4941552918475203E+18</v>
      </c>
      <c r="J283" s="5" t="s">
        <v>984</v>
      </c>
      <c r="K283" s="5"/>
      <c r="L283" s="5" t="s">
        <v>1059</v>
      </c>
      <c r="M283" s="5" t="s">
        <v>1276</v>
      </c>
    </row>
    <row r="284" spans="3:13" x14ac:dyDescent="0.35">
      <c r="C284" s="5"/>
      <c r="D284" s="5" t="s">
        <v>323</v>
      </c>
      <c r="E284" s="5">
        <v>1562642590</v>
      </c>
      <c r="F284" s="5" t="s">
        <v>906</v>
      </c>
      <c r="G284" s="5"/>
      <c r="H284" s="5"/>
      <c r="I284" s="17"/>
      <c r="J284" s="5"/>
      <c r="K284" s="5"/>
      <c r="L284" s="5"/>
      <c r="M284" s="5" t="s">
        <v>1276</v>
      </c>
    </row>
    <row r="285" spans="3:13" x14ac:dyDescent="0.35">
      <c r="C285" s="5"/>
      <c r="D285" s="5" t="s">
        <v>324</v>
      </c>
      <c r="E285" s="5">
        <v>1562642590</v>
      </c>
      <c r="F285" s="5" t="s">
        <v>906</v>
      </c>
      <c r="G285" s="5"/>
      <c r="H285" s="5"/>
      <c r="I285" s="17"/>
      <c r="J285" s="5"/>
      <c r="K285" s="5"/>
      <c r="L285" s="5"/>
      <c r="M285" s="5" t="s">
        <v>1276</v>
      </c>
    </row>
    <row r="286" spans="3:13" x14ac:dyDescent="0.35">
      <c r="C286" s="5"/>
      <c r="D286" s="5" t="s">
        <v>325</v>
      </c>
      <c r="E286" s="5">
        <v>1569849623</v>
      </c>
      <c r="F286" s="5" t="s">
        <v>905</v>
      </c>
      <c r="G286" s="5"/>
      <c r="H286" s="5" t="s">
        <v>325</v>
      </c>
      <c r="I286" s="17">
        <v>7.4962813517645998E+18</v>
      </c>
      <c r="J286" s="5" t="s">
        <v>926</v>
      </c>
      <c r="K286" s="5"/>
      <c r="L286" s="5" t="s">
        <v>1060</v>
      </c>
      <c r="M286" s="5" t="s">
        <v>1276</v>
      </c>
    </row>
    <row r="287" spans="3:13" x14ac:dyDescent="0.35">
      <c r="C287" s="5"/>
      <c r="D287" s="5" t="s">
        <v>326</v>
      </c>
      <c r="E287" s="5">
        <v>1573559034</v>
      </c>
      <c r="F287" s="5" t="s">
        <v>907</v>
      </c>
      <c r="G287" s="5"/>
      <c r="H287" s="5" t="s">
        <v>326</v>
      </c>
      <c r="I287" s="17">
        <v>7.4963197250919803E+18</v>
      </c>
      <c r="J287" s="5" t="s">
        <v>942</v>
      </c>
      <c r="K287" s="5"/>
      <c r="L287" s="5"/>
      <c r="M287" s="5" t="s">
        <v>1276</v>
      </c>
    </row>
    <row r="288" spans="3:13" x14ac:dyDescent="0.35">
      <c r="C288" s="5"/>
      <c r="D288" s="5" t="s">
        <v>327</v>
      </c>
      <c r="E288" s="5">
        <v>1573563160</v>
      </c>
      <c r="F288" s="5" t="s">
        <v>905</v>
      </c>
      <c r="G288" s="5"/>
      <c r="H288" s="5"/>
      <c r="I288" s="17"/>
      <c r="J288" s="5"/>
      <c r="K288" s="5"/>
      <c r="L288" s="5"/>
      <c r="M288" s="5" t="s">
        <v>1276</v>
      </c>
    </row>
    <row r="289" spans="3:13" x14ac:dyDescent="0.35">
      <c r="C289" s="5"/>
      <c r="D289" s="5" t="s">
        <v>328</v>
      </c>
      <c r="E289" s="5">
        <v>1574085838</v>
      </c>
      <c r="F289" s="5" t="s">
        <v>906</v>
      </c>
      <c r="G289" s="5"/>
      <c r="H289" s="5"/>
      <c r="I289" s="17"/>
      <c r="J289" s="5"/>
      <c r="K289" s="5"/>
      <c r="L289" s="5"/>
      <c r="M289" s="5" t="s">
        <v>1276</v>
      </c>
    </row>
    <row r="290" spans="3:13" x14ac:dyDescent="0.35">
      <c r="C290" s="5"/>
      <c r="D290" s="5" t="s">
        <v>329</v>
      </c>
      <c r="E290" s="5">
        <v>1577653559</v>
      </c>
      <c r="F290" s="5" t="s">
        <v>906</v>
      </c>
      <c r="G290" s="5"/>
      <c r="H290" s="5" t="s">
        <v>329</v>
      </c>
      <c r="I290" s="17">
        <v>7.49632191119966E+18</v>
      </c>
      <c r="J290" s="5" t="s">
        <v>941</v>
      </c>
      <c r="K290" s="5"/>
      <c r="L290" s="5" t="s">
        <v>1061</v>
      </c>
      <c r="M290" s="5" t="s">
        <v>1276</v>
      </c>
    </row>
    <row r="291" spans="3:13" x14ac:dyDescent="0.35">
      <c r="C291" s="5"/>
      <c r="D291" s="5" t="s">
        <v>330</v>
      </c>
      <c r="E291" s="5">
        <v>1577747933</v>
      </c>
      <c r="F291" s="5" t="s">
        <v>906</v>
      </c>
      <c r="G291" s="5"/>
      <c r="H291" s="5" t="s">
        <v>330</v>
      </c>
      <c r="I291" s="17">
        <v>7.4962177949720596E+18</v>
      </c>
      <c r="J291" s="5" t="s">
        <v>908</v>
      </c>
      <c r="K291" s="5"/>
      <c r="L291" s="5" t="s">
        <v>1062</v>
      </c>
      <c r="M291" s="5" t="s">
        <v>1276</v>
      </c>
    </row>
    <row r="292" spans="3:13" x14ac:dyDescent="0.35">
      <c r="C292" s="5"/>
      <c r="D292" s="5" t="s">
        <v>331</v>
      </c>
      <c r="E292" s="5">
        <v>1579330222</v>
      </c>
      <c r="F292" s="5" t="s">
        <v>906</v>
      </c>
      <c r="G292" s="5"/>
      <c r="H292" s="5" t="s">
        <v>331</v>
      </c>
      <c r="I292" s="17">
        <v>7.4962632432273603E+18</v>
      </c>
      <c r="J292" s="5" t="s">
        <v>908</v>
      </c>
      <c r="K292" s="5"/>
      <c r="L292" s="5" t="s">
        <v>1063</v>
      </c>
      <c r="M292" s="5" t="s">
        <v>1276</v>
      </c>
    </row>
    <row r="293" spans="3:13" x14ac:dyDescent="0.35">
      <c r="C293" s="5"/>
      <c r="D293" s="5" t="s">
        <v>332</v>
      </c>
      <c r="E293" s="5">
        <v>1582576622</v>
      </c>
      <c r="F293" s="5" t="s">
        <v>904</v>
      </c>
      <c r="G293" s="5"/>
      <c r="H293" s="5" t="s">
        <v>332</v>
      </c>
      <c r="I293" s="17">
        <v>7.49628838610419E+18</v>
      </c>
      <c r="J293" s="5" t="s">
        <v>926</v>
      </c>
      <c r="K293" s="5"/>
      <c r="L293" s="5"/>
      <c r="M293" s="5" t="s">
        <v>1276</v>
      </c>
    </row>
    <row r="294" spans="3:13" x14ac:dyDescent="0.35">
      <c r="C294" s="5"/>
      <c r="D294" s="5" t="s">
        <v>333</v>
      </c>
      <c r="E294" s="5">
        <v>1583010322</v>
      </c>
      <c r="F294" s="5" t="s">
        <v>904</v>
      </c>
      <c r="G294" s="5"/>
      <c r="H294" s="5"/>
      <c r="I294" s="17"/>
      <c r="J294" s="5"/>
      <c r="K294" s="5"/>
      <c r="L294" s="5"/>
      <c r="M294" s="5" t="s">
        <v>1276</v>
      </c>
    </row>
    <row r="295" spans="3:13" x14ac:dyDescent="0.35">
      <c r="C295" s="5"/>
      <c r="D295" s="5" t="s">
        <v>334</v>
      </c>
      <c r="E295" s="5">
        <v>1587888693</v>
      </c>
      <c r="F295" s="5" t="s">
        <v>903</v>
      </c>
      <c r="G295" s="5"/>
      <c r="H295" s="5"/>
      <c r="I295" s="17"/>
      <c r="J295" s="5"/>
      <c r="K295" s="5"/>
      <c r="L295" s="5"/>
      <c r="M295" s="5" t="s">
        <v>1276</v>
      </c>
    </row>
    <row r="296" spans="3:13" x14ac:dyDescent="0.35">
      <c r="C296" s="5"/>
      <c r="D296" s="5" t="s">
        <v>335</v>
      </c>
      <c r="E296" s="5">
        <v>1588813077</v>
      </c>
      <c r="F296" s="5" t="s">
        <v>906</v>
      </c>
      <c r="G296" s="5"/>
      <c r="H296" s="5" t="s">
        <v>335</v>
      </c>
      <c r="I296" s="17">
        <v>7.4940932327317504E+18</v>
      </c>
      <c r="J296" s="5"/>
      <c r="K296" s="5"/>
      <c r="L296" s="5"/>
      <c r="M296" s="5" t="s">
        <v>1276</v>
      </c>
    </row>
    <row r="297" spans="3:13" x14ac:dyDescent="0.35">
      <c r="C297" s="5"/>
      <c r="D297" s="5" t="s">
        <v>336</v>
      </c>
      <c r="E297" s="5">
        <v>1600146163</v>
      </c>
      <c r="F297" s="5" t="s">
        <v>906</v>
      </c>
      <c r="G297" s="5"/>
      <c r="H297" s="5" t="s">
        <v>336</v>
      </c>
      <c r="I297" s="17">
        <v>7.4963223822983096E+18</v>
      </c>
      <c r="J297" s="5" t="s">
        <v>908</v>
      </c>
      <c r="K297" s="5"/>
      <c r="L297" s="5" t="s">
        <v>1008</v>
      </c>
      <c r="M297" s="5" t="s">
        <v>1276</v>
      </c>
    </row>
    <row r="298" spans="3:13" x14ac:dyDescent="0.35">
      <c r="C298" s="5"/>
      <c r="D298" s="5" t="s">
        <v>337</v>
      </c>
      <c r="E298" s="5">
        <v>1601705191</v>
      </c>
      <c r="F298" s="5" t="s">
        <v>905</v>
      </c>
      <c r="G298" s="5"/>
      <c r="H298" s="5" t="s">
        <v>337</v>
      </c>
      <c r="I298" s="17">
        <v>7.4961967105912596E+18</v>
      </c>
      <c r="J298" s="5" t="s">
        <v>942</v>
      </c>
      <c r="K298" s="5"/>
      <c r="L298" s="5"/>
      <c r="M298" s="5" t="s">
        <v>1276</v>
      </c>
    </row>
    <row r="299" spans="3:13" x14ac:dyDescent="0.35">
      <c r="C299" s="5"/>
      <c r="D299" s="5" t="s">
        <v>338</v>
      </c>
      <c r="E299" s="5">
        <v>1605157446</v>
      </c>
      <c r="F299" s="5" t="s">
        <v>905</v>
      </c>
      <c r="G299" s="5"/>
      <c r="H299" s="5" t="s">
        <v>338</v>
      </c>
      <c r="I299" s="17">
        <v>7.49630484494899E+18</v>
      </c>
      <c r="J299" s="5" t="s">
        <v>942</v>
      </c>
      <c r="K299" s="5"/>
      <c r="L299" s="5"/>
      <c r="M299" s="5" t="s">
        <v>1276</v>
      </c>
    </row>
    <row r="300" spans="3:13" x14ac:dyDescent="0.35">
      <c r="C300" s="5"/>
      <c r="D300" s="5" t="s">
        <v>339</v>
      </c>
      <c r="E300" s="5">
        <v>1607457575</v>
      </c>
      <c r="F300" s="5" t="s">
        <v>903</v>
      </c>
      <c r="G300" s="5"/>
      <c r="H300" s="5" t="s">
        <v>339</v>
      </c>
      <c r="I300" s="17">
        <v>7.4941024042603899E+18</v>
      </c>
      <c r="J300" s="5" t="s">
        <v>924</v>
      </c>
      <c r="K300" s="5"/>
      <c r="L300" s="5" t="s">
        <v>1064</v>
      </c>
      <c r="M300" s="5" t="s">
        <v>1276</v>
      </c>
    </row>
    <row r="301" spans="3:13" x14ac:dyDescent="0.35">
      <c r="C301" s="5"/>
      <c r="D301" s="5" t="s">
        <v>340</v>
      </c>
      <c r="E301" s="5">
        <v>1609741857</v>
      </c>
      <c r="F301" s="5" t="s">
        <v>906</v>
      </c>
      <c r="G301" s="5"/>
      <c r="H301" s="5" t="s">
        <v>340</v>
      </c>
      <c r="I301" s="17">
        <v>7.4961817674115604E+18</v>
      </c>
      <c r="J301" s="5" t="s">
        <v>908</v>
      </c>
      <c r="K301" s="5"/>
      <c r="L301" s="5" t="s">
        <v>1065</v>
      </c>
      <c r="M301" s="5" t="s">
        <v>1276</v>
      </c>
    </row>
    <row r="302" spans="3:13" x14ac:dyDescent="0.35">
      <c r="C302" s="5"/>
      <c r="D302" s="5" t="s">
        <v>341</v>
      </c>
      <c r="E302" s="5">
        <v>1612654218</v>
      </c>
      <c r="F302" s="5" t="s">
        <v>903</v>
      </c>
      <c r="G302" s="5"/>
      <c r="H302" s="5"/>
      <c r="I302" s="17"/>
      <c r="J302" s="5"/>
      <c r="K302" s="5"/>
      <c r="L302" s="5"/>
      <c r="M302" s="5" t="s">
        <v>1276</v>
      </c>
    </row>
    <row r="303" spans="3:13" x14ac:dyDescent="0.35">
      <c r="C303" s="5"/>
      <c r="D303" s="5" t="s">
        <v>342</v>
      </c>
      <c r="E303" s="5">
        <v>1613760239</v>
      </c>
      <c r="F303" s="5" t="s">
        <v>906</v>
      </c>
      <c r="G303" s="5"/>
      <c r="H303" s="5" t="s">
        <v>342</v>
      </c>
      <c r="I303" s="17">
        <v>7.4962591226912102E+18</v>
      </c>
      <c r="J303" s="5" t="s">
        <v>908</v>
      </c>
      <c r="K303" s="5"/>
      <c r="L303" s="5" t="s">
        <v>1066</v>
      </c>
      <c r="M303" s="5" t="s">
        <v>1276</v>
      </c>
    </row>
    <row r="304" spans="3:13" x14ac:dyDescent="0.35">
      <c r="C304" s="5"/>
      <c r="D304" s="5" t="s">
        <v>343</v>
      </c>
      <c r="E304" s="5">
        <v>1614658014</v>
      </c>
      <c r="F304" s="5" t="s">
        <v>906</v>
      </c>
      <c r="G304" s="5"/>
      <c r="H304" s="5" t="s">
        <v>343</v>
      </c>
      <c r="I304" s="17">
        <v>7.49412604615134E+18</v>
      </c>
      <c r="J304" s="5" t="s">
        <v>922</v>
      </c>
      <c r="K304" s="5"/>
      <c r="L304" s="5" t="s">
        <v>1067</v>
      </c>
      <c r="M304" s="5" t="s">
        <v>1276</v>
      </c>
    </row>
    <row r="305" spans="3:13" x14ac:dyDescent="0.35">
      <c r="C305" s="5"/>
      <c r="D305" s="5" t="s">
        <v>344</v>
      </c>
      <c r="E305" s="5">
        <v>1614812015</v>
      </c>
      <c r="F305" s="5" t="s">
        <v>903</v>
      </c>
      <c r="G305" s="5"/>
      <c r="H305" s="5" t="s">
        <v>344</v>
      </c>
      <c r="I305" s="17">
        <v>7.4962120473856205E+18</v>
      </c>
      <c r="J305" s="5" t="s">
        <v>926</v>
      </c>
      <c r="K305" s="5"/>
      <c r="L305" s="5" t="s">
        <v>1068</v>
      </c>
      <c r="M305" s="5" t="s">
        <v>1276</v>
      </c>
    </row>
    <row r="306" spans="3:13" x14ac:dyDescent="0.35">
      <c r="C306" s="5"/>
      <c r="D306" s="5" t="s">
        <v>345</v>
      </c>
      <c r="E306" s="5">
        <v>1614812015</v>
      </c>
      <c r="F306" s="5" t="s">
        <v>903</v>
      </c>
      <c r="G306" s="5"/>
      <c r="H306" s="5" t="s">
        <v>344</v>
      </c>
      <c r="I306" s="17">
        <v>7.4962120473856205E+18</v>
      </c>
      <c r="J306" s="5" t="s">
        <v>926</v>
      </c>
      <c r="K306" s="5"/>
      <c r="L306" s="5" t="s">
        <v>1068</v>
      </c>
      <c r="M306" s="5" t="s">
        <v>1276</v>
      </c>
    </row>
    <row r="307" spans="3:13" x14ac:dyDescent="0.35">
      <c r="C307" s="5"/>
      <c r="D307" s="5" t="s">
        <v>346</v>
      </c>
      <c r="E307" s="5">
        <v>1615544828</v>
      </c>
      <c r="F307" s="5" t="s">
        <v>904</v>
      </c>
      <c r="G307" s="5"/>
      <c r="H307" s="5" t="s">
        <v>346</v>
      </c>
      <c r="I307" s="17">
        <v>7.4963213308024197E+18</v>
      </c>
      <c r="J307" s="5" t="s">
        <v>926</v>
      </c>
      <c r="K307" s="5"/>
      <c r="L307" s="5" t="s">
        <v>1069</v>
      </c>
      <c r="M307" s="5" t="s">
        <v>1276</v>
      </c>
    </row>
    <row r="308" spans="3:13" x14ac:dyDescent="0.35">
      <c r="C308" s="5"/>
      <c r="D308" s="5" t="s">
        <v>347</v>
      </c>
      <c r="E308" s="5">
        <v>1618238453</v>
      </c>
      <c r="F308" s="5" t="s">
        <v>903</v>
      </c>
      <c r="G308" s="5"/>
      <c r="H308" s="5" t="s">
        <v>347</v>
      </c>
      <c r="I308" s="17">
        <v>7.4962583341434399E+18</v>
      </c>
      <c r="J308" s="5" t="s">
        <v>924</v>
      </c>
      <c r="K308" s="5"/>
      <c r="L308" s="5" t="s">
        <v>1070</v>
      </c>
      <c r="M308" s="5" t="s">
        <v>1276</v>
      </c>
    </row>
    <row r="309" spans="3:13" x14ac:dyDescent="0.35">
      <c r="C309" s="5"/>
      <c r="D309" s="5" t="s">
        <v>348</v>
      </c>
      <c r="E309" s="5">
        <v>1620515295</v>
      </c>
      <c r="F309" s="5" t="s">
        <v>903</v>
      </c>
      <c r="G309" s="5"/>
      <c r="H309" s="5" t="s">
        <v>348</v>
      </c>
      <c r="I309" s="17">
        <v>7.4961886295394499E+18</v>
      </c>
      <c r="J309" s="5" t="s">
        <v>941</v>
      </c>
      <c r="K309" s="5"/>
      <c r="L309" s="5" t="s">
        <v>1071</v>
      </c>
      <c r="M309" s="5" t="s">
        <v>1276</v>
      </c>
    </row>
    <row r="310" spans="3:13" x14ac:dyDescent="0.35">
      <c r="C310" s="5"/>
      <c r="D310" s="5" t="s">
        <v>349</v>
      </c>
      <c r="E310" s="5">
        <v>1629595611</v>
      </c>
      <c r="F310" s="5" t="s">
        <v>903</v>
      </c>
      <c r="G310" s="5"/>
      <c r="H310" s="5"/>
      <c r="I310" s="17"/>
      <c r="J310" s="5"/>
      <c r="K310" s="5"/>
      <c r="L310" s="5"/>
      <c r="M310" s="5" t="s">
        <v>1276</v>
      </c>
    </row>
    <row r="311" spans="3:13" x14ac:dyDescent="0.35">
      <c r="C311" s="5"/>
      <c r="D311" s="5" t="s">
        <v>350</v>
      </c>
      <c r="E311" s="5">
        <v>1634623405</v>
      </c>
      <c r="F311" s="5" t="s">
        <v>905</v>
      </c>
      <c r="G311" s="5"/>
      <c r="H311" s="5" t="s">
        <v>350</v>
      </c>
      <c r="I311" s="17">
        <v>7.4961892471065498E+18</v>
      </c>
      <c r="J311" s="5" t="s">
        <v>926</v>
      </c>
      <c r="K311" s="5"/>
      <c r="L311" s="5" t="s">
        <v>1072</v>
      </c>
      <c r="M311" s="5" t="s">
        <v>1276</v>
      </c>
    </row>
    <row r="312" spans="3:13" x14ac:dyDescent="0.35">
      <c r="C312" s="5"/>
      <c r="D312" s="5" t="s">
        <v>351</v>
      </c>
      <c r="E312" s="5">
        <v>214802433</v>
      </c>
      <c r="F312" s="5" t="s">
        <v>903</v>
      </c>
      <c r="G312" s="5"/>
      <c r="H312" s="5" t="s">
        <v>351</v>
      </c>
      <c r="I312" s="17">
        <v>7.4961882398937201E+18</v>
      </c>
      <c r="J312" s="5" t="s">
        <v>913</v>
      </c>
      <c r="K312" s="5"/>
      <c r="L312" s="5" t="s">
        <v>1073</v>
      </c>
      <c r="M312" s="5" t="s">
        <v>1276</v>
      </c>
    </row>
    <row r="313" spans="3:13" x14ac:dyDescent="0.35">
      <c r="C313" s="5"/>
      <c r="D313" s="5" t="s">
        <v>352</v>
      </c>
      <c r="E313" s="5">
        <v>218177982</v>
      </c>
      <c r="F313" s="5" t="s">
        <v>903</v>
      </c>
      <c r="G313" s="5"/>
      <c r="H313" s="5"/>
      <c r="I313" s="17"/>
      <c r="J313" s="5"/>
      <c r="K313" s="5"/>
      <c r="L313" s="5"/>
      <c r="M313" s="5" t="s">
        <v>1276</v>
      </c>
    </row>
    <row r="314" spans="3:13" x14ac:dyDescent="0.35">
      <c r="C314" s="5"/>
      <c r="D314" s="5" t="s">
        <v>353</v>
      </c>
      <c r="E314" s="5">
        <v>224679117</v>
      </c>
      <c r="F314" s="5" t="s">
        <v>903</v>
      </c>
      <c r="G314" s="5"/>
      <c r="H314" s="5"/>
      <c r="I314" s="17"/>
      <c r="J314" s="5"/>
      <c r="K314" s="5"/>
      <c r="L314" s="5"/>
      <c r="M314" s="5" t="s">
        <v>1276</v>
      </c>
    </row>
    <row r="315" spans="3:13" x14ac:dyDescent="0.35">
      <c r="C315" s="5"/>
      <c r="D315" s="5" t="s">
        <v>354</v>
      </c>
      <c r="E315" s="5">
        <v>225117529</v>
      </c>
      <c r="F315" s="5" t="s">
        <v>906</v>
      </c>
      <c r="G315" s="5"/>
      <c r="H315" s="5" t="s">
        <v>354</v>
      </c>
      <c r="I315" s="17">
        <v>7.4963060441597501E+18</v>
      </c>
      <c r="J315" s="5"/>
      <c r="K315" s="5"/>
      <c r="L315" s="5"/>
      <c r="M315" s="5" t="s">
        <v>1276</v>
      </c>
    </row>
    <row r="316" spans="3:13" x14ac:dyDescent="0.35">
      <c r="C316" s="5"/>
      <c r="D316" s="5" t="s">
        <v>355</v>
      </c>
      <c r="E316" s="5">
        <v>231135768</v>
      </c>
      <c r="F316" s="5" t="s">
        <v>903</v>
      </c>
      <c r="G316" s="5"/>
      <c r="H316" s="5" t="s">
        <v>355</v>
      </c>
      <c r="I316" s="17">
        <v>7.49616120595025E+18</v>
      </c>
      <c r="J316" s="5" t="s">
        <v>913</v>
      </c>
      <c r="K316" s="5"/>
      <c r="L316" s="5" t="s">
        <v>1074</v>
      </c>
      <c r="M316" s="5" t="s">
        <v>1276</v>
      </c>
    </row>
    <row r="317" spans="3:13" x14ac:dyDescent="0.35">
      <c r="C317" s="5"/>
      <c r="D317" s="5" t="s">
        <v>356</v>
      </c>
      <c r="E317" s="5">
        <v>244338617</v>
      </c>
      <c r="F317" s="5" t="s">
        <v>906</v>
      </c>
      <c r="G317" s="5"/>
      <c r="H317" s="5" t="s">
        <v>356</v>
      </c>
      <c r="I317" s="17">
        <v>7.49616001514547E+18</v>
      </c>
      <c r="J317" s="5" t="s">
        <v>908</v>
      </c>
      <c r="K317" s="5"/>
      <c r="L317" s="5"/>
      <c r="M317" s="5" t="s">
        <v>1276</v>
      </c>
    </row>
    <row r="318" spans="3:13" x14ac:dyDescent="0.35">
      <c r="C318" s="5"/>
      <c r="D318" s="5" t="s">
        <v>357</v>
      </c>
      <c r="E318" s="5">
        <v>252631764</v>
      </c>
      <c r="F318" s="5" t="s">
        <v>903</v>
      </c>
      <c r="G318" s="5"/>
      <c r="H318" s="5"/>
      <c r="I318" s="17"/>
      <c r="J318" s="5"/>
      <c r="K318" s="5"/>
      <c r="L318" s="5"/>
      <c r="M318" s="5" t="s">
        <v>1276</v>
      </c>
    </row>
    <row r="319" spans="3:13" x14ac:dyDescent="0.35">
      <c r="C319" s="5"/>
      <c r="D319" s="5" t="s">
        <v>358</v>
      </c>
      <c r="E319" s="5">
        <v>254374331</v>
      </c>
      <c r="F319" s="5" t="s">
        <v>906</v>
      </c>
      <c r="G319" s="5"/>
      <c r="H319" s="5" t="s">
        <v>358</v>
      </c>
      <c r="I319" s="17">
        <v>7.4941014030618798E+18</v>
      </c>
      <c r="J319" s="5" t="s">
        <v>926</v>
      </c>
      <c r="K319" s="5"/>
      <c r="L319" s="5" t="s">
        <v>1075</v>
      </c>
      <c r="M319" s="5" t="s">
        <v>1276</v>
      </c>
    </row>
    <row r="320" spans="3:13" x14ac:dyDescent="0.35">
      <c r="C320" s="5"/>
      <c r="D320" s="5" t="s">
        <v>359</v>
      </c>
      <c r="E320" s="5">
        <v>255907611</v>
      </c>
      <c r="F320" s="5" t="s">
        <v>906</v>
      </c>
      <c r="G320" s="5"/>
      <c r="H320" s="5" t="s">
        <v>359</v>
      </c>
      <c r="I320" s="17">
        <v>7.4961664053903698E+18</v>
      </c>
      <c r="J320" s="5" t="s">
        <v>908</v>
      </c>
      <c r="K320" s="5"/>
      <c r="L320" s="5" t="s">
        <v>1076</v>
      </c>
      <c r="M320" s="5" t="s">
        <v>1276</v>
      </c>
    </row>
    <row r="321" spans="3:13" x14ac:dyDescent="0.35">
      <c r="C321" s="5"/>
      <c r="D321" s="5" t="s">
        <v>360</v>
      </c>
      <c r="E321" s="5">
        <v>259666354</v>
      </c>
      <c r="F321" s="5" t="s">
        <v>903</v>
      </c>
      <c r="G321" s="5"/>
      <c r="H321" s="5" t="s">
        <v>360</v>
      </c>
      <c r="I321" s="17">
        <v>7.49615494794061E+18</v>
      </c>
      <c r="J321" s="5" t="s">
        <v>913</v>
      </c>
      <c r="K321" s="5"/>
      <c r="L321" s="5" t="s">
        <v>1077</v>
      </c>
      <c r="M321" s="5" t="s">
        <v>1276</v>
      </c>
    </row>
    <row r="322" spans="3:13" x14ac:dyDescent="0.35">
      <c r="C322" s="5"/>
      <c r="D322" s="5" t="s">
        <v>361</v>
      </c>
      <c r="E322" s="5">
        <v>260445053</v>
      </c>
      <c r="F322" s="5" t="s">
        <v>903</v>
      </c>
      <c r="G322" s="5"/>
      <c r="H322" s="5" t="s">
        <v>361</v>
      </c>
      <c r="I322" s="17">
        <v>7.49616850526191E+18</v>
      </c>
      <c r="J322" s="5" t="s">
        <v>908</v>
      </c>
      <c r="K322" s="5"/>
      <c r="L322" s="5" t="s">
        <v>1078</v>
      </c>
      <c r="M322" s="5" t="s">
        <v>1276</v>
      </c>
    </row>
    <row r="323" spans="3:13" x14ac:dyDescent="0.35">
      <c r="C323" s="5"/>
      <c r="D323" s="5" t="s">
        <v>362</v>
      </c>
      <c r="E323" s="5">
        <v>275804987</v>
      </c>
      <c r="F323" s="5" t="s">
        <v>905</v>
      </c>
      <c r="G323" s="5"/>
      <c r="H323" s="5" t="s">
        <v>362</v>
      </c>
      <c r="I323" s="17">
        <v>7.4961829517656996E+18</v>
      </c>
      <c r="J323" s="5"/>
      <c r="K323" s="5"/>
      <c r="L323" s="5"/>
      <c r="M323" s="5" t="s">
        <v>1276</v>
      </c>
    </row>
    <row r="324" spans="3:13" x14ac:dyDescent="0.35">
      <c r="C324" s="5"/>
      <c r="D324" s="5" t="s">
        <v>363</v>
      </c>
      <c r="E324" s="5">
        <v>276244678</v>
      </c>
      <c r="F324" s="5" t="s">
        <v>906</v>
      </c>
      <c r="G324" s="5"/>
      <c r="H324" s="5" t="s">
        <v>363</v>
      </c>
      <c r="I324" s="17">
        <v>7.4962124517099704E+18</v>
      </c>
      <c r="J324" s="5" t="s">
        <v>939</v>
      </c>
      <c r="K324" s="5"/>
      <c r="L324" s="5" t="s">
        <v>1079</v>
      </c>
      <c r="M324" s="5" t="s">
        <v>1276</v>
      </c>
    </row>
    <row r="325" spans="3:13" x14ac:dyDescent="0.35">
      <c r="C325" s="5"/>
      <c r="D325" s="5" t="s">
        <v>364</v>
      </c>
      <c r="E325" s="5">
        <v>282917391</v>
      </c>
      <c r="F325" s="5" t="s">
        <v>904</v>
      </c>
      <c r="G325" s="5"/>
      <c r="H325" s="5" t="s">
        <v>364</v>
      </c>
      <c r="I325" s="17">
        <v>7.4962175520600504E+18</v>
      </c>
      <c r="J325" s="5" t="s">
        <v>926</v>
      </c>
      <c r="K325" s="5"/>
      <c r="L325" s="5"/>
      <c r="M325" s="5" t="s">
        <v>1276</v>
      </c>
    </row>
    <row r="326" spans="3:13" x14ac:dyDescent="0.35">
      <c r="C326" s="5"/>
      <c r="D326" s="5" t="s">
        <v>365</v>
      </c>
      <c r="E326" s="5">
        <v>283136693</v>
      </c>
      <c r="F326" s="5" t="s">
        <v>905</v>
      </c>
      <c r="G326" s="5"/>
      <c r="H326" s="5" t="s">
        <v>365</v>
      </c>
      <c r="I326" s="17">
        <v>7.4961818678809395E+18</v>
      </c>
      <c r="J326" s="5" t="s">
        <v>928</v>
      </c>
      <c r="K326" s="5"/>
      <c r="L326" s="5"/>
      <c r="M326" s="5" t="s">
        <v>1276</v>
      </c>
    </row>
    <row r="327" spans="3:13" x14ac:dyDescent="0.35">
      <c r="C327" s="5"/>
      <c r="D327" s="5" t="s">
        <v>366</v>
      </c>
      <c r="E327" s="5">
        <v>283545193</v>
      </c>
      <c r="F327" s="5" t="s">
        <v>903</v>
      </c>
      <c r="G327" s="5"/>
      <c r="H327" s="5" t="s">
        <v>366</v>
      </c>
      <c r="I327" s="17">
        <v>7.4961820699483505E+18</v>
      </c>
      <c r="J327" s="5" t="s">
        <v>913</v>
      </c>
      <c r="K327" s="5"/>
      <c r="L327" s="5" t="s">
        <v>1080</v>
      </c>
      <c r="M327" s="5" t="s">
        <v>1276</v>
      </c>
    </row>
    <row r="328" spans="3:13" x14ac:dyDescent="0.35">
      <c r="C328" s="5"/>
      <c r="D328" s="5" t="s">
        <v>367</v>
      </c>
      <c r="E328" s="5">
        <v>283972864</v>
      </c>
      <c r="F328" s="5" t="s">
        <v>903</v>
      </c>
      <c r="G328" s="5"/>
      <c r="H328" s="5" t="s">
        <v>367</v>
      </c>
      <c r="I328" s="17">
        <v>7.4961517910296105E+18</v>
      </c>
      <c r="J328" s="5" t="s">
        <v>913</v>
      </c>
      <c r="K328" s="5"/>
      <c r="L328" s="5" t="s">
        <v>1081</v>
      </c>
      <c r="M328" s="5" t="s">
        <v>1276</v>
      </c>
    </row>
    <row r="329" spans="3:13" x14ac:dyDescent="0.35">
      <c r="C329" s="5"/>
      <c r="D329" s="5" t="s">
        <v>368</v>
      </c>
      <c r="E329" s="5">
        <v>284747389</v>
      </c>
      <c r="F329" s="5" t="s">
        <v>903</v>
      </c>
      <c r="G329" s="5"/>
      <c r="H329" s="5"/>
      <c r="I329" s="17"/>
      <c r="J329" s="5"/>
      <c r="K329" s="5"/>
      <c r="L329" s="5"/>
      <c r="M329" s="5" t="s">
        <v>1276</v>
      </c>
    </row>
    <row r="330" spans="3:13" x14ac:dyDescent="0.35">
      <c r="C330" s="5"/>
      <c r="D330" s="5" t="s">
        <v>369</v>
      </c>
      <c r="E330" s="5">
        <v>284901819</v>
      </c>
      <c r="F330" s="5" t="s">
        <v>906</v>
      </c>
      <c r="G330" s="5"/>
      <c r="H330" s="5" t="s">
        <v>369</v>
      </c>
      <c r="I330" s="17">
        <v>7.49620383353553E+18</v>
      </c>
      <c r="J330" s="5"/>
      <c r="K330" s="5"/>
      <c r="L330" s="5"/>
      <c r="M330" s="5" t="s">
        <v>1276</v>
      </c>
    </row>
    <row r="331" spans="3:13" x14ac:dyDescent="0.35">
      <c r="C331" s="5"/>
      <c r="D331" s="5" t="s">
        <v>370</v>
      </c>
      <c r="E331" s="5">
        <v>285301044</v>
      </c>
      <c r="F331" s="5" t="s">
        <v>903</v>
      </c>
      <c r="G331" s="5"/>
      <c r="H331" s="5"/>
      <c r="I331" s="17"/>
      <c r="J331" s="5"/>
      <c r="K331" s="5"/>
      <c r="L331" s="5"/>
      <c r="M331" s="5" t="s">
        <v>1276</v>
      </c>
    </row>
    <row r="332" spans="3:13" x14ac:dyDescent="0.35">
      <c r="C332" s="5"/>
      <c r="D332" s="5" t="s">
        <v>371</v>
      </c>
      <c r="E332" s="5">
        <v>288105257</v>
      </c>
      <c r="F332" s="5" t="s">
        <v>906</v>
      </c>
      <c r="G332" s="5"/>
      <c r="H332" s="5" t="s">
        <v>371</v>
      </c>
      <c r="I332" s="17">
        <v>7.4941446515645102E+18</v>
      </c>
      <c r="J332" s="5"/>
      <c r="K332" s="5"/>
      <c r="L332" s="5"/>
      <c r="M332" s="5" t="s">
        <v>1276</v>
      </c>
    </row>
    <row r="333" spans="3:13" x14ac:dyDescent="0.35">
      <c r="C333" s="5"/>
      <c r="D333" s="5" t="s">
        <v>372</v>
      </c>
      <c r="E333" s="5">
        <v>288586412</v>
      </c>
      <c r="F333" s="5" t="s">
        <v>905</v>
      </c>
      <c r="G333" s="5"/>
      <c r="H333" s="5" t="s">
        <v>372</v>
      </c>
      <c r="I333" s="17">
        <v>7.4960279127068795E+18</v>
      </c>
      <c r="J333" s="5" t="s">
        <v>911</v>
      </c>
      <c r="K333" s="5"/>
      <c r="L333" s="5" t="s">
        <v>1082</v>
      </c>
      <c r="M333" s="5" t="s">
        <v>1276</v>
      </c>
    </row>
    <row r="334" spans="3:13" x14ac:dyDescent="0.35">
      <c r="C334" s="5"/>
      <c r="D334" s="5" t="s">
        <v>373</v>
      </c>
      <c r="E334" s="5">
        <v>288781879</v>
      </c>
      <c r="F334" s="5" t="s">
        <v>905</v>
      </c>
      <c r="G334" s="5"/>
      <c r="H334" s="5" t="s">
        <v>373</v>
      </c>
      <c r="I334" s="17">
        <v>7.49626692417011E+18</v>
      </c>
      <c r="J334" s="5" t="s">
        <v>933</v>
      </c>
      <c r="K334" s="5"/>
      <c r="L334" s="5" t="s">
        <v>1083</v>
      </c>
      <c r="M334" s="5" t="s">
        <v>1276</v>
      </c>
    </row>
    <row r="335" spans="3:13" x14ac:dyDescent="0.35">
      <c r="C335" s="5"/>
      <c r="D335" s="5" t="s">
        <v>374</v>
      </c>
      <c r="E335" s="5">
        <v>288816787</v>
      </c>
      <c r="F335" s="5" t="s">
        <v>906</v>
      </c>
      <c r="G335" s="5"/>
      <c r="H335" s="5"/>
      <c r="I335" s="17"/>
      <c r="J335" s="5"/>
      <c r="K335" s="5"/>
      <c r="L335" s="5"/>
      <c r="M335" s="5" t="s">
        <v>1276</v>
      </c>
    </row>
    <row r="336" spans="3:13" x14ac:dyDescent="0.35">
      <c r="C336" s="5"/>
      <c r="D336" s="5" t="s">
        <v>375</v>
      </c>
      <c r="E336" s="5">
        <v>290073877</v>
      </c>
      <c r="F336" s="5" t="s">
        <v>906</v>
      </c>
      <c r="G336" s="5"/>
      <c r="H336" s="5" t="s">
        <v>375</v>
      </c>
      <c r="I336" s="17">
        <v>7.4963023401803796E+18</v>
      </c>
      <c r="J336" s="5"/>
      <c r="K336" s="5"/>
      <c r="L336" s="5"/>
      <c r="M336" s="5" t="s">
        <v>1276</v>
      </c>
    </row>
    <row r="337" spans="3:13" x14ac:dyDescent="0.35">
      <c r="C337" s="5"/>
      <c r="D337" s="5" t="s">
        <v>376</v>
      </c>
      <c r="E337" s="5">
        <v>290408305</v>
      </c>
      <c r="F337" s="5" t="s">
        <v>905</v>
      </c>
      <c r="G337" s="5"/>
      <c r="H337" s="5" t="s">
        <v>376</v>
      </c>
      <c r="I337" s="17">
        <v>7.4962417042599096E+18</v>
      </c>
      <c r="J337" s="5" t="s">
        <v>928</v>
      </c>
      <c r="K337" s="5"/>
      <c r="L337" s="5"/>
      <c r="M337" s="5" t="s">
        <v>1276</v>
      </c>
    </row>
    <row r="338" spans="3:13" x14ac:dyDescent="0.35">
      <c r="C338" s="5"/>
      <c r="D338" s="5" t="s">
        <v>377</v>
      </c>
      <c r="E338" s="5">
        <v>290919980</v>
      </c>
      <c r="F338" s="5" t="s">
        <v>903</v>
      </c>
      <c r="G338" s="5"/>
      <c r="H338" s="5" t="s">
        <v>377</v>
      </c>
      <c r="I338" s="17">
        <v>7.4941005461281495E+18</v>
      </c>
      <c r="J338" s="5" t="s">
        <v>913</v>
      </c>
      <c r="K338" s="5"/>
      <c r="L338" s="5" t="s">
        <v>1084</v>
      </c>
      <c r="M338" s="5" t="s">
        <v>1276</v>
      </c>
    </row>
    <row r="339" spans="3:13" x14ac:dyDescent="0.35">
      <c r="C339" s="5"/>
      <c r="D339" s="5" t="s">
        <v>378</v>
      </c>
      <c r="E339" s="5">
        <v>290948553</v>
      </c>
      <c r="F339" s="5" t="s">
        <v>904</v>
      </c>
      <c r="G339" s="5"/>
      <c r="H339" s="5" t="s">
        <v>378</v>
      </c>
      <c r="I339" s="17">
        <v>7.4961614704382095E+18</v>
      </c>
      <c r="J339" s="5" t="s">
        <v>926</v>
      </c>
      <c r="K339" s="5"/>
      <c r="L339" s="5"/>
      <c r="M339" s="5" t="s">
        <v>1276</v>
      </c>
    </row>
    <row r="340" spans="3:13" x14ac:dyDescent="0.35">
      <c r="C340" s="5"/>
      <c r="D340" s="5" t="s">
        <v>379</v>
      </c>
      <c r="E340" s="5">
        <v>291174073</v>
      </c>
      <c r="F340" s="5" t="s">
        <v>905</v>
      </c>
      <c r="G340" s="5"/>
      <c r="H340" s="5" t="s">
        <v>379</v>
      </c>
      <c r="I340" s="17">
        <v>7.4961635129468201E+18</v>
      </c>
      <c r="J340" s="5" t="s">
        <v>926</v>
      </c>
      <c r="K340" s="5"/>
      <c r="L340" s="5" t="s">
        <v>1085</v>
      </c>
      <c r="M340" s="5" t="s">
        <v>1276</v>
      </c>
    </row>
    <row r="341" spans="3:13" x14ac:dyDescent="0.35">
      <c r="C341" s="5"/>
      <c r="D341" s="5" t="s">
        <v>380</v>
      </c>
      <c r="E341" s="5">
        <v>293157614</v>
      </c>
      <c r="F341" s="5" t="s">
        <v>903</v>
      </c>
      <c r="G341" s="5"/>
      <c r="H341" s="5"/>
      <c r="I341" s="17"/>
      <c r="J341" s="5"/>
      <c r="K341" s="5"/>
      <c r="L341" s="5"/>
      <c r="M341" s="5" t="s">
        <v>1276</v>
      </c>
    </row>
    <row r="342" spans="3:13" x14ac:dyDescent="0.35">
      <c r="C342" s="5"/>
      <c r="D342" s="5" t="s">
        <v>381</v>
      </c>
      <c r="E342" s="5">
        <v>293435711</v>
      </c>
      <c r="F342" s="5" t="s">
        <v>906</v>
      </c>
      <c r="G342" s="5"/>
      <c r="H342" s="5" t="s">
        <v>381</v>
      </c>
      <c r="I342" s="17">
        <v>7.4961820802946499E+18</v>
      </c>
      <c r="J342" s="5"/>
      <c r="K342" s="5"/>
      <c r="L342" s="5"/>
      <c r="M342" s="5" t="s">
        <v>1276</v>
      </c>
    </row>
    <row r="343" spans="3:13" x14ac:dyDescent="0.35">
      <c r="C343" s="5"/>
      <c r="D343" s="5" t="s">
        <v>382</v>
      </c>
      <c r="E343" s="5">
        <v>294602625</v>
      </c>
      <c r="F343" s="5" t="s">
        <v>905</v>
      </c>
      <c r="G343" s="5"/>
      <c r="H343" s="5" t="s">
        <v>382</v>
      </c>
      <c r="I343" s="17">
        <v>7.4941680831005604E+18</v>
      </c>
      <c r="J343" s="5"/>
      <c r="K343" s="5"/>
      <c r="L343" s="5"/>
      <c r="M343" s="5" t="s">
        <v>1276</v>
      </c>
    </row>
    <row r="344" spans="3:13" x14ac:dyDescent="0.35">
      <c r="C344" s="5"/>
      <c r="D344" s="5" t="s">
        <v>383</v>
      </c>
      <c r="E344" s="5">
        <v>296363855</v>
      </c>
      <c r="F344" s="5" t="s">
        <v>905</v>
      </c>
      <c r="G344" s="5"/>
      <c r="H344" s="5" t="s">
        <v>383</v>
      </c>
      <c r="I344" s="17">
        <v>7.4955619343641805E+18</v>
      </c>
      <c r="J344" s="5" t="s">
        <v>928</v>
      </c>
      <c r="K344" s="5"/>
      <c r="L344" s="5" t="s">
        <v>1086</v>
      </c>
      <c r="M344" s="5" t="s">
        <v>1276</v>
      </c>
    </row>
    <row r="345" spans="3:13" x14ac:dyDescent="0.35">
      <c r="C345" s="5"/>
      <c r="D345" s="5" t="s">
        <v>384</v>
      </c>
      <c r="E345" s="5">
        <v>296443307</v>
      </c>
      <c r="F345" s="5" t="s">
        <v>903</v>
      </c>
      <c r="G345" s="5"/>
      <c r="H345" s="5" t="s">
        <v>384</v>
      </c>
      <c r="I345" s="17">
        <v>7.4961818886875003E+18</v>
      </c>
      <c r="J345" s="5" t="s">
        <v>913</v>
      </c>
      <c r="K345" s="5"/>
      <c r="L345" s="5" t="s">
        <v>1087</v>
      </c>
      <c r="M345" s="5" t="s">
        <v>1276</v>
      </c>
    </row>
    <row r="346" spans="3:13" x14ac:dyDescent="0.35">
      <c r="C346" s="5"/>
      <c r="D346" s="5" t="s">
        <v>385</v>
      </c>
      <c r="E346" s="5">
        <v>298017863</v>
      </c>
      <c r="F346" s="5" t="s">
        <v>903</v>
      </c>
      <c r="G346" s="5"/>
      <c r="H346" s="5"/>
      <c r="I346" s="17"/>
      <c r="J346" s="5"/>
      <c r="K346" s="5"/>
      <c r="L346" s="5"/>
      <c r="M346" s="5" t="s">
        <v>1276</v>
      </c>
    </row>
    <row r="347" spans="3:13" x14ac:dyDescent="0.35">
      <c r="C347" s="5"/>
      <c r="D347" s="5" t="s">
        <v>386</v>
      </c>
      <c r="E347" s="5">
        <v>298435930</v>
      </c>
      <c r="F347" s="5" t="s">
        <v>905</v>
      </c>
      <c r="G347" s="5"/>
      <c r="H347" s="5"/>
      <c r="I347" s="17"/>
      <c r="J347" s="5"/>
      <c r="K347" s="5"/>
      <c r="L347" s="5"/>
      <c r="M347" s="5" t="s">
        <v>1276</v>
      </c>
    </row>
    <row r="348" spans="3:13" x14ac:dyDescent="0.35">
      <c r="C348" s="5"/>
      <c r="D348" s="5" t="s">
        <v>387</v>
      </c>
      <c r="E348" s="5">
        <v>298953477</v>
      </c>
      <c r="F348" s="5" t="s">
        <v>905</v>
      </c>
      <c r="G348" s="5"/>
      <c r="H348" s="5" t="s">
        <v>387</v>
      </c>
      <c r="I348" s="17">
        <v>7.4961872797722501E+18</v>
      </c>
      <c r="J348" s="5"/>
      <c r="K348" s="5"/>
      <c r="L348" s="5"/>
      <c r="M348" s="5" t="s">
        <v>1276</v>
      </c>
    </row>
    <row r="349" spans="3:13" x14ac:dyDescent="0.35">
      <c r="C349" s="5"/>
      <c r="D349" s="5" t="s">
        <v>388</v>
      </c>
      <c r="E349" s="5">
        <v>299222557</v>
      </c>
      <c r="F349" s="5" t="s">
        <v>906</v>
      </c>
      <c r="G349" s="5"/>
      <c r="H349" s="5" t="s">
        <v>388</v>
      </c>
      <c r="I349" s="17">
        <v>7.4961791508234496E+18</v>
      </c>
      <c r="J349" s="5" t="s">
        <v>908</v>
      </c>
      <c r="K349" s="5"/>
      <c r="L349" s="5" t="s">
        <v>1088</v>
      </c>
      <c r="M349" s="5" t="s">
        <v>1276</v>
      </c>
    </row>
    <row r="350" spans="3:13" x14ac:dyDescent="0.35">
      <c r="C350" s="5"/>
      <c r="D350" s="5" t="s">
        <v>389</v>
      </c>
      <c r="E350" s="5">
        <v>299586557</v>
      </c>
      <c r="F350" s="5" t="s">
        <v>903</v>
      </c>
      <c r="G350" s="5"/>
      <c r="H350" s="5" t="s">
        <v>389</v>
      </c>
      <c r="I350" s="17">
        <v>7.4962722048062597E+18</v>
      </c>
      <c r="J350" s="5" t="s">
        <v>939</v>
      </c>
      <c r="K350" s="5"/>
      <c r="L350" s="5" t="s">
        <v>1089</v>
      </c>
      <c r="M350" s="5" t="s">
        <v>1276</v>
      </c>
    </row>
    <row r="351" spans="3:13" x14ac:dyDescent="0.35">
      <c r="C351" s="5"/>
      <c r="D351" s="5" t="s">
        <v>390</v>
      </c>
      <c r="E351" s="5">
        <v>299994867</v>
      </c>
      <c r="F351" s="5" t="s">
        <v>903</v>
      </c>
      <c r="G351" s="5"/>
      <c r="H351" s="5" t="s">
        <v>390</v>
      </c>
      <c r="I351" s="17">
        <v>7.4961529761402399E+18</v>
      </c>
      <c r="J351" s="5" t="s">
        <v>913</v>
      </c>
      <c r="K351" s="5"/>
      <c r="L351" s="5"/>
      <c r="M351" s="5" t="s">
        <v>1276</v>
      </c>
    </row>
    <row r="352" spans="3:13" x14ac:dyDescent="0.35">
      <c r="C352" s="5"/>
      <c r="D352" s="5" t="s">
        <v>391</v>
      </c>
      <c r="E352" s="5">
        <v>300779622</v>
      </c>
      <c r="F352" s="5" t="s">
        <v>905</v>
      </c>
      <c r="G352" s="5"/>
      <c r="H352" s="5" t="s">
        <v>391</v>
      </c>
      <c r="I352" s="17">
        <v>7.49620233730893E+18</v>
      </c>
      <c r="J352" s="5" t="s">
        <v>928</v>
      </c>
      <c r="K352" s="5"/>
      <c r="L352" s="5"/>
      <c r="M352" s="5" t="s">
        <v>1276</v>
      </c>
    </row>
    <row r="353" spans="3:13" x14ac:dyDescent="0.35">
      <c r="C353" s="5"/>
      <c r="D353" s="5" t="s">
        <v>392</v>
      </c>
      <c r="E353" s="5">
        <v>301956567</v>
      </c>
      <c r="F353" s="5" t="s">
        <v>904</v>
      </c>
      <c r="G353" s="5"/>
      <c r="H353" s="5" t="s">
        <v>392</v>
      </c>
      <c r="I353" s="17">
        <v>7.4961902169755802E+18</v>
      </c>
      <c r="J353" s="5"/>
      <c r="K353" s="5"/>
      <c r="L353" s="5"/>
      <c r="M353" s="5" t="s">
        <v>1276</v>
      </c>
    </row>
    <row r="354" spans="3:13" x14ac:dyDescent="0.35">
      <c r="C354" s="5"/>
      <c r="D354" s="5" t="s">
        <v>393</v>
      </c>
      <c r="E354" s="5">
        <v>304281474</v>
      </c>
      <c r="F354" s="5" t="s">
        <v>905</v>
      </c>
      <c r="G354" s="5"/>
      <c r="H354" s="5"/>
      <c r="I354" s="17"/>
      <c r="J354" s="5"/>
      <c r="K354" s="5"/>
      <c r="L354" s="5"/>
      <c r="M354" s="5" t="s">
        <v>1276</v>
      </c>
    </row>
    <row r="355" spans="3:13" x14ac:dyDescent="0.35">
      <c r="C355" s="5"/>
      <c r="D355" s="5" t="s">
        <v>394</v>
      </c>
      <c r="E355" s="5">
        <v>304755339</v>
      </c>
      <c r="F355" s="5" t="s">
        <v>903</v>
      </c>
      <c r="G355" s="5"/>
      <c r="H355" s="5"/>
      <c r="I355" s="17"/>
      <c r="J355" s="5"/>
      <c r="K355" s="5"/>
      <c r="L355" s="5"/>
      <c r="M355" s="5" t="s">
        <v>1276</v>
      </c>
    </row>
    <row r="356" spans="3:13" x14ac:dyDescent="0.35">
      <c r="C356" s="5"/>
      <c r="D356" s="5" t="s">
        <v>395</v>
      </c>
      <c r="E356" s="5">
        <v>305201598</v>
      </c>
      <c r="F356" s="5" t="s">
        <v>904</v>
      </c>
      <c r="G356" s="5"/>
      <c r="H356" s="5" t="s">
        <v>395</v>
      </c>
      <c r="I356" s="17">
        <v>7.4961809014760704E+18</v>
      </c>
      <c r="J356" s="5"/>
      <c r="K356" s="5"/>
      <c r="L356" s="5"/>
      <c r="M356" s="5" t="s">
        <v>1276</v>
      </c>
    </row>
    <row r="357" spans="3:13" x14ac:dyDescent="0.35">
      <c r="C357" s="5"/>
      <c r="D357" s="5" t="s">
        <v>396</v>
      </c>
      <c r="E357" s="5">
        <v>305216122</v>
      </c>
      <c r="F357" s="5" t="s">
        <v>903</v>
      </c>
      <c r="G357" s="5"/>
      <c r="H357" s="5" t="s">
        <v>396</v>
      </c>
      <c r="I357" s="17">
        <v>7.4962089123652198E+18</v>
      </c>
      <c r="J357" s="5" t="s">
        <v>913</v>
      </c>
      <c r="K357" s="5"/>
      <c r="L357" s="5" t="s">
        <v>1090</v>
      </c>
      <c r="M357" s="5" t="s">
        <v>1276</v>
      </c>
    </row>
    <row r="358" spans="3:13" x14ac:dyDescent="0.35">
      <c r="C358" s="5"/>
      <c r="D358" s="5" t="s">
        <v>397</v>
      </c>
      <c r="E358" s="5">
        <v>305942764</v>
      </c>
      <c r="F358" s="5" t="s">
        <v>905</v>
      </c>
      <c r="G358" s="5"/>
      <c r="H358" s="5" t="s">
        <v>397</v>
      </c>
      <c r="I358" s="17">
        <v>7.4962416790237696E+18</v>
      </c>
      <c r="J358" s="5" t="s">
        <v>916</v>
      </c>
      <c r="K358" s="5"/>
      <c r="L358" s="5" t="s">
        <v>1091</v>
      </c>
      <c r="M358" s="5" t="s">
        <v>1276</v>
      </c>
    </row>
    <row r="359" spans="3:13" x14ac:dyDescent="0.35">
      <c r="C359" s="5"/>
      <c r="D359" s="5" t="s">
        <v>398</v>
      </c>
      <c r="E359" s="5">
        <v>306309956</v>
      </c>
      <c r="F359" s="5" t="s">
        <v>905</v>
      </c>
      <c r="G359" s="5"/>
      <c r="H359" s="5" t="s">
        <v>398</v>
      </c>
      <c r="I359" s="17">
        <v>7.4961601813899796E+18</v>
      </c>
      <c r="J359" s="5" t="s">
        <v>928</v>
      </c>
      <c r="K359" s="5"/>
      <c r="L359" s="5" t="s">
        <v>1092</v>
      </c>
      <c r="M359" s="5" t="s">
        <v>1276</v>
      </c>
    </row>
    <row r="360" spans="3:13" x14ac:dyDescent="0.35">
      <c r="C360" s="5"/>
      <c r="D360" s="5" t="s">
        <v>399</v>
      </c>
      <c r="E360" s="5">
        <v>307868480</v>
      </c>
      <c r="F360" s="5" t="s">
        <v>903</v>
      </c>
      <c r="G360" s="5"/>
      <c r="H360" s="5" t="s">
        <v>399</v>
      </c>
      <c r="I360" s="17">
        <v>7.4961889153845504E+18</v>
      </c>
      <c r="J360" s="5" t="s">
        <v>941</v>
      </c>
      <c r="K360" s="5"/>
      <c r="L360" s="5"/>
      <c r="M360" s="5" t="s">
        <v>1276</v>
      </c>
    </row>
    <row r="361" spans="3:13" x14ac:dyDescent="0.35">
      <c r="C361" s="5"/>
      <c r="D361" s="5" t="s">
        <v>400</v>
      </c>
      <c r="E361" s="5">
        <v>309806811</v>
      </c>
      <c r="F361" s="5" t="s">
        <v>905</v>
      </c>
      <c r="G361" s="5"/>
      <c r="H361" s="5" t="s">
        <v>400</v>
      </c>
      <c r="I361" s="17">
        <v>7.4961830264458097E+18</v>
      </c>
      <c r="J361" s="5" t="s">
        <v>916</v>
      </c>
      <c r="K361" s="5"/>
      <c r="L361" s="5"/>
      <c r="M361" s="5" t="s">
        <v>1276</v>
      </c>
    </row>
    <row r="362" spans="3:13" x14ac:dyDescent="0.35">
      <c r="C362" s="5"/>
      <c r="D362" s="5" t="s">
        <v>401</v>
      </c>
      <c r="E362" s="5">
        <v>311164225</v>
      </c>
      <c r="F362" s="5" t="s">
        <v>906</v>
      </c>
      <c r="G362" s="5"/>
      <c r="H362" s="5" t="s">
        <v>401</v>
      </c>
      <c r="I362" s="17">
        <v>7.4962186210163098E+18</v>
      </c>
      <c r="J362" s="5" t="s">
        <v>942</v>
      </c>
      <c r="K362" s="5"/>
      <c r="L362" s="5"/>
      <c r="M362" s="5" t="s">
        <v>1276</v>
      </c>
    </row>
    <row r="363" spans="3:13" x14ac:dyDescent="0.35">
      <c r="C363" s="5"/>
      <c r="D363" s="5" t="s">
        <v>402</v>
      </c>
      <c r="E363" s="5">
        <v>311225794</v>
      </c>
      <c r="F363" s="5" t="s">
        <v>904</v>
      </c>
      <c r="G363" s="5"/>
      <c r="H363" s="5" t="s">
        <v>402</v>
      </c>
      <c r="I363" s="17">
        <v>7.4961823021250304E+18</v>
      </c>
      <c r="J363" s="5" t="s">
        <v>926</v>
      </c>
      <c r="K363" s="5"/>
      <c r="L363" s="5"/>
      <c r="M363" s="5" t="s">
        <v>1276</v>
      </c>
    </row>
    <row r="364" spans="3:13" x14ac:dyDescent="0.35">
      <c r="C364" s="5"/>
      <c r="D364" s="5" t="s">
        <v>403</v>
      </c>
      <c r="E364" s="5">
        <v>313531142</v>
      </c>
      <c r="F364" s="5" t="s">
        <v>903</v>
      </c>
      <c r="G364" s="5"/>
      <c r="H364" s="5" t="s">
        <v>403</v>
      </c>
      <c r="I364" s="17">
        <v>7.4961828234274099E+18</v>
      </c>
      <c r="J364" s="5" t="s">
        <v>933</v>
      </c>
      <c r="K364" s="5"/>
      <c r="L364" s="5" t="s">
        <v>1093</v>
      </c>
      <c r="M364" s="5" t="s">
        <v>1276</v>
      </c>
    </row>
    <row r="365" spans="3:13" x14ac:dyDescent="0.35">
      <c r="C365" s="5"/>
      <c r="D365" s="5" t="s">
        <v>404</v>
      </c>
      <c r="E365" s="5">
        <v>313660590</v>
      </c>
      <c r="F365" s="5" t="s">
        <v>905</v>
      </c>
      <c r="G365" s="5"/>
      <c r="H365" s="5" t="s">
        <v>404</v>
      </c>
      <c r="I365" s="17">
        <v>7.4940983363536404E+18</v>
      </c>
      <c r="J365" s="5"/>
      <c r="K365" s="5"/>
      <c r="L365" s="5"/>
      <c r="M365" s="5" t="s">
        <v>1276</v>
      </c>
    </row>
    <row r="366" spans="3:13" x14ac:dyDescent="0.35">
      <c r="C366" s="5"/>
      <c r="D366" s="5" t="s">
        <v>405</v>
      </c>
      <c r="E366" s="5">
        <v>313984108</v>
      </c>
      <c r="F366" s="5" t="s">
        <v>905</v>
      </c>
      <c r="G366" s="5"/>
      <c r="H366" s="5" t="s">
        <v>405</v>
      </c>
      <c r="I366" s="17">
        <v>7.4940883144375296E+18</v>
      </c>
      <c r="J366" s="5" t="s">
        <v>928</v>
      </c>
      <c r="K366" s="5"/>
      <c r="L366" s="5" t="s">
        <v>1094</v>
      </c>
      <c r="M366" s="5" t="s">
        <v>1276</v>
      </c>
    </row>
    <row r="367" spans="3:13" x14ac:dyDescent="0.35">
      <c r="C367" s="5"/>
      <c r="D367" s="5" t="s">
        <v>406</v>
      </c>
      <c r="E367" s="5">
        <v>314090713</v>
      </c>
      <c r="F367" s="5" t="s">
        <v>906</v>
      </c>
      <c r="G367" s="5"/>
      <c r="H367" s="5" t="s">
        <v>406</v>
      </c>
      <c r="I367" s="17">
        <v>7.4962288961809603E+18</v>
      </c>
      <c r="J367" s="5" t="s">
        <v>908</v>
      </c>
      <c r="K367" s="5"/>
      <c r="L367" s="5" t="s">
        <v>1095</v>
      </c>
      <c r="M367" s="5" t="s">
        <v>1276</v>
      </c>
    </row>
    <row r="368" spans="3:13" x14ac:dyDescent="0.35">
      <c r="C368" s="5"/>
      <c r="D368" s="5" t="s">
        <v>407</v>
      </c>
      <c r="E368" s="5">
        <v>314858997</v>
      </c>
      <c r="F368" s="5" t="s">
        <v>906</v>
      </c>
      <c r="G368" s="5"/>
      <c r="H368" s="5" t="s">
        <v>407</v>
      </c>
      <c r="I368" s="17">
        <v>7.4961473357198397E+18</v>
      </c>
      <c r="J368" s="5" t="s">
        <v>908</v>
      </c>
      <c r="K368" s="5"/>
      <c r="L368" s="5" t="s">
        <v>1096</v>
      </c>
      <c r="M368" s="5" t="s">
        <v>1276</v>
      </c>
    </row>
    <row r="369" spans="3:13" x14ac:dyDescent="0.35">
      <c r="C369" s="5"/>
      <c r="D369" s="5" t="s">
        <v>408</v>
      </c>
      <c r="E369" s="5">
        <v>315271502</v>
      </c>
      <c r="F369" s="5" t="s">
        <v>905</v>
      </c>
      <c r="G369" s="5"/>
      <c r="H369" s="5" t="s">
        <v>408</v>
      </c>
      <c r="I369" s="17">
        <v>7.4962512996040305E+18</v>
      </c>
      <c r="J369" s="5" t="s">
        <v>931</v>
      </c>
      <c r="K369" s="5"/>
      <c r="L369" s="5" t="s">
        <v>1097</v>
      </c>
      <c r="M369" s="5" t="s">
        <v>1276</v>
      </c>
    </row>
    <row r="370" spans="3:13" x14ac:dyDescent="0.35">
      <c r="C370" s="5"/>
      <c r="D370" s="5" t="s">
        <v>409</v>
      </c>
      <c r="E370" s="5">
        <v>315643622</v>
      </c>
      <c r="F370" s="5" t="s">
        <v>905</v>
      </c>
      <c r="G370" s="5"/>
      <c r="H370" s="5" t="s">
        <v>409</v>
      </c>
      <c r="I370" s="17">
        <v>7.4962049615743898E+18</v>
      </c>
      <c r="J370" s="5" t="s">
        <v>928</v>
      </c>
      <c r="K370" s="5"/>
      <c r="L370" s="5" t="s">
        <v>1098</v>
      </c>
      <c r="M370" s="5" t="s">
        <v>1276</v>
      </c>
    </row>
    <row r="371" spans="3:13" x14ac:dyDescent="0.35">
      <c r="C371" s="5"/>
      <c r="D371" s="5" t="s">
        <v>410</v>
      </c>
      <c r="E371" s="5">
        <v>316450419</v>
      </c>
      <c r="F371" s="5" t="s">
        <v>903</v>
      </c>
      <c r="G371" s="5"/>
      <c r="H371" s="5" t="s">
        <v>410</v>
      </c>
      <c r="I371" s="17">
        <v>7.4961832954967798E+18</v>
      </c>
      <c r="J371" s="5" t="s">
        <v>933</v>
      </c>
      <c r="K371" s="5"/>
      <c r="L371" s="5" t="s">
        <v>1099</v>
      </c>
      <c r="M371" s="5" t="s">
        <v>1276</v>
      </c>
    </row>
    <row r="372" spans="3:13" x14ac:dyDescent="0.35">
      <c r="C372" s="5"/>
      <c r="D372" s="5" t="s">
        <v>411</v>
      </c>
      <c r="E372" s="5">
        <v>316749752</v>
      </c>
      <c r="F372" s="5" t="s">
        <v>905</v>
      </c>
      <c r="G372" s="5"/>
      <c r="H372" s="5" t="s">
        <v>411</v>
      </c>
      <c r="I372" s="17">
        <v>7.49618638558989E+18</v>
      </c>
      <c r="J372" s="5" t="s">
        <v>928</v>
      </c>
      <c r="K372" s="5"/>
      <c r="L372" s="5"/>
      <c r="M372" s="5" t="s">
        <v>1276</v>
      </c>
    </row>
    <row r="373" spans="3:13" x14ac:dyDescent="0.35">
      <c r="C373" s="5"/>
      <c r="D373" s="5" t="s">
        <v>412</v>
      </c>
      <c r="E373" s="5">
        <v>317333683</v>
      </c>
      <c r="F373" s="5" t="s">
        <v>905</v>
      </c>
      <c r="G373" s="5"/>
      <c r="H373" s="5" t="s">
        <v>412</v>
      </c>
      <c r="I373" s="17">
        <v>7.4962812783397704E+18</v>
      </c>
      <c r="J373" s="5" t="s">
        <v>928</v>
      </c>
      <c r="K373" s="5"/>
      <c r="L373" s="5" t="s">
        <v>1100</v>
      </c>
      <c r="M373" s="5" t="s">
        <v>1276</v>
      </c>
    </row>
    <row r="374" spans="3:13" x14ac:dyDescent="0.35">
      <c r="C374" s="5"/>
      <c r="D374" s="5" t="s">
        <v>413</v>
      </c>
      <c r="E374" s="5">
        <v>318011913</v>
      </c>
      <c r="F374" s="5" t="s">
        <v>906</v>
      </c>
      <c r="G374" s="5"/>
      <c r="H374" s="5" t="s">
        <v>413</v>
      </c>
      <c r="I374" s="17">
        <v>7.4961823657985597E+18</v>
      </c>
      <c r="J374" s="5" t="s">
        <v>908</v>
      </c>
      <c r="K374" s="5"/>
      <c r="L374" s="5" t="s">
        <v>1101</v>
      </c>
      <c r="M374" s="5" t="s">
        <v>1276</v>
      </c>
    </row>
    <row r="375" spans="3:13" x14ac:dyDescent="0.35">
      <c r="C375" s="5"/>
      <c r="D375" s="5" t="s">
        <v>414</v>
      </c>
      <c r="E375" s="5">
        <v>319037999</v>
      </c>
      <c r="F375" s="5" t="s">
        <v>903</v>
      </c>
      <c r="G375" s="5"/>
      <c r="H375" s="5"/>
      <c r="I375" s="17"/>
      <c r="J375" s="5"/>
      <c r="K375" s="5"/>
      <c r="L375" s="5"/>
      <c r="M375" s="5" t="s">
        <v>1276</v>
      </c>
    </row>
    <row r="376" spans="3:13" x14ac:dyDescent="0.35">
      <c r="C376" s="5"/>
      <c r="D376" s="5" t="s">
        <v>415</v>
      </c>
      <c r="E376" s="5">
        <v>319279657</v>
      </c>
      <c r="F376" s="5" t="s">
        <v>906</v>
      </c>
      <c r="G376" s="5"/>
      <c r="H376" s="5" t="s">
        <v>415</v>
      </c>
      <c r="I376" s="17">
        <v>7.4961819180958003E+18</v>
      </c>
      <c r="J376" s="5"/>
      <c r="K376" s="5"/>
      <c r="L376" s="5"/>
      <c r="M376" s="5" t="s">
        <v>1276</v>
      </c>
    </row>
    <row r="377" spans="3:13" x14ac:dyDescent="0.35">
      <c r="C377" s="5"/>
      <c r="D377" s="5" t="s">
        <v>416</v>
      </c>
      <c r="E377" s="5">
        <v>321115312</v>
      </c>
      <c r="F377" s="5" t="s">
        <v>903</v>
      </c>
      <c r="G377" s="5"/>
      <c r="H377" s="5" t="s">
        <v>416</v>
      </c>
      <c r="I377" s="17">
        <v>7.4961549217036001E+18</v>
      </c>
      <c r="J377" s="5" t="s">
        <v>913</v>
      </c>
      <c r="K377" s="5"/>
      <c r="L377" s="5" t="s">
        <v>1102</v>
      </c>
      <c r="M377" s="5" t="s">
        <v>1276</v>
      </c>
    </row>
    <row r="378" spans="3:13" x14ac:dyDescent="0.35">
      <c r="C378" s="5"/>
      <c r="D378" s="5" t="s">
        <v>417</v>
      </c>
      <c r="E378" s="5">
        <v>321128579</v>
      </c>
      <c r="F378" s="5" t="s">
        <v>906</v>
      </c>
      <c r="G378" s="5"/>
      <c r="H378" s="5" t="s">
        <v>417</v>
      </c>
      <c r="I378" s="17">
        <v>7.4961830160772301E+18</v>
      </c>
      <c r="J378" s="5" t="s">
        <v>908</v>
      </c>
      <c r="K378" s="5"/>
      <c r="L378" s="5" t="s">
        <v>1103</v>
      </c>
      <c r="M378" s="5" t="s">
        <v>1276</v>
      </c>
    </row>
    <row r="379" spans="3:13" x14ac:dyDescent="0.35">
      <c r="C379" s="5"/>
      <c r="D379" s="5" t="s">
        <v>418</v>
      </c>
      <c r="E379" s="5">
        <v>322016464</v>
      </c>
      <c r="F379" s="5" t="s">
        <v>905</v>
      </c>
      <c r="G379" s="5"/>
      <c r="H379" s="5" t="s">
        <v>418</v>
      </c>
      <c r="I379" s="17">
        <v>7.4961821550402898E+18</v>
      </c>
      <c r="J379" s="5" t="s">
        <v>936</v>
      </c>
      <c r="K379" s="5"/>
      <c r="L379" s="5"/>
      <c r="M379" s="5" t="s">
        <v>1276</v>
      </c>
    </row>
    <row r="380" spans="3:13" x14ac:dyDescent="0.35">
      <c r="C380" s="5"/>
      <c r="D380" s="5" t="s">
        <v>419</v>
      </c>
      <c r="E380" s="5">
        <v>322399178</v>
      </c>
      <c r="F380" s="5" t="s">
        <v>905</v>
      </c>
      <c r="G380" s="5"/>
      <c r="H380" s="5"/>
      <c r="I380" s="17"/>
      <c r="J380" s="5"/>
      <c r="K380" s="5"/>
      <c r="L380" s="5"/>
      <c r="M380" s="5" t="s">
        <v>1276</v>
      </c>
    </row>
    <row r="381" spans="3:13" x14ac:dyDescent="0.35">
      <c r="C381" s="5"/>
      <c r="D381" s="5" t="s">
        <v>420</v>
      </c>
      <c r="E381" s="5">
        <v>322432427</v>
      </c>
      <c r="F381" s="5" t="s">
        <v>906</v>
      </c>
      <c r="G381" s="5"/>
      <c r="H381" s="5" t="s">
        <v>420</v>
      </c>
      <c r="I381" s="17">
        <v>7.4941559380364104E+18</v>
      </c>
      <c r="J381" s="5"/>
      <c r="K381" s="5"/>
      <c r="L381" s="5"/>
      <c r="M381" s="5" t="s">
        <v>1276</v>
      </c>
    </row>
    <row r="382" spans="3:13" x14ac:dyDescent="0.35">
      <c r="C382" s="5"/>
      <c r="D382" s="5" t="s">
        <v>421</v>
      </c>
      <c r="E382" s="5">
        <v>323288678</v>
      </c>
      <c r="F382" s="5" t="s">
        <v>905</v>
      </c>
      <c r="G382" s="5"/>
      <c r="H382" s="5" t="s">
        <v>421</v>
      </c>
      <c r="I382" s="17">
        <v>7.4961885237971804E+18</v>
      </c>
      <c r="J382" s="5" t="s">
        <v>911</v>
      </c>
      <c r="K382" s="5"/>
      <c r="L382" s="5" t="s">
        <v>1104</v>
      </c>
      <c r="M382" s="5" t="s">
        <v>1276</v>
      </c>
    </row>
    <row r="383" spans="3:13" x14ac:dyDescent="0.35">
      <c r="C383" s="5"/>
      <c r="D383" s="5" t="s">
        <v>422</v>
      </c>
      <c r="E383" s="5">
        <v>324589983</v>
      </c>
      <c r="F383" s="5" t="s">
        <v>903</v>
      </c>
      <c r="G383" s="5"/>
      <c r="H383" s="5"/>
      <c r="I383" s="17"/>
      <c r="J383" s="5"/>
      <c r="K383" s="5"/>
      <c r="L383" s="5"/>
      <c r="M383" s="5" t="s">
        <v>1276</v>
      </c>
    </row>
    <row r="384" spans="3:13" x14ac:dyDescent="0.35">
      <c r="C384" s="5"/>
      <c r="D384" s="5" t="s">
        <v>423</v>
      </c>
      <c r="E384" s="5">
        <v>325008325</v>
      </c>
      <c r="F384" s="5" t="s">
        <v>905</v>
      </c>
      <c r="G384" s="5"/>
      <c r="H384" s="5"/>
      <c r="I384" s="17"/>
      <c r="J384" s="5"/>
      <c r="K384" s="5"/>
      <c r="L384" s="5"/>
      <c r="M384" s="5" t="s">
        <v>1276</v>
      </c>
    </row>
    <row r="385" spans="3:13" x14ac:dyDescent="0.35">
      <c r="C385" s="5"/>
      <c r="D385" s="5" t="s">
        <v>423</v>
      </c>
      <c r="E385" s="5">
        <v>325008325</v>
      </c>
      <c r="F385" s="5" t="s">
        <v>905</v>
      </c>
      <c r="G385" s="5"/>
      <c r="H385" s="5" t="s">
        <v>423</v>
      </c>
      <c r="I385" s="17">
        <v>7.4961600830211E+18</v>
      </c>
      <c r="J385" s="5"/>
      <c r="K385" s="5"/>
      <c r="L385" s="5"/>
      <c r="M385" s="5" t="s">
        <v>1276</v>
      </c>
    </row>
    <row r="386" spans="3:13" x14ac:dyDescent="0.35">
      <c r="C386" s="5"/>
      <c r="D386" s="5" t="s">
        <v>424</v>
      </c>
      <c r="E386" s="5">
        <v>325503017</v>
      </c>
      <c r="F386" s="5" t="s">
        <v>905</v>
      </c>
      <c r="G386" s="5"/>
      <c r="H386" s="5" t="s">
        <v>424</v>
      </c>
      <c r="I386" s="17">
        <v>7.4962166718757202E+18</v>
      </c>
      <c r="J386" s="5" t="s">
        <v>911</v>
      </c>
      <c r="K386" s="5"/>
      <c r="L386" s="5" t="s">
        <v>1105</v>
      </c>
      <c r="M386" s="5" t="s">
        <v>1276</v>
      </c>
    </row>
    <row r="387" spans="3:13" x14ac:dyDescent="0.35">
      <c r="C387" s="5"/>
      <c r="D387" s="5" t="s">
        <v>425</v>
      </c>
      <c r="E387" s="5">
        <v>325504669</v>
      </c>
      <c r="F387" s="5" t="s">
        <v>904</v>
      </c>
      <c r="G387" s="5"/>
      <c r="H387" s="5"/>
      <c r="I387" s="17"/>
      <c r="J387" s="5"/>
      <c r="K387" s="5"/>
      <c r="L387" s="5"/>
      <c r="M387" s="5" t="s">
        <v>1276</v>
      </c>
    </row>
    <row r="388" spans="3:13" x14ac:dyDescent="0.35">
      <c r="C388" s="5"/>
      <c r="D388" s="5" t="s">
        <v>426</v>
      </c>
      <c r="E388" s="5">
        <v>325508068</v>
      </c>
      <c r="F388" s="5" t="s">
        <v>903</v>
      </c>
      <c r="G388" s="5"/>
      <c r="H388" s="5" t="s">
        <v>426</v>
      </c>
      <c r="I388" s="17">
        <v>7.4940898407119196E+18</v>
      </c>
      <c r="J388" s="5" t="s">
        <v>913</v>
      </c>
      <c r="K388" s="5"/>
      <c r="L388" s="5" t="s">
        <v>1106</v>
      </c>
      <c r="M388" s="5" t="s">
        <v>1276</v>
      </c>
    </row>
    <row r="389" spans="3:13" x14ac:dyDescent="0.35">
      <c r="C389" s="5"/>
      <c r="D389" s="5" t="s">
        <v>427</v>
      </c>
      <c r="E389" s="5">
        <v>325861838</v>
      </c>
      <c r="F389" s="5" t="s">
        <v>906</v>
      </c>
      <c r="G389" s="5"/>
      <c r="H389" s="5" t="s">
        <v>427</v>
      </c>
      <c r="I389" s="17">
        <v>7.4961623569578998E+18</v>
      </c>
      <c r="J389" s="5" t="s">
        <v>908</v>
      </c>
      <c r="K389" s="5"/>
      <c r="L389" s="5"/>
      <c r="M389" s="5" t="s">
        <v>1276</v>
      </c>
    </row>
    <row r="390" spans="3:13" x14ac:dyDescent="0.35">
      <c r="C390" s="5"/>
      <c r="D390" s="5" t="s">
        <v>428</v>
      </c>
      <c r="E390" s="5">
        <v>326857141</v>
      </c>
      <c r="F390" s="5" t="s">
        <v>903</v>
      </c>
      <c r="G390" s="5"/>
      <c r="H390" s="5" t="s">
        <v>428</v>
      </c>
      <c r="I390" s="17">
        <v>7.4961906169541704E+18</v>
      </c>
      <c r="J390" s="5" t="s">
        <v>913</v>
      </c>
      <c r="K390" s="5"/>
      <c r="L390" s="5" t="s">
        <v>1107</v>
      </c>
      <c r="M390" s="5" t="s">
        <v>1276</v>
      </c>
    </row>
    <row r="391" spans="3:13" x14ac:dyDescent="0.35">
      <c r="C391" s="5"/>
      <c r="D391" s="5" t="s">
        <v>429</v>
      </c>
      <c r="E391" s="5">
        <v>328666563</v>
      </c>
      <c r="F391" s="5" t="s">
        <v>904</v>
      </c>
      <c r="G391" s="5"/>
      <c r="H391" s="5" t="s">
        <v>429</v>
      </c>
      <c r="I391" s="17">
        <v>7.4961464312699597E+18</v>
      </c>
      <c r="J391" s="5" t="s">
        <v>908</v>
      </c>
      <c r="K391" s="5"/>
      <c r="L391" s="5" t="s">
        <v>1108</v>
      </c>
      <c r="M391" s="5" t="s">
        <v>1276</v>
      </c>
    </row>
    <row r="392" spans="3:13" x14ac:dyDescent="0.35">
      <c r="C392" s="5"/>
      <c r="D392" s="5" t="s">
        <v>430</v>
      </c>
      <c r="E392" s="5">
        <v>329076450</v>
      </c>
      <c r="F392" s="5" t="s">
        <v>903</v>
      </c>
      <c r="G392" s="5"/>
      <c r="H392" s="5" t="s">
        <v>430</v>
      </c>
      <c r="I392" s="17">
        <v>7.4962405827135703E+18</v>
      </c>
      <c r="J392" s="5" t="s">
        <v>969</v>
      </c>
      <c r="K392" s="5"/>
      <c r="L392" s="5"/>
      <c r="M392" s="5" t="s">
        <v>1276</v>
      </c>
    </row>
    <row r="393" spans="3:13" x14ac:dyDescent="0.35">
      <c r="C393" s="5"/>
      <c r="D393" s="5" t="s">
        <v>431</v>
      </c>
      <c r="E393" s="5">
        <v>329200294</v>
      </c>
      <c r="F393" s="5" t="s">
        <v>907</v>
      </c>
      <c r="G393" s="5"/>
      <c r="H393" s="5" t="s">
        <v>431</v>
      </c>
      <c r="I393" s="17">
        <v>7.4961563623909898E+18</v>
      </c>
      <c r="J393" s="5" t="s">
        <v>936</v>
      </c>
      <c r="K393" s="5"/>
      <c r="L393" s="5" t="s">
        <v>1109</v>
      </c>
      <c r="M393" s="5" t="s">
        <v>1276</v>
      </c>
    </row>
    <row r="394" spans="3:13" x14ac:dyDescent="0.35">
      <c r="C394" s="5"/>
      <c r="D394" s="5" t="s">
        <v>432</v>
      </c>
      <c r="E394" s="5">
        <v>329503701</v>
      </c>
      <c r="F394" s="5" t="s">
        <v>903</v>
      </c>
      <c r="G394" s="5"/>
      <c r="H394" s="5" t="s">
        <v>432</v>
      </c>
      <c r="I394" s="17">
        <v>7.4961884136320799E+18</v>
      </c>
      <c r="J394" s="5" t="s">
        <v>910</v>
      </c>
      <c r="K394" s="5"/>
      <c r="L394" s="5" t="s">
        <v>1110</v>
      </c>
      <c r="M394" s="5" t="s">
        <v>1276</v>
      </c>
    </row>
    <row r="395" spans="3:13" x14ac:dyDescent="0.35">
      <c r="C395" s="5"/>
      <c r="D395" s="5" t="s">
        <v>433</v>
      </c>
      <c r="E395" s="5">
        <v>329658446</v>
      </c>
      <c r="F395" s="5" t="s">
        <v>903</v>
      </c>
      <c r="G395" s="5"/>
      <c r="H395" s="5" t="s">
        <v>433</v>
      </c>
      <c r="I395" s="17">
        <v>7.4961820418040402E+18</v>
      </c>
      <c r="J395" s="5" t="s">
        <v>913</v>
      </c>
      <c r="K395" s="5"/>
      <c r="L395" s="5"/>
      <c r="M395" s="5" t="s">
        <v>1276</v>
      </c>
    </row>
    <row r="396" spans="3:13" x14ac:dyDescent="0.35">
      <c r="C396" s="5"/>
      <c r="D396" s="5" t="s">
        <v>434</v>
      </c>
      <c r="E396" s="5">
        <v>330462933</v>
      </c>
      <c r="F396" s="5" t="s">
        <v>903</v>
      </c>
      <c r="G396" s="5"/>
      <c r="H396" s="5"/>
      <c r="I396" s="17"/>
      <c r="J396" s="5"/>
      <c r="K396" s="5"/>
      <c r="L396" s="5"/>
      <c r="M396" s="5" t="s">
        <v>1276</v>
      </c>
    </row>
    <row r="397" spans="3:13" x14ac:dyDescent="0.35">
      <c r="C397" s="5"/>
      <c r="D397" s="5" t="s">
        <v>435</v>
      </c>
      <c r="E397" s="5">
        <v>331042174</v>
      </c>
      <c r="F397" s="5" t="s">
        <v>903</v>
      </c>
      <c r="G397" s="5"/>
      <c r="H397" s="5" t="s">
        <v>435</v>
      </c>
      <c r="I397" s="17">
        <v>7.4961616062722499E+18</v>
      </c>
      <c r="J397" s="5" t="s">
        <v>941</v>
      </c>
      <c r="K397" s="5"/>
      <c r="L397" s="5" t="s">
        <v>1111</v>
      </c>
      <c r="M397" s="5" t="s">
        <v>1276</v>
      </c>
    </row>
    <row r="398" spans="3:13" x14ac:dyDescent="0.35">
      <c r="C398" s="5"/>
      <c r="D398" s="5" t="s">
        <v>436</v>
      </c>
      <c r="E398" s="5">
        <v>331517678</v>
      </c>
      <c r="F398" s="5" t="s">
        <v>904</v>
      </c>
      <c r="G398" s="5"/>
      <c r="H398" s="5"/>
      <c r="I398" s="17"/>
      <c r="J398" s="5"/>
      <c r="K398" s="5"/>
      <c r="L398" s="5"/>
      <c r="M398" s="5" t="s">
        <v>1276</v>
      </c>
    </row>
    <row r="399" spans="3:13" x14ac:dyDescent="0.35">
      <c r="C399" s="5"/>
      <c r="D399" s="5" t="s">
        <v>437</v>
      </c>
      <c r="E399" s="5">
        <v>331565441</v>
      </c>
      <c r="F399" s="5" t="s">
        <v>903</v>
      </c>
      <c r="G399" s="5"/>
      <c r="H399" s="5" t="s">
        <v>437</v>
      </c>
      <c r="I399" s="17">
        <v>7.4961872248422103E+18</v>
      </c>
      <c r="J399" s="5" t="s">
        <v>933</v>
      </c>
      <c r="K399" s="5"/>
      <c r="L399" s="5"/>
      <c r="M399" s="5" t="s">
        <v>1276</v>
      </c>
    </row>
    <row r="400" spans="3:13" x14ac:dyDescent="0.35">
      <c r="C400" s="5"/>
      <c r="D400" s="5" t="s">
        <v>438</v>
      </c>
      <c r="E400" s="5">
        <v>332038931</v>
      </c>
      <c r="F400" s="5" t="s">
        <v>906</v>
      </c>
      <c r="G400" s="5"/>
      <c r="H400" s="5" t="s">
        <v>438</v>
      </c>
      <c r="I400" s="17">
        <v>7.4961830853840404E+18</v>
      </c>
      <c r="J400" s="5" t="s">
        <v>908</v>
      </c>
      <c r="K400" s="5"/>
      <c r="L400" s="5"/>
      <c r="M400" s="5" t="s">
        <v>1276</v>
      </c>
    </row>
    <row r="401" spans="3:13" x14ac:dyDescent="0.35">
      <c r="C401" s="5"/>
      <c r="D401" s="5" t="s">
        <v>439</v>
      </c>
      <c r="E401" s="5">
        <v>332059670</v>
      </c>
      <c r="F401" s="5" t="s">
        <v>905</v>
      </c>
      <c r="G401" s="5"/>
      <c r="H401" s="5"/>
      <c r="I401" s="17"/>
      <c r="J401" s="5"/>
      <c r="K401" s="5"/>
      <c r="L401" s="5"/>
      <c r="M401" s="5" t="s">
        <v>1276</v>
      </c>
    </row>
    <row r="402" spans="3:13" x14ac:dyDescent="0.35">
      <c r="C402" s="5"/>
      <c r="D402" s="5" t="s">
        <v>440</v>
      </c>
      <c r="E402" s="5">
        <v>332726463</v>
      </c>
      <c r="F402" s="5" t="s">
        <v>903</v>
      </c>
      <c r="G402" s="5"/>
      <c r="H402" s="5" t="s">
        <v>440</v>
      </c>
      <c r="I402" s="17">
        <v>7.4961819354902999E+18</v>
      </c>
      <c r="J402" s="5" t="s">
        <v>913</v>
      </c>
      <c r="K402" s="5"/>
      <c r="L402" s="5" t="s">
        <v>1112</v>
      </c>
      <c r="M402" s="5" t="s">
        <v>1276</v>
      </c>
    </row>
    <row r="403" spans="3:13" x14ac:dyDescent="0.35">
      <c r="C403" s="5"/>
      <c r="D403" s="5" t="s">
        <v>441</v>
      </c>
      <c r="E403" s="5">
        <v>332752392</v>
      </c>
      <c r="F403" s="5" t="s">
        <v>903</v>
      </c>
      <c r="G403" s="5"/>
      <c r="H403" s="5" t="s">
        <v>441</v>
      </c>
      <c r="I403" s="17">
        <v>7.4961687327891405E+18</v>
      </c>
      <c r="J403" s="5"/>
      <c r="K403" s="5"/>
      <c r="L403" s="5"/>
      <c r="M403" s="5" t="s">
        <v>1276</v>
      </c>
    </row>
    <row r="404" spans="3:13" x14ac:dyDescent="0.35">
      <c r="C404" s="5"/>
      <c r="D404" s="5" t="s">
        <v>442</v>
      </c>
      <c r="E404" s="5">
        <v>336137394</v>
      </c>
      <c r="F404" s="5" t="s">
        <v>905</v>
      </c>
      <c r="G404" s="5"/>
      <c r="H404" s="5" t="s">
        <v>442</v>
      </c>
      <c r="I404" s="17">
        <v>7.4961625224868301E+18</v>
      </c>
      <c r="J404" s="5" t="s">
        <v>984</v>
      </c>
      <c r="K404" s="5"/>
      <c r="L404" s="5"/>
      <c r="M404" s="5" t="s">
        <v>1276</v>
      </c>
    </row>
    <row r="405" spans="3:13" x14ac:dyDescent="0.35">
      <c r="C405" s="5"/>
      <c r="D405" s="5" t="s">
        <v>443</v>
      </c>
      <c r="E405" s="5">
        <v>337958318</v>
      </c>
      <c r="F405" s="5" t="s">
        <v>903</v>
      </c>
      <c r="G405" s="5"/>
      <c r="H405" s="5" t="s">
        <v>443</v>
      </c>
      <c r="I405" s="17">
        <v>7.4962025174801705E+18</v>
      </c>
      <c r="J405" s="5" t="s">
        <v>910</v>
      </c>
      <c r="K405" s="5"/>
      <c r="L405" s="5" t="s">
        <v>1113</v>
      </c>
      <c r="M405" s="5" t="s">
        <v>1276</v>
      </c>
    </row>
    <row r="406" spans="3:13" x14ac:dyDescent="0.35">
      <c r="C406" s="5"/>
      <c r="D406" s="5" t="s">
        <v>444</v>
      </c>
      <c r="E406" s="5">
        <v>338166673</v>
      </c>
      <c r="F406" s="5" t="s">
        <v>905</v>
      </c>
      <c r="G406" s="5"/>
      <c r="H406" s="5" t="s">
        <v>444</v>
      </c>
      <c r="I406" s="17">
        <v>7.4962127129067203E+18</v>
      </c>
      <c r="J406" s="5" t="s">
        <v>916</v>
      </c>
      <c r="K406" s="5"/>
      <c r="L406" s="5"/>
      <c r="M406" s="5" t="s">
        <v>1276</v>
      </c>
    </row>
    <row r="407" spans="3:13" x14ac:dyDescent="0.35">
      <c r="C407" s="5"/>
      <c r="D407" s="5" t="s">
        <v>445</v>
      </c>
      <c r="E407" s="5">
        <v>340076400</v>
      </c>
      <c r="F407" s="5" t="s">
        <v>905</v>
      </c>
      <c r="G407" s="5"/>
      <c r="H407" s="5" t="s">
        <v>445</v>
      </c>
      <c r="I407" s="17">
        <v>7.4963012462343301E+18</v>
      </c>
      <c r="J407" s="5" t="s">
        <v>984</v>
      </c>
      <c r="K407" s="5"/>
      <c r="L407" s="5" t="s">
        <v>1114</v>
      </c>
      <c r="M407" s="5" t="s">
        <v>1276</v>
      </c>
    </row>
    <row r="408" spans="3:13" x14ac:dyDescent="0.35">
      <c r="C408" s="5"/>
      <c r="D408" s="5" t="s">
        <v>446</v>
      </c>
      <c r="E408" s="5">
        <v>340539603</v>
      </c>
      <c r="F408" s="5" t="s">
        <v>903</v>
      </c>
      <c r="G408" s="5"/>
      <c r="H408" s="5" t="s">
        <v>446</v>
      </c>
      <c r="I408" s="17">
        <v>7.4962597084686203E+18</v>
      </c>
      <c r="J408" s="5" t="s">
        <v>910</v>
      </c>
      <c r="K408" s="5"/>
      <c r="L408" s="5"/>
      <c r="M408" s="5" t="s">
        <v>1276</v>
      </c>
    </row>
    <row r="409" spans="3:13" x14ac:dyDescent="0.35">
      <c r="C409" s="5"/>
      <c r="D409" s="5" t="s">
        <v>447</v>
      </c>
      <c r="E409" s="5">
        <v>340746999</v>
      </c>
      <c r="F409" s="5" t="s">
        <v>906</v>
      </c>
      <c r="G409" s="5"/>
      <c r="H409" s="5" t="s">
        <v>447</v>
      </c>
      <c r="I409" s="17">
        <v>7.4961818873343795E+18</v>
      </c>
      <c r="J409" s="5"/>
      <c r="K409" s="5"/>
      <c r="L409" s="5"/>
      <c r="M409" s="5" t="s">
        <v>1276</v>
      </c>
    </row>
    <row r="410" spans="3:13" x14ac:dyDescent="0.35">
      <c r="C410" s="5"/>
      <c r="D410" s="5" t="s">
        <v>448</v>
      </c>
      <c r="E410" s="5">
        <v>341167297</v>
      </c>
      <c r="F410" s="5" t="s">
        <v>903</v>
      </c>
      <c r="G410" s="5"/>
      <c r="H410" s="5"/>
      <c r="I410" s="17"/>
      <c r="J410" s="5"/>
      <c r="K410" s="5"/>
      <c r="L410" s="5"/>
      <c r="M410" s="5" t="s">
        <v>1276</v>
      </c>
    </row>
    <row r="411" spans="3:13" x14ac:dyDescent="0.35">
      <c r="C411" s="5"/>
      <c r="D411" s="5" t="s">
        <v>449</v>
      </c>
      <c r="E411" s="5">
        <v>341167297</v>
      </c>
      <c r="F411" s="5" t="s">
        <v>903</v>
      </c>
      <c r="G411" s="5"/>
      <c r="H411" s="5" t="s">
        <v>449</v>
      </c>
      <c r="I411" s="17">
        <v>7.4961875968871895E+18</v>
      </c>
      <c r="J411" s="5"/>
      <c r="K411" s="5"/>
      <c r="L411" s="5"/>
      <c r="M411" s="5" t="s">
        <v>1276</v>
      </c>
    </row>
    <row r="412" spans="3:13" x14ac:dyDescent="0.35">
      <c r="C412" s="5"/>
      <c r="D412" s="5" t="s">
        <v>450</v>
      </c>
      <c r="E412" s="5">
        <v>341874832</v>
      </c>
      <c r="F412" s="5" t="s">
        <v>903</v>
      </c>
      <c r="G412" s="5"/>
      <c r="H412" s="5" t="s">
        <v>450</v>
      </c>
      <c r="I412" s="17">
        <v>7.4962509568965601E+18</v>
      </c>
      <c r="J412" s="5" t="s">
        <v>910</v>
      </c>
      <c r="K412" s="5"/>
      <c r="L412" s="5"/>
      <c r="M412" s="5" t="s">
        <v>1276</v>
      </c>
    </row>
    <row r="413" spans="3:13" x14ac:dyDescent="0.35">
      <c r="C413" s="5"/>
      <c r="D413" s="5" t="s">
        <v>451</v>
      </c>
      <c r="E413" s="5">
        <v>342086228</v>
      </c>
      <c r="F413" s="5" t="s">
        <v>904</v>
      </c>
      <c r="G413" s="5"/>
      <c r="H413" s="5" t="s">
        <v>451</v>
      </c>
      <c r="I413" s="17">
        <v>7.4961686312600504E+18</v>
      </c>
      <c r="J413" s="5" t="s">
        <v>918</v>
      </c>
      <c r="K413" s="5"/>
      <c r="L413" s="5" t="s">
        <v>1115</v>
      </c>
      <c r="M413" s="5" t="s">
        <v>1276</v>
      </c>
    </row>
    <row r="414" spans="3:13" x14ac:dyDescent="0.35">
      <c r="C414" s="5"/>
      <c r="D414" s="5" t="s">
        <v>452</v>
      </c>
      <c r="E414" s="5">
        <v>343246764</v>
      </c>
      <c r="F414" s="5" t="s">
        <v>905</v>
      </c>
      <c r="G414" s="5"/>
      <c r="H414" s="5" t="s">
        <v>452</v>
      </c>
      <c r="I414" s="17">
        <v>7.4961625197861601E+18</v>
      </c>
      <c r="J414" s="5"/>
      <c r="K414" s="5"/>
      <c r="L414" s="5"/>
      <c r="M414" s="5" t="s">
        <v>1276</v>
      </c>
    </row>
    <row r="415" spans="3:13" x14ac:dyDescent="0.35">
      <c r="C415" s="5"/>
      <c r="D415" s="5" t="s">
        <v>453</v>
      </c>
      <c r="E415" s="5">
        <v>344503389</v>
      </c>
      <c r="F415" s="5" t="s">
        <v>905</v>
      </c>
      <c r="G415" s="5"/>
      <c r="H415" s="5"/>
      <c r="I415" s="17"/>
      <c r="J415" s="5"/>
      <c r="K415" s="5"/>
      <c r="L415" s="5"/>
      <c r="M415" s="5" t="s">
        <v>1276</v>
      </c>
    </row>
    <row r="416" spans="3:13" x14ac:dyDescent="0.35">
      <c r="C416" s="5"/>
      <c r="D416" s="5" t="s">
        <v>454</v>
      </c>
      <c r="E416" s="5">
        <v>344585949</v>
      </c>
      <c r="F416" s="5" t="s">
        <v>904</v>
      </c>
      <c r="G416" s="5"/>
      <c r="H416" s="5" t="s">
        <v>454</v>
      </c>
      <c r="I416" s="17">
        <v>7.4962202388271903E+18</v>
      </c>
      <c r="J416" s="5" t="s">
        <v>926</v>
      </c>
      <c r="K416" s="5"/>
      <c r="L416" s="5" t="s">
        <v>1116</v>
      </c>
      <c r="M416" s="5" t="s">
        <v>1276</v>
      </c>
    </row>
    <row r="417" spans="3:13" x14ac:dyDescent="0.35">
      <c r="C417" s="5"/>
      <c r="D417" s="5" t="s">
        <v>455</v>
      </c>
      <c r="E417" s="5">
        <v>345661881</v>
      </c>
      <c r="F417" s="5" t="s">
        <v>903</v>
      </c>
      <c r="G417" s="5"/>
      <c r="H417" s="5" t="s">
        <v>455</v>
      </c>
      <c r="I417" s="17">
        <v>7.4963035262211502E+18</v>
      </c>
      <c r="J417" s="5" t="s">
        <v>913</v>
      </c>
      <c r="K417" s="5"/>
      <c r="L417" s="5" t="s">
        <v>1117</v>
      </c>
      <c r="M417" s="5" t="s">
        <v>1276</v>
      </c>
    </row>
    <row r="418" spans="3:13" x14ac:dyDescent="0.35">
      <c r="C418" s="5"/>
      <c r="D418" s="5" t="s">
        <v>456</v>
      </c>
      <c r="E418" s="5">
        <v>346235717</v>
      </c>
      <c r="F418" s="5" t="s">
        <v>905</v>
      </c>
      <c r="G418" s="5"/>
      <c r="H418" s="5" t="s">
        <v>456</v>
      </c>
      <c r="I418" s="17">
        <v>7.4962835538517299E+18</v>
      </c>
      <c r="J418" s="5" t="s">
        <v>928</v>
      </c>
      <c r="K418" s="5"/>
      <c r="L418" s="5" t="s">
        <v>1118</v>
      </c>
      <c r="M418" s="5" t="s">
        <v>1276</v>
      </c>
    </row>
    <row r="419" spans="3:13" x14ac:dyDescent="0.35">
      <c r="C419" s="5"/>
      <c r="D419" s="5" t="s">
        <v>457</v>
      </c>
      <c r="E419" s="5">
        <v>346274939</v>
      </c>
      <c r="F419" s="5" t="s">
        <v>903</v>
      </c>
      <c r="G419" s="5"/>
      <c r="H419" s="5" t="s">
        <v>457</v>
      </c>
      <c r="I419" s="17">
        <v>7.4961857975244902E+18</v>
      </c>
      <c r="J419" s="5" t="s">
        <v>913</v>
      </c>
      <c r="K419" s="5"/>
      <c r="L419" s="5" t="s">
        <v>1119</v>
      </c>
      <c r="M419" s="5" t="s">
        <v>1276</v>
      </c>
    </row>
    <row r="420" spans="3:13" x14ac:dyDescent="0.35">
      <c r="C420" s="5"/>
      <c r="D420" s="5" t="s">
        <v>458</v>
      </c>
      <c r="E420" s="5">
        <v>347988064</v>
      </c>
      <c r="F420" s="5" t="s">
        <v>903</v>
      </c>
      <c r="G420" s="5"/>
      <c r="H420" s="5" t="s">
        <v>458</v>
      </c>
      <c r="I420" s="17">
        <v>7.4961622309280502E+18</v>
      </c>
      <c r="J420" s="5" t="s">
        <v>939</v>
      </c>
      <c r="K420" s="5"/>
      <c r="L420" s="5" t="s">
        <v>1120</v>
      </c>
      <c r="M420" s="5" t="s">
        <v>1276</v>
      </c>
    </row>
    <row r="421" spans="3:13" x14ac:dyDescent="0.35">
      <c r="C421" s="5"/>
      <c r="D421" s="5" t="s">
        <v>459</v>
      </c>
      <c r="E421" s="5">
        <v>349602064</v>
      </c>
      <c r="F421" s="5" t="s">
        <v>903</v>
      </c>
      <c r="G421" s="5"/>
      <c r="H421" s="5" t="s">
        <v>459</v>
      </c>
      <c r="I421" s="17">
        <v>7.4961880135646198E+18</v>
      </c>
      <c r="J421" s="5" t="s">
        <v>924</v>
      </c>
      <c r="K421" s="5"/>
      <c r="L421" s="5" t="s">
        <v>1121</v>
      </c>
      <c r="M421" s="5" t="s">
        <v>1276</v>
      </c>
    </row>
    <row r="422" spans="3:13" x14ac:dyDescent="0.35">
      <c r="C422" s="5"/>
      <c r="D422" s="5" t="s">
        <v>460</v>
      </c>
      <c r="E422" s="5">
        <v>352674932</v>
      </c>
      <c r="F422" s="5" t="s">
        <v>905</v>
      </c>
      <c r="G422" s="5"/>
      <c r="H422" s="5" t="s">
        <v>460</v>
      </c>
      <c r="I422" s="17">
        <v>7.49616343596083E+18</v>
      </c>
      <c r="J422" s="5"/>
      <c r="K422" s="5"/>
      <c r="L422" s="5"/>
      <c r="M422" s="5" t="s">
        <v>1276</v>
      </c>
    </row>
    <row r="423" spans="3:13" x14ac:dyDescent="0.35">
      <c r="C423" s="5"/>
      <c r="D423" s="5" t="s">
        <v>461</v>
      </c>
      <c r="E423" s="5">
        <v>354913181</v>
      </c>
      <c r="F423" s="5" t="s">
        <v>905</v>
      </c>
      <c r="G423" s="5"/>
      <c r="H423" s="5" t="s">
        <v>461</v>
      </c>
      <c r="I423" s="17">
        <v>7.4962271225047603E+18</v>
      </c>
      <c r="J423" s="5" t="s">
        <v>984</v>
      </c>
      <c r="K423" s="5"/>
      <c r="L423" s="5"/>
      <c r="M423" s="5" t="s">
        <v>1276</v>
      </c>
    </row>
    <row r="424" spans="3:13" x14ac:dyDescent="0.35">
      <c r="C424" s="5"/>
      <c r="D424" s="5" t="s">
        <v>462</v>
      </c>
      <c r="E424" s="5">
        <v>356841149</v>
      </c>
      <c r="F424" s="5" t="s">
        <v>905</v>
      </c>
      <c r="G424" s="5"/>
      <c r="H424" s="5"/>
      <c r="I424" s="17"/>
      <c r="J424" s="5"/>
      <c r="K424" s="5"/>
      <c r="L424" s="5"/>
      <c r="M424" s="5" t="s">
        <v>1276</v>
      </c>
    </row>
    <row r="425" spans="3:13" x14ac:dyDescent="0.35">
      <c r="C425" s="5"/>
      <c r="D425" s="5" t="s">
        <v>463</v>
      </c>
      <c r="E425" s="5">
        <v>357873692</v>
      </c>
      <c r="F425" s="5" t="s">
        <v>903</v>
      </c>
      <c r="G425" s="5"/>
      <c r="H425" s="5"/>
      <c r="I425" s="17"/>
      <c r="J425" s="5"/>
      <c r="K425" s="5"/>
      <c r="L425" s="5"/>
      <c r="M425" s="5" t="s">
        <v>1276</v>
      </c>
    </row>
    <row r="426" spans="3:13" x14ac:dyDescent="0.35">
      <c r="C426" s="5"/>
      <c r="D426" s="5" t="s">
        <v>464</v>
      </c>
      <c r="E426" s="5">
        <v>359168917</v>
      </c>
      <c r="F426" s="5" t="s">
        <v>904</v>
      </c>
      <c r="G426" s="5"/>
      <c r="H426" s="5" t="s">
        <v>464</v>
      </c>
      <c r="I426" s="17">
        <v>7.4961603685124301E+18</v>
      </c>
      <c r="J426" s="5" t="s">
        <v>918</v>
      </c>
      <c r="K426" s="5"/>
      <c r="L426" s="5" t="s">
        <v>1122</v>
      </c>
      <c r="M426" s="5" t="s">
        <v>1276</v>
      </c>
    </row>
    <row r="427" spans="3:13" x14ac:dyDescent="0.35">
      <c r="C427" s="5"/>
      <c r="D427" s="5" t="s">
        <v>465</v>
      </c>
      <c r="E427" s="5">
        <v>359240167</v>
      </c>
      <c r="F427" s="5" t="s">
        <v>906</v>
      </c>
      <c r="G427" s="5"/>
      <c r="H427" s="5" t="s">
        <v>465</v>
      </c>
      <c r="I427" s="17">
        <v>7.4961820762513398E+18</v>
      </c>
      <c r="J427" s="5"/>
      <c r="K427" s="5"/>
      <c r="L427" s="5"/>
      <c r="M427" s="5" t="s">
        <v>1276</v>
      </c>
    </row>
    <row r="428" spans="3:13" x14ac:dyDescent="0.35">
      <c r="C428" s="5"/>
      <c r="D428" s="5" t="s">
        <v>466</v>
      </c>
      <c r="E428" s="5">
        <v>360601185</v>
      </c>
      <c r="F428" s="5" t="s">
        <v>906</v>
      </c>
      <c r="G428" s="5"/>
      <c r="H428" s="5" t="s">
        <v>466</v>
      </c>
      <c r="I428" s="17">
        <v>7.4962102048274801E+18</v>
      </c>
      <c r="J428" s="5" t="s">
        <v>1037</v>
      </c>
      <c r="K428" s="5"/>
      <c r="L428" s="5" t="s">
        <v>1123</v>
      </c>
      <c r="M428" s="5" t="s">
        <v>1276</v>
      </c>
    </row>
    <row r="429" spans="3:13" x14ac:dyDescent="0.35">
      <c r="C429" s="5"/>
      <c r="D429" s="5" t="s">
        <v>467</v>
      </c>
      <c r="E429" s="5">
        <v>361905996</v>
      </c>
      <c r="F429" s="5" t="s">
        <v>903</v>
      </c>
      <c r="G429" s="5"/>
      <c r="H429" s="5"/>
      <c r="I429" s="17"/>
      <c r="J429" s="5"/>
      <c r="K429" s="5"/>
      <c r="L429" s="5"/>
      <c r="M429" s="5" t="s">
        <v>1276</v>
      </c>
    </row>
    <row r="430" spans="3:13" x14ac:dyDescent="0.35">
      <c r="C430" s="5"/>
      <c r="D430" s="5" t="s">
        <v>468</v>
      </c>
      <c r="E430" s="5">
        <v>362859393</v>
      </c>
      <c r="F430" s="5" t="s">
        <v>904</v>
      </c>
      <c r="G430" s="5"/>
      <c r="H430" s="5" t="s">
        <v>468</v>
      </c>
      <c r="I430" s="17">
        <v>7.4961596956035901E+18</v>
      </c>
      <c r="J430" s="5" t="s">
        <v>926</v>
      </c>
      <c r="K430" s="5"/>
      <c r="L430" s="5" t="s">
        <v>1124</v>
      </c>
      <c r="M430" s="5" t="s">
        <v>1276</v>
      </c>
    </row>
    <row r="431" spans="3:13" x14ac:dyDescent="0.35">
      <c r="C431" s="5"/>
      <c r="D431" s="5" t="s">
        <v>469</v>
      </c>
      <c r="E431" s="5">
        <v>364207236</v>
      </c>
      <c r="F431" s="5" t="s">
        <v>906</v>
      </c>
      <c r="G431" s="5"/>
      <c r="H431" s="5"/>
      <c r="I431" s="17"/>
      <c r="J431" s="5"/>
      <c r="K431" s="5"/>
      <c r="L431" s="5"/>
      <c r="M431" s="5" t="s">
        <v>1276</v>
      </c>
    </row>
    <row r="432" spans="3:13" x14ac:dyDescent="0.35">
      <c r="C432" s="5"/>
      <c r="D432" s="5" t="s">
        <v>470</v>
      </c>
      <c r="E432" s="5">
        <v>364909433</v>
      </c>
      <c r="F432" s="5" t="s">
        <v>903</v>
      </c>
      <c r="G432" s="5"/>
      <c r="H432" s="5" t="s">
        <v>470</v>
      </c>
      <c r="I432" s="17">
        <v>7.4961872467586202E+18</v>
      </c>
      <c r="J432" s="5" t="s">
        <v>933</v>
      </c>
      <c r="K432" s="5"/>
      <c r="L432" s="5"/>
      <c r="M432" s="5" t="s">
        <v>1276</v>
      </c>
    </row>
    <row r="433" spans="3:13" x14ac:dyDescent="0.35">
      <c r="C433" s="5"/>
      <c r="D433" s="5" t="s">
        <v>471</v>
      </c>
      <c r="E433" s="5">
        <v>365858342</v>
      </c>
      <c r="F433" s="5" t="s">
        <v>906</v>
      </c>
      <c r="G433" s="5"/>
      <c r="H433" s="5"/>
      <c r="I433" s="17"/>
      <c r="J433" s="5"/>
      <c r="K433" s="5"/>
      <c r="L433" s="5"/>
      <c r="M433" s="5" t="s">
        <v>1276</v>
      </c>
    </row>
    <row r="434" spans="3:13" x14ac:dyDescent="0.35">
      <c r="C434" s="5"/>
      <c r="D434" s="5" t="s">
        <v>472</v>
      </c>
      <c r="E434" s="5">
        <v>366576468</v>
      </c>
      <c r="F434" s="5" t="s">
        <v>903</v>
      </c>
      <c r="G434" s="5"/>
      <c r="H434" s="5" t="s">
        <v>472</v>
      </c>
      <c r="I434" s="17">
        <v>7.4961742079058504E+18</v>
      </c>
      <c r="J434" s="5"/>
      <c r="K434" s="5"/>
      <c r="L434" s="5"/>
      <c r="M434" s="5" t="s">
        <v>1276</v>
      </c>
    </row>
    <row r="435" spans="3:13" x14ac:dyDescent="0.35">
      <c r="C435" s="5"/>
      <c r="D435" s="5" t="s">
        <v>473</v>
      </c>
      <c r="E435" s="5">
        <v>367053533</v>
      </c>
      <c r="F435" s="5" t="s">
        <v>905</v>
      </c>
      <c r="G435" s="5"/>
      <c r="H435" s="5" t="s">
        <v>473</v>
      </c>
      <c r="I435" s="17">
        <v>7.4961703699778396E+18</v>
      </c>
      <c r="J435" s="5" t="s">
        <v>928</v>
      </c>
      <c r="K435" s="5"/>
      <c r="L435" s="5" t="s">
        <v>1125</v>
      </c>
      <c r="M435" s="5" t="s">
        <v>1276</v>
      </c>
    </row>
    <row r="436" spans="3:13" x14ac:dyDescent="0.35">
      <c r="C436" s="5"/>
      <c r="D436" s="5" t="s">
        <v>474</v>
      </c>
      <c r="E436" s="5">
        <v>367507085</v>
      </c>
      <c r="F436" s="5" t="s">
        <v>903</v>
      </c>
      <c r="G436" s="5"/>
      <c r="H436" s="5" t="s">
        <v>474</v>
      </c>
      <c r="I436" s="17">
        <v>7.4961540713888102E+18</v>
      </c>
      <c r="J436" s="5" t="s">
        <v>969</v>
      </c>
      <c r="K436" s="5"/>
      <c r="L436" s="5" t="s">
        <v>1126</v>
      </c>
      <c r="M436" s="5" t="s">
        <v>1276</v>
      </c>
    </row>
    <row r="437" spans="3:13" x14ac:dyDescent="0.35">
      <c r="C437" s="5"/>
      <c r="D437" s="5" t="s">
        <v>475</v>
      </c>
      <c r="E437" s="5">
        <v>367519053</v>
      </c>
      <c r="F437" s="5" t="s">
        <v>905</v>
      </c>
      <c r="G437" s="5"/>
      <c r="H437" s="5" t="s">
        <v>475</v>
      </c>
      <c r="I437" s="17">
        <v>7.4961635799313603E+18</v>
      </c>
      <c r="J437" s="5" t="s">
        <v>933</v>
      </c>
      <c r="K437" s="5"/>
      <c r="L437" s="5"/>
      <c r="M437" s="5" t="s">
        <v>1276</v>
      </c>
    </row>
    <row r="438" spans="3:13" x14ac:dyDescent="0.35">
      <c r="C438" s="5"/>
      <c r="D438" s="5" t="s">
        <v>476</v>
      </c>
      <c r="E438" s="5">
        <v>367909859</v>
      </c>
      <c r="F438" s="5" t="s">
        <v>905</v>
      </c>
      <c r="G438" s="5"/>
      <c r="H438" s="5" t="s">
        <v>476</v>
      </c>
      <c r="I438" s="17">
        <v>7.49618285254046E+18</v>
      </c>
      <c r="J438" s="5" t="s">
        <v>931</v>
      </c>
      <c r="K438" s="5"/>
      <c r="L438" s="5" t="s">
        <v>1127</v>
      </c>
      <c r="M438" s="5" t="s">
        <v>1276</v>
      </c>
    </row>
    <row r="439" spans="3:13" x14ac:dyDescent="0.35">
      <c r="C439" s="5"/>
      <c r="D439" s="5" t="s">
        <v>477</v>
      </c>
      <c r="E439" s="5">
        <v>368500901</v>
      </c>
      <c r="F439" s="5" t="s">
        <v>903</v>
      </c>
      <c r="G439" s="5"/>
      <c r="H439" s="5" t="s">
        <v>477</v>
      </c>
      <c r="I439" s="17">
        <v>7.4962099318347203E+18</v>
      </c>
      <c r="J439" s="5" t="s">
        <v>913</v>
      </c>
      <c r="K439" s="5"/>
      <c r="L439" s="5" t="s">
        <v>1128</v>
      </c>
      <c r="M439" s="5" t="s">
        <v>1276</v>
      </c>
    </row>
    <row r="440" spans="3:13" x14ac:dyDescent="0.35">
      <c r="C440" s="5"/>
      <c r="D440" s="5" t="s">
        <v>478</v>
      </c>
      <c r="E440" s="5">
        <v>369813937</v>
      </c>
      <c r="F440" s="5" t="s">
        <v>905</v>
      </c>
      <c r="G440" s="5"/>
      <c r="H440" s="5" t="s">
        <v>478</v>
      </c>
      <c r="I440" s="17">
        <v>7.4961550485313597E+18</v>
      </c>
      <c r="J440" s="5"/>
      <c r="K440" s="5"/>
      <c r="L440" s="5"/>
      <c r="M440" s="5" t="s">
        <v>1276</v>
      </c>
    </row>
    <row r="441" spans="3:13" x14ac:dyDescent="0.35">
      <c r="C441" s="5"/>
      <c r="D441" s="5" t="s">
        <v>479</v>
      </c>
      <c r="E441" s="5">
        <v>370149267</v>
      </c>
      <c r="F441" s="5" t="s">
        <v>903</v>
      </c>
      <c r="G441" s="5"/>
      <c r="H441" s="5" t="s">
        <v>479</v>
      </c>
      <c r="I441" s="17">
        <v>7.4961605426166804E+18</v>
      </c>
      <c r="J441" s="5" t="s">
        <v>933</v>
      </c>
      <c r="K441" s="5"/>
      <c r="L441" s="5" t="s">
        <v>1129</v>
      </c>
      <c r="M441" s="5" t="s">
        <v>1276</v>
      </c>
    </row>
    <row r="442" spans="3:13" x14ac:dyDescent="0.35">
      <c r="C442" s="5"/>
      <c r="D442" s="5" t="s">
        <v>480</v>
      </c>
      <c r="E442" s="5">
        <v>371656735</v>
      </c>
      <c r="F442" s="5" t="s">
        <v>906</v>
      </c>
      <c r="G442" s="5"/>
      <c r="H442" s="5" t="s">
        <v>480</v>
      </c>
      <c r="I442" s="17">
        <v>7.4961621614902897E+18</v>
      </c>
      <c r="J442" s="5"/>
      <c r="K442" s="5"/>
      <c r="L442" s="5"/>
      <c r="M442" s="5" t="s">
        <v>1276</v>
      </c>
    </row>
    <row r="443" spans="3:13" x14ac:dyDescent="0.35">
      <c r="C443" s="5"/>
      <c r="D443" s="5" t="s">
        <v>481</v>
      </c>
      <c r="E443" s="5">
        <v>371728614</v>
      </c>
      <c r="F443" s="5" t="s">
        <v>903</v>
      </c>
      <c r="G443" s="5"/>
      <c r="H443" s="5" t="s">
        <v>481</v>
      </c>
      <c r="I443" s="17">
        <v>7.4961675134245601E+18</v>
      </c>
      <c r="J443" s="5" t="s">
        <v>913</v>
      </c>
      <c r="K443" s="5"/>
      <c r="L443" s="5" t="s">
        <v>1130</v>
      </c>
      <c r="M443" s="5" t="s">
        <v>1276</v>
      </c>
    </row>
    <row r="444" spans="3:13" x14ac:dyDescent="0.35">
      <c r="C444" s="5"/>
      <c r="D444" s="5" t="s">
        <v>482</v>
      </c>
      <c r="E444" s="5">
        <v>373261329</v>
      </c>
      <c r="F444" s="5" t="s">
        <v>906</v>
      </c>
      <c r="G444" s="5"/>
      <c r="H444" s="5" t="s">
        <v>482</v>
      </c>
      <c r="I444" s="17">
        <v>7.4961538833578998E+18</v>
      </c>
      <c r="J444" s="5" t="s">
        <v>908</v>
      </c>
      <c r="K444" s="5"/>
      <c r="L444" s="5" t="s">
        <v>1131</v>
      </c>
      <c r="M444" s="5" t="s">
        <v>1276</v>
      </c>
    </row>
    <row r="445" spans="3:13" x14ac:dyDescent="0.35">
      <c r="C445" s="5"/>
      <c r="D445" s="5" t="s">
        <v>483</v>
      </c>
      <c r="E445" s="5">
        <v>373745451</v>
      </c>
      <c r="F445" s="5" t="s">
        <v>904</v>
      </c>
      <c r="G445" s="5"/>
      <c r="H445" s="5" t="s">
        <v>483</v>
      </c>
      <c r="I445" s="17">
        <v>7.4961741309414902E+18</v>
      </c>
      <c r="J445" s="5" t="s">
        <v>926</v>
      </c>
      <c r="K445" s="5"/>
      <c r="L445" s="5" t="s">
        <v>1132</v>
      </c>
      <c r="M445" s="5" t="s">
        <v>1276</v>
      </c>
    </row>
    <row r="446" spans="3:13" x14ac:dyDescent="0.35">
      <c r="C446" s="5"/>
      <c r="D446" s="5" t="s">
        <v>484</v>
      </c>
      <c r="E446" s="5">
        <v>375116074</v>
      </c>
      <c r="F446" s="5" t="s">
        <v>905</v>
      </c>
      <c r="G446" s="5"/>
      <c r="H446" s="5"/>
      <c r="I446" s="17"/>
      <c r="J446" s="5"/>
      <c r="K446" s="5"/>
      <c r="L446" s="5"/>
      <c r="M446" s="5" t="s">
        <v>1276</v>
      </c>
    </row>
    <row r="447" spans="3:13" x14ac:dyDescent="0.35">
      <c r="C447" s="5"/>
      <c r="D447" s="5" t="s">
        <v>485</v>
      </c>
      <c r="E447" s="5">
        <v>375175329</v>
      </c>
      <c r="F447" s="5" t="s">
        <v>903</v>
      </c>
      <c r="G447" s="5"/>
      <c r="H447" s="5" t="s">
        <v>485</v>
      </c>
      <c r="I447" s="17">
        <v>7.4961550486724598E+18</v>
      </c>
      <c r="J447" s="5" t="s">
        <v>969</v>
      </c>
      <c r="K447" s="5"/>
      <c r="L447" s="5" t="s">
        <v>1133</v>
      </c>
      <c r="M447" s="5" t="s">
        <v>1276</v>
      </c>
    </row>
    <row r="448" spans="3:13" x14ac:dyDescent="0.35">
      <c r="C448" s="5"/>
      <c r="D448" s="5" t="s">
        <v>486</v>
      </c>
      <c r="E448" s="5">
        <v>375201738</v>
      </c>
      <c r="F448" s="5" t="s">
        <v>906</v>
      </c>
      <c r="G448" s="5"/>
      <c r="H448" s="5" t="s">
        <v>486</v>
      </c>
      <c r="I448" s="17">
        <v>7.4961622961180795E+18</v>
      </c>
      <c r="J448" s="5"/>
      <c r="K448" s="5"/>
      <c r="L448" s="5"/>
      <c r="M448" s="5" t="s">
        <v>1276</v>
      </c>
    </row>
    <row r="449" spans="3:13" x14ac:dyDescent="0.35">
      <c r="C449" s="5"/>
      <c r="D449" s="5" t="s">
        <v>487</v>
      </c>
      <c r="E449" s="5">
        <v>376022922</v>
      </c>
      <c r="F449" s="5" t="s">
        <v>903</v>
      </c>
      <c r="G449" s="5"/>
      <c r="H449" s="5" t="s">
        <v>487</v>
      </c>
      <c r="I449" s="17">
        <v>7.4962392185367101E+18</v>
      </c>
      <c r="J449" s="5"/>
      <c r="K449" s="5"/>
      <c r="L449" s="5"/>
      <c r="M449" s="5" t="s">
        <v>1276</v>
      </c>
    </row>
    <row r="450" spans="3:13" x14ac:dyDescent="0.35">
      <c r="C450" s="5"/>
      <c r="D450" s="5" t="s">
        <v>488</v>
      </c>
      <c r="E450" s="5">
        <v>377126536</v>
      </c>
      <c r="F450" s="5" t="s">
        <v>903</v>
      </c>
      <c r="G450" s="5"/>
      <c r="H450" s="5" t="s">
        <v>488</v>
      </c>
      <c r="I450" s="17">
        <v>7.4961536508881398E+18</v>
      </c>
      <c r="J450" s="5" t="s">
        <v>941</v>
      </c>
      <c r="K450" s="5"/>
      <c r="L450" s="5" t="s">
        <v>1134</v>
      </c>
      <c r="M450" s="5" t="s">
        <v>1276</v>
      </c>
    </row>
    <row r="451" spans="3:13" x14ac:dyDescent="0.35">
      <c r="C451" s="5"/>
      <c r="D451" s="5" t="s">
        <v>489</v>
      </c>
      <c r="E451" s="5">
        <v>377126536</v>
      </c>
      <c r="F451" s="5" t="s">
        <v>903</v>
      </c>
      <c r="G451" s="5"/>
      <c r="H451" s="5" t="s">
        <v>488</v>
      </c>
      <c r="I451" s="17">
        <v>7.4961536508881398E+18</v>
      </c>
      <c r="J451" s="5" t="s">
        <v>941</v>
      </c>
      <c r="K451" s="5"/>
      <c r="L451" s="5" t="s">
        <v>1134</v>
      </c>
      <c r="M451" s="5" t="s">
        <v>1276</v>
      </c>
    </row>
    <row r="452" spans="3:13" x14ac:dyDescent="0.35">
      <c r="C452" s="5"/>
      <c r="D452" s="5" t="s">
        <v>490</v>
      </c>
      <c r="E452" s="5">
        <v>378105312</v>
      </c>
      <c r="F452" s="5" t="s">
        <v>906</v>
      </c>
      <c r="G452" s="5"/>
      <c r="H452" s="5" t="s">
        <v>490</v>
      </c>
      <c r="I452" s="17">
        <v>7.4961829652639601E+18</v>
      </c>
      <c r="J452" s="5"/>
      <c r="K452" s="5"/>
      <c r="L452" s="5"/>
      <c r="M452" s="5" t="s">
        <v>1276</v>
      </c>
    </row>
    <row r="453" spans="3:13" x14ac:dyDescent="0.35">
      <c r="C453" s="5"/>
      <c r="D453" s="5" t="s">
        <v>491</v>
      </c>
      <c r="E453" s="5">
        <v>378143264</v>
      </c>
      <c r="F453" s="5" t="s">
        <v>905</v>
      </c>
      <c r="G453" s="5"/>
      <c r="H453" s="5" t="s">
        <v>491</v>
      </c>
      <c r="I453" s="17">
        <v>7.4961475607021804E+18</v>
      </c>
      <c r="J453" s="5" t="s">
        <v>911</v>
      </c>
      <c r="K453" s="5"/>
      <c r="L453" s="5"/>
      <c r="M453" s="5" t="s">
        <v>1276</v>
      </c>
    </row>
    <row r="454" spans="3:13" x14ac:dyDescent="0.35">
      <c r="C454" s="5"/>
      <c r="D454" s="5" t="s">
        <v>492</v>
      </c>
      <c r="E454" s="5">
        <v>378180727</v>
      </c>
      <c r="F454" s="5" t="s">
        <v>906</v>
      </c>
      <c r="G454" s="5"/>
      <c r="H454" s="5" t="s">
        <v>492</v>
      </c>
      <c r="I454" s="17">
        <v>7.4962470054601298E+18</v>
      </c>
      <c r="J454" s="5" t="s">
        <v>918</v>
      </c>
      <c r="K454" s="5"/>
      <c r="L454" s="5"/>
      <c r="M454" s="5" t="s">
        <v>1276</v>
      </c>
    </row>
    <row r="455" spans="3:13" x14ac:dyDescent="0.35">
      <c r="C455" s="5"/>
      <c r="D455" s="5" t="s">
        <v>493</v>
      </c>
      <c r="E455" s="5">
        <v>378519055</v>
      </c>
      <c r="F455" s="5" t="s">
        <v>903</v>
      </c>
      <c r="G455" s="5"/>
      <c r="H455" s="5" t="s">
        <v>493</v>
      </c>
      <c r="I455" s="17">
        <v>7.4962401866415104E+18</v>
      </c>
      <c r="J455" s="5" t="s">
        <v>908</v>
      </c>
      <c r="K455" s="5"/>
      <c r="L455" s="5" t="s">
        <v>1135</v>
      </c>
      <c r="M455" s="5" t="s">
        <v>1276</v>
      </c>
    </row>
    <row r="456" spans="3:13" x14ac:dyDescent="0.35">
      <c r="C456" s="5"/>
      <c r="D456" s="5" t="s">
        <v>494</v>
      </c>
      <c r="E456" s="5">
        <v>378736432</v>
      </c>
      <c r="F456" s="5" t="s">
        <v>905</v>
      </c>
      <c r="G456" s="5"/>
      <c r="H456" s="5" t="s">
        <v>494</v>
      </c>
      <c r="I456" s="17">
        <v>7.4961888445290598E+18</v>
      </c>
      <c r="J456" s="5" t="s">
        <v>928</v>
      </c>
      <c r="K456" s="5"/>
      <c r="L456" s="5" t="s">
        <v>1136</v>
      </c>
      <c r="M456" s="5" t="s">
        <v>1276</v>
      </c>
    </row>
    <row r="457" spans="3:13" x14ac:dyDescent="0.35">
      <c r="C457" s="5"/>
      <c r="D457" s="5" t="s">
        <v>495</v>
      </c>
      <c r="E457" s="5">
        <v>378982950</v>
      </c>
      <c r="F457" s="5" t="s">
        <v>905</v>
      </c>
      <c r="G457" s="5"/>
      <c r="H457" s="5" t="s">
        <v>495</v>
      </c>
      <c r="I457" s="17">
        <v>7.4962139404399698E+18</v>
      </c>
      <c r="J457" s="5"/>
      <c r="K457" s="5"/>
      <c r="L457" s="5"/>
      <c r="M457" s="5" t="s">
        <v>1276</v>
      </c>
    </row>
    <row r="458" spans="3:13" x14ac:dyDescent="0.35">
      <c r="C458" s="5"/>
      <c r="D458" s="5" t="s">
        <v>496</v>
      </c>
      <c r="E458" s="5">
        <v>379659209</v>
      </c>
      <c r="F458" s="5" t="s">
        <v>903</v>
      </c>
      <c r="G458" s="5"/>
      <c r="H458" s="5" t="s">
        <v>496</v>
      </c>
      <c r="I458" s="17">
        <v>7.4961853594266798E+18</v>
      </c>
      <c r="J458" s="5"/>
      <c r="K458" s="5"/>
      <c r="L458" s="5"/>
      <c r="M458" s="5" t="s">
        <v>1276</v>
      </c>
    </row>
    <row r="459" spans="3:13" x14ac:dyDescent="0.35">
      <c r="C459" s="5"/>
      <c r="D459" s="5" t="s">
        <v>497</v>
      </c>
      <c r="E459" s="5">
        <v>379994163</v>
      </c>
      <c r="F459" s="5" t="s">
        <v>906</v>
      </c>
      <c r="G459" s="5"/>
      <c r="H459" s="5" t="s">
        <v>497</v>
      </c>
      <c r="I459" s="17">
        <v>7.4961622817423698E+18</v>
      </c>
      <c r="J459" s="5" t="s">
        <v>933</v>
      </c>
      <c r="K459" s="5"/>
      <c r="L459" s="5" t="s">
        <v>1137</v>
      </c>
      <c r="M459" s="5" t="s">
        <v>1276</v>
      </c>
    </row>
    <row r="460" spans="3:13" x14ac:dyDescent="0.35">
      <c r="C460" s="5"/>
      <c r="D460" s="5" t="s">
        <v>498</v>
      </c>
      <c r="E460" s="5">
        <v>380415438</v>
      </c>
      <c r="F460" s="5" t="s">
        <v>903</v>
      </c>
      <c r="G460" s="5"/>
      <c r="H460" s="5"/>
      <c r="I460" s="17"/>
      <c r="J460" s="5"/>
      <c r="K460" s="5"/>
      <c r="L460" s="5"/>
      <c r="M460" s="5" t="s">
        <v>1276</v>
      </c>
    </row>
    <row r="461" spans="3:13" x14ac:dyDescent="0.35">
      <c r="C461" s="5"/>
      <c r="D461" s="5" t="s">
        <v>499</v>
      </c>
      <c r="E461" s="5">
        <v>380610249</v>
      </c>
      <c r="F461" s="5" t="s">
        <v>905</v>
      </c>
      <c r="G461" s="5"/>
      <c r="H461" s="5"/>
      <c r="I461" s="17"/>
      <c r="J461" s="5"/>
      <c r="K461" s="5"/>
      <c r="L461" s="5"/>
      <c r="M461" s="5" t="s">
        <v>1276</v>
      </c>
    </row>
    <row r="462" spans="3:13" x14ac:dyDescent="0.35">
      <c r="C462" s="5"/>
      <c r="D462" s="5" t="s">
        <v>500</v>
      </c>
      <c r="E462" s="5">
        <v>380728205</v>
      </c>
      <c r="F462" s="5" t="s">
        <v>903</v>
      </c>
      <c r="G462" s="5"/>
      <c r="H462" s="5" t="s">
        <v>500</v>
      </c>
      <c r="I462" s="17">
        <v>7.4962298546193295E+18</v>
      </c>
      <c r="J462" s="5" t="s">
        <v>913</v>
      </c>
      <c r="K462" s="5"/>
      <c r="L462" s="5" t="s">
        <v>1138</v>
      </c>
      <c r="M462" s="5" t="s">
        <v>1276</v>
      </c>
    </row>
    <row r="463" spans="3:13" x14ac:dyDescent="0.35">
      <c r="C463" s="5"/>
      <c r="D463" s="5" t="s">
        <v>501</v>
      </c>
      <c r="E463" s="5">
        <v>382025098</v>
      </c>
      <c r="F463" s="5" t="s">
        <v>903</v>
      </c>
      <c r="G463" s="5"/>
      <c r="H463" s="5" t="s">
        <v>501</v>
      </c>
      <c r="I463" s="17">
        <v>7.4962138187888998E+18</v>
      </c>
      <c r="J463" s="5" t="s">
        <v>913</v>
      </c>
      <c r="K463" s="5"/>
      <c r="L463" s="5" t="s">
        <v>1139</v>
      </c>
      <c r="M463" s="5" t="s">
        <v>1276</v>
      </c>
    </row>
    <row r="464" spans="3:13" x14ac:dyDescent="0.35">
      <c r="C464" s="5"/>
      <c r="D464" s="5" t="s">
        <v>502</v>
      </c>
      <c r="E464" s="5">
        <v>382025098</v>
      </c>
      <c r="F464" s="5" t="s">
        <v>903</v>
      </c>
      <c r="G464" s="5"/>
      <c r="H464" s="5" t="s">
        <v>501</v>
      </c>
      <c r="I464" s="17">
        <v>7.4962138187888998E+18</v>
      </c>
      <c r="J464" s="5" t="s">
        <v>913</v>
      </c>
      <c r="K464" s="5"/>
      <c r="L464" s="5" t="s">
        <v>1139</v>
      </c>
      <c r="M464" s="5" t="s">
        <v>1276</v>
      </c>
    </row>
    <row r="465" spans="3:13" x14ac:dyDescent="0.35">
      <c r="C465" s="5"/>
      <c r="D465" s="5" t="s">
        <v>503</v>
      </c>
      <c r="E465" s="5">
        <v>384529520</v>
      </c>
      <c r="F465" s="5" t="s">
        <v>903</v>
      </c>
      <c r="G465" s="5"/>
      <c r="H465" s="5" t="s">
        <v>503</v>
      </c>
      <c r="I465" s="17">
        <v>7.4961818676962601E+18</v>
      </c>
      <c r="J465" s="5"/>
      <c r="K465" s="5"/>
      <c r="L465" s="5"/>
      <c r="M465" s="5" t="s">
        <v>1276</v>
      </c>
    </row>
    <row r="466" spans="3:13" x14ac:dyDescent="0.35">
      <c r="C466" s="5"/>
      <c r="D466" s="5" t="s">
        <v>504</v>
      </c>
      <c r="E466" s="5">
        <v>385864671</v>
      </c>
      <c r="F466" s="5" t="s">
        <v>905</v>
      </c>
      <c r="G466" s="5"/>
      <c r="H466" s="5"/>
      <c r="I466" s="17"/>
      <c r="J466" s="5"/>
      <c r="K466" s="5"/>
      <c r="L466" s="5"/>
      <c r="M466" s="5" t="s">
        <v>1276</v>
      </c>
    </row>
    <row r="467" spans="3:13" x14ac:dyDescent="0.35">
      <c r="C467" s="5"/>
      <c r="D467" s="5" t="s">
        <v>505</v>
      </c>
      <c r="E467" s="5">
        <v>386665250</v>
      </c>
      <c r="F467" s="5" t="s">
        <v>903</v>
      </c>
      <c r="G467" s="5"/>
      <c r="H467" s="5" t="s">
        <v>505</v>
      </c>
      <c r="I467" s="17">
        <v>7.4961395294215496E+18</v>
      </c>
      <c r="J467" s="5" t="s">
        <v>910</v>
      </c>
      <c r="K467" s="5"/>
      <c r="L467" s="5" t="s">
        <v>1140</v>
      </c>
      <c r="M467" s="5" t="s">
        <v>1276</v>
      </c>
    </row>
    <row r="468" spans="3:13" x14ac:dyDescent="0.35">
      <c r="C468" s="5"/>
      <c r="D468" s="5" t="s">
        <v>506</v>
      </c>
      <c r="E468" s="5">
        <v>387093003</v>
      </c>
      <c r="F468" s="5" t="s">
        <v>906</v>
      </c>
      <c r="G468" s="5"/>
      <c r="H468" s="5" t="s">
        <v>506</v>
      </c>
      <c r="I468" s="17">
        <v>7.4961823703670804E+18</v>
      </c>
      <c r="J468" s="5" t="s">
        <v>908</v>
      </c>
      <c r="K468" s="5"/>
      <c r="L468" s="5" t="s">
        <v>1141</v>
      </c>
      <c r="M468" s="5" t="s">
        <v>1276</v>
      </c>
    </row>
    <row r="469" spans="3:13" x14ac:dyDescent="0.35">
      <c r="C469" s="5"/>
      <c r="D469" s="5" t="s">
        <v>507</v>
      </c>
      <c r="E469" s="5">
        <v>387348115</v>
      </c>
      <c r="F469" s="5" t="s">
        <v>903</v>
      </c>
      <c r="G469" s="5"/>
      <c r="H469" s="5" t="s">
        <v>507</v>
      </c>
      <c r="I469" s="17">
        <v>7.4961604315664497E+18</v>
      </c>
      <c r="J469" s="5" t="s">
        <v>969</v>
      </c>
      <c r="K469" s="5"/>
      <c r="L469" s="5" t="s">
        <v>1142</v>
      </c>
      <c r="M469" s="5" t="s">
        <v>1276</v>
      </c>
    </row>
    <row r="470" spans="3:13" x14ac:dyDescent="0.35">
      <c r="C470" s="5"/>
      <c r="D470" s="5" t="s">
        <v>508</v>
      </c>
      <c r="E470" s="5">
        <v>387419898</v>
      </c>
      <c r="F470" s="5" t="s">
        <v>903</v>
      </c>
      <c r="G470" s="5"/>
      <c r="H470" s="5" t="s">
        <v>508</v>
      </c>
      <c r="I470" s="17">
        <v>7.4961464238850304E+18</v>
      </c>
      <c r="J470" s="5" t="s">
        <v>913</v>
      </c>
      <c r="K470" s="5"/>
      <c r="L470" s="5" t="s">
        <v>1143</v>
      </c>
      <c r="M470" s="5" t="s">
        <v>1276</v>
      </c>
    </row>
    <row r="471" spans="3:13" x14ac:dyDescent="0.35">
      <c r="C471" s="5"/>
      <c r="D471" s="5" t="s">
        <v>509</v>
      </c>
      <c r="E471" s="5">
        <v>389800143</v>
      </c>
      <c r="F471" s="5" t="s">
        <v>906</v>
      </c>
      <c r="G471" s="5"/>
      <c r="H471" s="5" t="s">
        <v>509</v>
      </c>
      <c r="I471" s="17">
        <v>7.4961473838256896E+18</v>
      </c>
      <c r="J471" s="5" t="s">
        <v>942</v>
      </c>
      <c r="K471" s="5"/>
      <c r="L471" s="5" t="s">
        <v>1144</v>
      </c>
      <c r="M471" s="5" t="s">
        <v>1276</v>
      </c>
    </row>
    <row r="472" spans="3:13" x14ac:dyDescent="0.35">
      <c r="C472" s="5"/>
      <c r="D472" s="5" t="s">
        <v>510</v>
      </c>
      <c r="E472" s="5">
        <v>389806204</v>
      </c>
      <c r="F472" s="5" t="s">
        <v>906</v>
      </c>
      <c r="G472" s="5"/>
      <c r="H472" s="5" t="s">
        <v>510</v>
      </c>
      <c r="I472" s="17">
        <v>7.4942531326721004E+18</v>
      </c>
      <c r="J472" s="5"/>
      <c r="K472" s="5"/>
      <c r="L472" s="5"/>
      <c r="M472" s="5" t="s">
        <v>1276</v>
      </c>
    </row>
    <row r="473" spans="3:13" x14ac:dyDescent="0.35">
      <c r="C473" s="5"/>
      <c r="D473" s="5" t="s">
        <v>511</v>
      </c>
      <c r="E473" s="5">
        <v>390180328</v>
      </c>
      <c r="F473" s="5" t="s">
        <v>905</v>
      </c>
      <c r="G473" s="5"/>
      <c r="H473" s="5" t="s">
        <v>511</v>
      </c>
      <c r="I473" s="17">
        <v>7.4961687169869701E+18</v>
      </c>
      <c r="J473" s="5"/>
      <c r="K473" s="5"/>
      <c r="L473" s="5"/>
      <c r="M473" s="5" t="s">
        <v>1276</v>
      </c>
    </row>
    <row r="474" spans="3:13" x14ac:dyDescent="0.35">
      <c r="C474" s="5"/>
      <c r="D474" s="5" t="s">
        <v>512</v>
      </c>
      <c r="E474" s="5">
        <v>390307022</v>
      </c>
      <c r="F474" s="5" t="s">
        <v>905</v>
      </c>
      <c r="G474" s="5"/>
      <c r="H474" s="5" t="s">
        <v>512</v>
      </c>
      <c r="I474" s="17">
        <v>7.4961634719360901E+18</v>
      </c>
      <c r="J474" s="5" t="s">
        <v>926</v>
      </c>
      <c r="K474" s="5"/>
      <c r="L474" s="5" t="s">
        <v>1145</v>
      </c>
      <c r="M474" s="5" t="s">
        <v>1276</v>
      </c>
    </row>
    <row r="475" spans="3:13" x14ac:dyDescent="0.35">
      <c r="C475" s="5"/>
      <c r="D475" s="5" t="s">
        <v>513</v>
      </c>
      <c r="E475" s="5">
        <v>390331081</v>
      </c>
      <c r="F475" s="5" t="s">
        <v>905</v>
      </c>
      <c r="G475" s="5"/>
      <c r="H475" s="5" t="s">
        <v>513</v>
      </c>
      <c r="I475" s="17">
        <v>7.4962224394861599E+18</v>
      </c>
      <c r="J475" s="5" t="s">
        <v>936</v>
      </c>
      <c r="K475" s="5"/>
      <c r="L475" s="5"/>
      <c r="M475" s="5" t="s">
        <v>1276</v>
      </c>
    </row>
    <row r="476" spans="3:13" x14ac:dyDescent="0.35">
      <c r="C476" s="5"/>
      <c r="D476" s="5" t="s">
        <v>514</v>
      </c>
      <c r="E476" s="5">
        <v>390353399</v>
      </c>
      <c r="F476" s="5" t="s">
        <v>905</v>
      </c>
      <c r="G476" s="5"/>
      <c r="H476" s="5" t="s">
        <v>514</v>
      </c>
      <c r="I476" s="17">
        <v>7.4961635996833905E+18</v>
      </c>
      <c r="J476" s="5" t="s">
        <v>984</v>
      </c>
      <c r="K476" s="5"/>
      <c r="L476" s="5" t="s">
        <v>1146</v>
      </c>
      <c r="M476" s="5" t="s">
        <v>1276</v>
      </c>
    </row>
    <row r="477" spans="3:13" x14ac:dyDescent="0.35">
      <c r="C477" s="5"/>
      <c r="D477" s="5" t="s">
        <v>515</v>
      </c>
      <c r="E477" s="5">
        <v>391739739</v>
      </c>
      <c r="F477" s="5" t="s">
        <v>904</v>
      </c>
      <c r="G477" s="5"/>
      <c r="H477" s="5" t="s">
        <v>515</v>
      </c>
      <c r="I477" s="17">
        <v>7.4961475059922698E+18</v>
      </c>
      <c r="J477" s="5" t="s">
        <v>941</v>
      </c>
      <c r="K477" s="5"/>
      <c r="L477" s="5" t="s">
        <v>1147</v>
      </c>
      <c r="M477" s="5" t="s">
        <v>1276</v>
      </c>
    </row>
    <row r="478" spans="3:13" x14ac:dyDescent="0.35">
      <c r="C478" s="5"/>
      <c r="D478" s="5" t="s">
        <v>516</v>
      </c>
      <c r="E478" s="5">
        <v>392003162</v>
      </c>
      <c r="F478" s="5" t="s">
        <v>905</v>
      </c>
      <c r="G478" s="5"/>
      <c r="H478" s="5" t="s">
        <v>516</v>
      </c>
      <c r="I478" s="17">
        <v>7.4961616132777902E+18</v>
      </c>
      <c r="J478" s="5" t="s">
        <v>916</v>
      </c>
      <c r="K478" s="5"/>
      <c r="L478" s="5"/>
      <c r="M478" s="5" t="s">
        <v>1276</v>
      </c>
    </row>
    <row r="479" spans="3:13" x14ac:dyDescent="0.35">
      <c r="C479" s="5"/>
      <c r="D479" s="5" t="s">
        <v>517</v>
      </c>
      <c r="E479" s="5">
        <v>392119291</v>
      </c>
      <c r="F479" s="5" t="s">
        <v>905</v>
      </c>
      <c r="G479" s="5"/>
      <c r="H479" s="5"/>
      <c r="I479" s="17"/>
      <c r="J479" s="5"/>
      <c r="K479" s="5"/>
      <c r="L479" s="5"/>
      <c r="M479" s="5" t="s">
        <v>1276</v>
      </c>
    </row>
    <row r="480" spans="3:13" x14ac:dyDescent="0.35">
      <c r="C480" s="5"/>
      <c r="D480" s="5" t="s">
        <v>518</v>
      </c>
      <c r="E480" s="5">
        <v>392185433</v>
      </c>
      <c r="F480" s="5" t="s">
        <v>903</v>
      </c>
      <c r="G480" s="5"/>
      <c r="H480" s="5" t="s">
        <v>518</v>
      </c>
      <c r="I480" s="17">
        <v>7.4962027552259697E+18</v>
      </c>
      <c r="J480" s="5" t="s">
        <v>913</v>
      </c>
      <c r="K480" s="5"/>
      <c r="L480" s="5" t="s">
        <v>1148</v>
      </c>
      <c r="M480" s="5" t="s">
        <v>1276</v>
      </c>
    </row>
    <row r="481" spans="3:13" x14ac:dyDescent="0.35">
      <c r="C481" s="5"/>
      <c r="D481" s="5" t="s">
        <v>519</v>
      </c>
      <c r="E481" s="5">
        <v>392239188</v>
      </c>
      <c r="F481" s="5" t="s">
        <v>903</v>
      </c>
      <c r="G481" s="5"/>
      <c r="H481" s="5"/>
      <c r="I481" s="17"/>
      <c r="J481" s="5"/>
      <c r="K481" s="5"/>
      <c r="L481" s="5"/>
      <c r="M481" s="5" t="s">
        <v>1276</v>
      </c>
    </row>
    <row r="482" spans="3:13" x14ac:dyDescent="0.35">
      <c r="C482" s="5"/>
      <c r="D482" s="5" t="s">
        <v>520</v>
      </c>
      <c r="E482" s="5">
        <v>392615225</v>
      </c>
      <c r="F482" s="5" t="s">
        <v>903</v>
      </c>
      <c r="G482" s="5"/>
      <c r="H482" s="5" t="s">
        <v>520</v>
      </c>
      <c r="I482" s="17">
        <v>7.4962497835677399E+18</v>
      </c>
      <c r="J482" s="5" t="s">
        <v>913</v>
      </c>
      <c r="K482" s="5"/>
      <c r="L482" s="5" t="s">
        <v>1149</v>
      </c>
      <c r="M482" s="5" t="s">
        <v>1276</v>
      </c>
    </row>
    <row r="483" spans="3:13" x14ac:dyDescent="0.35">
      <c r="C483" s="5"/>
      <c r="D483" s="5" t="s">
        <v>521</v>
      </c>
      <c r="E483" s="5">
        <v>392787038</v>
      </c>
      <c r="F483" s="5" t="s">
        <v>903</v>
      </c>
      <c r="G483" s="5"/>
      <c r="H483" s="5"/>
      <c r="I483" s="17"/>
      <c r="J483" s="5"/>
      <c r="K483" s="5"/>
      <c r="L483" s="5"/>
      <c r="M483" s="5" t="s">
        <v>1276</v>
      </c>
    </row>
    <row r="484" spans="3:13" x14ac:dyDescent="0.35">
      <c r="C484" s="5"/>
      <c r="D484" s="5" t="s">
        <v>522</v>
      </c>
      <c r="E484" s="5">
        <v>393887125</v>
      </c>
      <c r="F484" s="5" t="s">
        <v>905</v>
      </c>
      <c r="G484" s="5"/>
      <c r="H484" s="5" t="s">
        <v>522</v>
      </c>
      <c r="I484" s="17">
        <v>7.4962515521691003E+18</v>
      </c>
      <c r="J484" s="5"/>
      <c r="K484" s="5"/>
      <c r="L484" s="5"/>
      <c r="M484" s="5" t="s">
        <v>1276</v>
      </c>
    </row>
    <row r="485" spans="3:13" x14ac:dyDescent="0.35">
      <c r="C485" s="5"/>
      <c r="D485" s="5" t="s">
        <v>523</v>
      </c>
      <c r="E485" s="5">
        <v>394731864</v>
      </c>
      <c r="F485" s="5" t="s">
        <v>906</v>
      </c>
      <c r="G485" s="5"/>
      <c r="H485" s="5" t="s">
        <v>523</v>
      </c>
      <c r="I485" s="17">
        <v>7.4961624733090703E+18</v>
      </c>
      <c r="J485" s="5"/>
      <c r="K485" s="5"/>
      <c r="L485" s="5"/>
      <c r="M485" s="5" t="s">
        <v>1276</v>
      </c>
    </row>
    <row r="486" spans="3:13" x14ac:dyDescent="0.35">
      <c r="C486" s="5"/>
      <c r="D486" s="5" t="s">
        <v>524</v>
      </c>
      <c r="E486" s="5">
        <v>394786209</v>
      </c>
      <c r="F486" s="5" t="s">
        <v>905</v>
      </c>
      <c r="G486" s="5"/>
      <c r="H486" s="5" t="s">
        <v>524</v>
      </c>
      <c r="I486" s="17">
        <v>7.49617909530385E+18</v>
      </c>
      <c r="J486" s="5" t="s">
        <v>911</v>
      </c>
      <c r="K486" s="5"/>
      <c r="L486" s="5" t="s">
        <v>1150</v>
      </c>
      <c r="M486" s="5" t="s">
        <v>1276</v>
      </c>
    </row>
    <row r="487" spans="3:13" x14ac:dyDescent="0.35">
      <c r="C487" s="5"/>
      <c r="D487" s="5" t="s">
        <v>525</v>
      </c>
      <c r="E487" s="5">
        <v>395166866</v>
      </c>
      <c r="F487" s="5" t="s">
        <v>906</v>
      </c>
      <c r="G487" s="5"/>
      <c r="H487" s="5" t="s">
        <v>525</v>
      </c>
      <c r="I487" s="17">
        <v>7.4962047435408998E+18</v>
      </c>
      <c r="J487" s="5" t="s">
        <v>908</v>
      </c>
      <c r="K487" s="5"/>
      <c r="L487" s="5" t="s">
        <v>1151</v>
      </c>
      <c r="M487" s="5" t="s">
        <v>1276</v>
      </c>
    </row>
    <row r="488" spans="3:13" x14ac:dyDescent="0.35">
      <c r="C488" s="5"/>
      <c r="D488" s="5" t="s">
        <v>526</v>
      </c>
      <c r="E488" s="5">
        <v>396949918</v>
      </c>
      <c r="F488" s="5" t="s">
        <v>906</v>
      </c>
      <c r="G488" s="5"/>
      <c r="H488" s="5" t="s">
        <v>526</v>
      </c>
      <c r="I488" s="17">
        <v>7.4961844841185597E+18</v>
      </c>
      <c r="J488" s="5" t="s">
        <v>908</v>
      </c>
      <c r="K488" s="5"/>
      <c r="L488" s="5" t="s">
        <v>1152</v>
      </c>
      <c r="M488" s="5" t="s">
        <v>1276</v>
      </c>
    </row>
    <row r="489" spans="3:13" x14ac:dyDescent="0.35">
      <c r="C489" s="5"/>
      <c r="D489" s="5" t="s">
        <v>527</v>
      </c>
      <c r="E489" s="5">
        <v>397374716</v>
      </c>
      <c r="F489" s="5" t="s">
        <v>904</v>
      </c>
      <c r="G489" s="5"/>
      <c r="H489" s="5"/>
      <c r="I489" s="17"/>
      <c r="J489" s="5"/>
      <c r="K489" s="5"/>
      <c r="L489" s="5"/>
      <c r="M489" s="5" t="s">
        <v>1276</v>
      </c>
    </row>
    <row r="490" spans="3:13" x14ac:dyDescent="0.35">
      <c r="C490" s="5"/>
      <c r="D490" s="5" t="s">
        <v>527</v>
      </c>
      <c r="E490" s="5">
        <v>397374716</v>
      </c>
      <c r="F490" s="5" t="s">
        <v>904</v>
      </c>
      <c r="G490" s="5"/>
      <c r="H490" s="5" t="s">
        <v>527</v>
      </c>
      <c r="I490" s="17">
        <v>7.49413480049472E+18</v>
      </c>
      <c r="J490" s="5"/>
      <c r="K490" s="5"/>
      <c r="L490" s="5"/>
      <c r="M490" s="5" t="s">
        <v>1276</v>
      </c>
    </row>
    <row r="491" spans="3:13" x14ac:dyDescent="0.35">
      <c r="C491" s="5"/>
      <c r="D491" s="5" t="s">
        <v>528</v>
      </c>
      <c r="E491" s="5">
        <v>398461539</v>
      </c>
      <c r="F491" s="5" t="s">
        <v>903</v>
      </c>
      <c r="G491" s="5"/>
      <c r="H491" s="5" t="s">
        <v>528</v>
      </c>
      <c r="I491" s="17">
        <v>7.4961872291044004E+18</v>
      </c>
      <c r="J491" s="5" t="s">
        <v>969</v>
      </c>
      <c r="K491" s="5"/>
      <c r="L491" s="5"/>
      <c r="M491" s="5" t="s">
        <v>1276</v>
      </c>
    </row>
    <row r="492" spans="3:13" x14ac:dyDescent="0.35">
      <c r="C492" s="5"/>
      <c r="D492" s="5" t="s">
        <v>529</v>
      </c>
      <c r="E492" s="5">
        <v>398944029</v>
      </c>
      <c r="F492" s="5" t="s">
        <v>906</v>
      </c>
      <c r="G492" s="5"/>
      <c r="H492" s="5" t="s">
        <v>529</v>
      </c>
      <c r="I492" s="17">
        <v>7.4962388703206697E+18</v>
      </c>
      <c r="J492" s="5"/>
      <c r="K492" s="5"/>
      <c r="L492" s="5"/>
      <c r="M492" s="5" t="s">
        <v>1276</v>
      </c>
    </row>
    <row r="493" spans="3:13" x14ac:dyDescent="0.35">
      <c r="C493" s="5"/>
      <c r="D493" s="5" t="s">
        <v>530</v>
      </c>
      <c r="E493" s="5">
        <v>400802822</v>
      </c>
      <c r="F493" s="5" t="s">
        <v>905</v>
      </c>
      <c r="G493" s="5"/>
      <c r="H493" s="5" t="s">
        <v>530</v>
      </c>
      <c r="I493" s="17">
        <v>7.4962902035264604E+18</v>
      </c>
      <c r="J493" s="5" t="s">
        <v>928</v>
      </c>
      <c r="K493" s="5"/>
      <c r="L493" s="5" t="s">
        <v>1153</v>
      </c>
      <c r="M493" s="5" t="s">
        <v>1276</v>
      </c>
    </row>
    <row r="494" spans="3:13" x14ac:dyDescent="0.35">
      <c r="C494" s="5"/>
      <c r="D494" s="5" t="s">
        <v>531</v>
      </c>
      <c r="E494" s="5">
        <v>400905650</v>
      </c>
      <c r="F494" s="5" t="s">
        <v>906</v>
      </c>
      <c r="G494" s="5"/>
      <c r="H494" s="5" t="s">
        <v>531</v>
      </c>
      <c r="I494" s="17">
        <v>7.4961865761146399E+18</v>
      </c>
      <c r="J494" s="5"/>
      <c r="K494" s="5"/>
      <c r="L494" s="5"/>
      <c r="M494" s="5" t="s">
        <v>1276</v>
      </c>
    </row>
    <row r="495" spans="3:13" x14ac:dyDescent="0.35">
      <c r="C495" s="5"/>
      <c r="D495" s="5" t="s">
        <v>532</v>
      </c>
      <c r="E495" s="5">
        <v>401498676</v>
      </c>
      <c r="F495" s="5" t="s">
        <v>905</v>
      </c>
      <c r="G495" s="5"/>
      <c r="H495" s="5" t="s">
        <v>532</v>
      </c>
      <c r="I495" s="17">
        <v>7.4962283404344996E+18</v>
      </c>
      <c r="J495" s="5" t="s">
        <v>916</v>
      </c>
      <c r="K495" s="5"/>
      <c r="L495" s="5" t="s">
        <v>1154</v>
      </c>
      <c r="M495" s="5" t="s">
        <v>1276</v>
      </c>
    </row>
    <row r="496" spans="3:13" x14ac:dyDescent="0.35">
      <c r="C496" s="5"/>
      <c r="D496" s="5" t="s">
        <v>533</v>
      </c>
      <c r="E496" s="5">
        <v>401609924</v>
      </c>
      <c r="F496" s="5" t="s">
        <v>906</v>
      </c>
      <c r="G496" s="5"/>
      <c r="H496" s="5" t="s">
        <v>533</v>
      </c>
      <c r="I496" s="17">
        <v>7.4961822006128497E+18</v>
      </c>
      <c r="J496" s="5"/>
      <c r="K496" s="5"/>
      <c r="L496" s="5"/>
      <c r="M496" s="5" t="s">
        <v>1276</v>
      </c>
    </row>
    <row r="497" spans="3:13" x14ac:dyDescent="0.35">
      <c r="C497" s="5"/>
      <c r="D497" s="5" t="s">
        <v>534</v>
      </c>
      <c r="E497" s="5">
        <v>402567728</v>
      </c>
      <c r="F497" s="5" t="s">
        <v>906</v>
      </c>
      <c r="G497" s="5"/>
      <c r="H497" s="5"/>
      <c r="I497" s="17"/>
      <c r="J497" s="5"/>
      <c r="K497" s="5"/>
      <c r="L497" s="5"/>
      <c r="M497" s="5" t="s">
        <v>1276</v>
      </c>
    </row>
    <row r="498" spans="3:13" x14ac:dyDescent="0.35">
      <c r="C498" s="5"/>
      <c r="D498" s="5" t="s">
        <v>535</v>
      </c>
      <c r="E498" s="5">
        <v>403640709</v>
      </c>
      <c r="F498" s="5" t="s">
        <v>906</v>
      </c>
      <c r="G498" s="5"/>
      <c r="H498" s="5" t="s">
        <v>535</v>
      </c>
      <c r="I498" s="17">
        <v>7.49618198292945E+18</v>
      </c>
      <c r="J498" s="5" t="s">
        <v>911</v>
      </c>
      <c r="K498" s="5"/>
      <c r="L498" s="5" t="s">
        <v>1155</v>
      </c>
      <c r="M498" s="5" t="s">
        <v>1276</v>
      </c>
    </row>
    <row r="499" spans="3:13" x14ac:dyDescent="0.35">
      <c r="C499" s="5"/>
      <c r="D499" s="5" t="s">
        <v>536</v>
      </c>
      <c r="E499" s="5">
        <v>404831888</v>
      </c>
      <c r="F499" s="5" t="s">
        <v>903</v>
      </c>
      <c r="G499" s="5"/>
      <c r="H499" s="5" t="s">
        <v>536</v>
      </c>
      <c r="I499" s="17">
        <v>7.4962286897544202E+18</v>
      </c>
      <c r="J499" s="5" t="s">
        <v>924</v>
      </c>
      <c r="K499" s="5"/>
      <c r="L499" s="5" t="s">
        <v>1156</v>
      </c>
      <c r="M499" s="5" t="s">
        <v>1276</v>
      </c>
    </row>
    <row r="500" spans="3:13" x14ac:dyDescent="0.35">
      <c r="C500" s="5"/>
      <c r="D500" s="5" t="s">
        <v>537</v>
      </c>
      <c r="E500" s="5">
        <v>406098813</v>
      </c>
      <c r="F500" s="5" t="s">
        <v>905</v>
      </c>
      <c r="G500" s="5"/>
      <c r="H500" s="5" t="s">
        <v>537</v>
      </c>
      <c r="I500" s="17">
        <v>7.4962608112056003E+18</v>
      </c>
      <c r="J500" s="5" t="s">
        <v>916</v>
      </c>
      <c r="K500" s="5"/>
      <c r="L500" s="5" t="s">
        <v>1157</v>
      </c>
      <c r="M500" s="5" t="s">
        <v>1276</v>
      </c>
    </row>
    <row r="501" spans="3:13" x14ac:dyDescent="0.35">
      <c r="C501" s="5"/>
      <c r="D501" s="5" t="s">
        <v>538</v>
      </c>
      <c r="E501" s="5">
        <v>406141173</v>
      </c>
      <c r="F501" s="5" t="s">
        <v>903</v>
      </c>
      <c r="G501" s="5"/>
      <c r="H501" s="5" t="s">
        <v>538</v>
      </c>
      <c r="I501" s="17">
        <v>7.4961861740973599E+18</v>
      </c>
      <c r="J501" s="5" t="s">
        <v>913</v>
      </c>
      <c r="K501" s="5"/>
      <c r="L501" s="5"/>
      <c r="M501" s="5" t="s">
        <v>1276</v>
      </c>
    </row>
    <row r="502" spans="3:13" x14ac:dyDescent="0.35">
      <c r="C502" s="5"/>
      <c r="D502" s="5" t="s">
        <v>539</v>
      </c>
      <c r="E502" s="5">
        <v>406182835</v>
      </c>
      <c r="F502" s="5" t="s">
        <v>905</v>
      </c>
      <c r="G502" s="5"/>
      <c r="H502" s="5" t="s">
        <v>539</v>
      </c>
      <c r="I502" s="17">
        <v>7.4962871762823096E+18</v>
      </c>
      <c r="J502" s="5" t="s">
        <v>942</v>
      </c>
      <c r="K502" s="5"/>
      <c r="L502" s="5" t="s">
        <v>1158</v>
      </c>
      <c r="M502" s="5" t="s">
        <v>1276</v>
      </c>
    </row>
    <row r="503" spans="3:13" x14ac:dyDescent="0.35">
      <c r="C503" s="5"/>
      <c r="D503" s="5" t="s">
        <v>540</v>
      </c>
      <c r="E503" s="5">
        <v>406722479</v>
      </c>
      <c r="F503" s="5" t="s">
        <v>904</v>
      </c>
      <c r="G503" s="5"/>
      <c r="H503" s="5"/>
      <c r="I503" s="17"/>
      <c r="J503" s="5"/>
      <c r="K503" s="5"/>
      <c r="L503" s="5"/>
      <c r="M503" s="5" t="s">
        <v>1276</v>
      </c>
    </row>
    <row r="504" spans="3:13" x14ac:dyDescent="0.35">
      <c r="C504" s="5"/>
      <c r="D504" s="5" t="s">
        <v>541</v>
      </c>
      <c r="E504" s="5">
        <v>407760070</v>
      </c>
      <c r="F504" s="5" t="s">
        <v>906</v>
      </c>
      <c r="G504" s="5"/>
      <c r="H504" s="5" t="s">
        <v>541</v>
      </c>
      <c r="I504" s="17">
        <v>7.4962131051790602E+18</v>
      </c>
      <c r="J504" s="5"/>
      <c r="K504" s="5"/>
      <c r="L504" s="5"/>
      <c r="M504" s="5" t="s">
        <v>1276</v>
      </c>
    </row>
    <row r="505" spans="3:13" x14ac:dyDescent="0.35">
      <c r="C505" s="5"/>
      <c r="D505" s="5" t="s">
        <v>542</v>
      </c>
      <c r="E505" s="5">
        <v>408128510</v>
      </c>
      <c r="F505" s="5" t="s">
        <v>905</v>
      </c>
      <c r="G505" s="5"/>
      <c r="H505" s="5" t="s">
        <v>542</v>
      </c>
      <c r="I505" s="17">
        <v>7.49619801657485E+18</v>
      </c>
      <c r="J505" s="5"/>
      <c r="K505" s="5"/>
      <c r="L505" s="5"/>
      <c r="M505" s="5" t="s">
        <v>1276</v>
      </c>
    </row>
    <row r="506" spans="3:13" x14ac:dyDescent="0.35">
      <c r="C506" s="5"/>
      <c r="D506" s="5" t="s">
        <v>543</v>
      </c>
      <c r="E506" s="5">
        <v>408192819</v>
      </c>
      <c r="F506" s="5" t="s">
        <v>904</v>
      </c>
      <c r="G506" s="5"/>
      <c r="H506" s="5"/>
      <c r="I506" s="17"/>
      <c r="J506" s="5"/>
      <c r="K506" s="5"/>
      <c r="L506" s="5"/>
      <c r="M506" s="5" t="s">
        <v>1276</v>
      </c>
    </row>
    <row r="507" spans="3:13" x14ac:dyDescent="0.35">
      <c r="C507" s="5"/>
      <c r="D507" s="5" t="s">
        <v>544</v>
      </c>
      <c r="E507" s="5">
        <v>409006665</v>
      </c>
      <c r="F507" s="5" t="s">
        <v>906</v>
      </c>
      <c r="G507" s="5"/>
      <c r="H507" s="5" t="s">
        <v>544</v>
      </c>
      <c r="I507" s="17">
        <v>7.4959181880432005E+18</v>
      </c>
      <c r="J507" s="5" t="s">
        <v>939</v>
      </c>
      <c r="K507" s="5"/>
      <c r="L507" s="5" t="s">
        <v>1159</v>
      </c>
      <c r="M507" s="5" t="s">
        <v>1276</v>
      </c>
    </row>
    <row r="508" spans="3:13" x14ac:dyDescent="0.35">
      <c r="C508" s="5"/>
      <c r="D508" s="5" t="s">
        <v>545</v>
      </c>
      <c r="E508" s="5">
        <v>409164022</v>
      </c>
      <c r="F508" s="5" t="s">
        <v>905</v>
      </c>
      <c r="G508" s="5"/>
      <c r="H508" s="5" t="s">
        <v>545</v>
      </c>
      <c r="I508" s="17">
        <v>7.4961531651682796E+18</v>
      </c>
      <c r="J508" s="5" t="s">
        <v>911</v>
      </c>
      <c r="K508" s="5"/>
      <c r="L508" s="5" t="s">
        <v>1160</v>
      </c>
      <c r="M508" s="5" t="s">
        <v>1276</v>
      </c>
    </row>
    <row r="509" spans="3:13" x14ac:dyDescent="0.35">
      <c r="C509" s="5"/>
      <c r="D509" s="5" t="s">
        <v>546</v>
      </c>
      <c r="E509" s="5">
        <v>410610397</v>
      </c>
      <c r="F509" s="5" t="s">
        <v>906</v>
      </c>
      <c r="G509" s="5"/>
      <c r="H509" s="5" t="s">
        <v>546</v>
      </c>
      <c r="I509" s="17">
        <v>7.4961820420247695E+18</v>
      </c>
      <c r="J509" s="5"/>
      <c r="K509" s="5"/>
      <c r="L509" s="5"/>
      <c r="M509" s="5" t="s">
        <v>1276</v>
      </c>
    </row>
    <row r="510" spans="3:13" x14ac:dyDescent="0.35">
      <c r="C510" s="5"/>
      <c r="D510" s="5" t="s">
        <v>547</v>
      </c>
      <c r="E510" s="5">
        <v>410700187</v>
      </c>
      <c r="F510" s="5" t="s">
        <v>903</v>
      </c>
      <c r="G510" s="5"/>
      <c r="H510" s="5"/>
      <c r="I510" s="17"/>
      <c r="J510" s="5"/>
      <c r="K510" s="5"/>
      <c r="L510" s="5"/>
      <c r="M510" s="5" t="s">
        <v>1276</v>
      </c>
    </row>
    <row r="511" spans="3:13" x14ac:dyDescent="0.35">
      <c r="C511" s="5"/>
      <c r="D511" s="5" t="s">
        <v>548</v>
      </c>
      <c r="E511" s="5">
        <v>411368149</v>
      </c>
      <c r="F511" s="5" t="s">
        <v>903</v>
      </c>
      <c r="G511" s="5"/>
      <c r="H511" s="5" t="s">
        <v>548</v>
      </c>
      <c r="I511" s="17">
        <v>7.4961816788937298E+18</v>
      </c>
      <c r="J511" s="5" t="s">
        <v>969</v>
      </c>
      <c r="K511" s="5"/>
      <c r="L511" s="5" t="s">
        <v>1161</v>
      </c>
      <c r="M511" s="5" t="s">
        <v>1276</v>
      </c>
    </row>
    <row r="512" spans="3:13" x14ac:dyDescent="0.35">
      <c r="C512" s="5"/>
      <c r="D512" s="5" t="s">
        <v>549</v>
      </c>
      <c r="E512" s="5">
        <v>412873222</v>
      </c>
      <c r="F512" s="5" t="s">
        <v>903</v>
      </c>
      <c r="G512" s="5"/>
      <c r="H512" s="5" t="s">
        <v>549</v>
      </c>
      <c r="I512" s="17">
        <v>7.4961531709983601E+18</v>
      </c>
      <c r="J512" s="5" t="s">
        <v>913</v>
      </c>
      <c r="K512" s="5"/>
      <c r="L512" s="5"/>
      <c r="M512" s="5" t="s">
        <v>1276</v>
      </c>
    </row>
    <row r="513" spans="3:13" x14ac:dyDescent="0.35">
      <c r="C513" s="5"/>
      <c r="D513" s="5" t="s">
        <v>550</v>
      </c>
      <c r="E513" s="5">
        <v>413762733</v>
      </c>
      <c r="F513" s="5" t="s">
        <v>903</v>
      </c>
      <c r="G513" s="5"/>
      <c r="H513" s="5" t="s">
        <v>550</v>
      </c>
      <c r="I513" s="17">
        <v>7.4961623590013102E+18</v>
      </c>
      <c r="J513" s="5" t="s">
        <v>910</v>
      </c>
      <c r="K513" s="5"/>
      <c r="L513" s="5" t="s">
        <v>1162</v>
      </c>
      <c r="M513" s="5" t="s">
        <v>1276</v>
      </c>
    </row>
    <row r="514" spans="3:13" x14ac:dyDescent="0.35">
      <c r="C514" s="5"/>
      <c r="D514" s="5" t="s">
        <v>551</v>
      </c>
      <c r="E514" s="5">
        <v>414480643</v>
      </c>
      <c r="F514" s="5" t="s">
        <v>903</v>
      </c>
      <c r="G514" s="5"/>
      <c r="H514" s="5"/>
      <c r="I514" s="17"/>
      <c r="J514" s="5"/>
      <c r="K514" s="5"/>
      <c r="L514" s="5"/>
      <c r="M514" s="5" t="s">
        <v>1276</v>
      </c>
    </row>
    <row r="515" spans="3:13" x14ac:dyDescent="0.35">
      <c r="C515" s="5"/>
      <c r="D515" s="5" t="s">
        <v>552</v>
      </c>
      <c r="E515" s="5">
        <v>415132822</v>
      </c>
      <c r="F515" s="5" t="s">
        <v>905</v>
      </c>
      <c r="G515" s="5"/>
      <c r="H515" s="5" t="s">
        <v>552</v>
      </c>
      <c r="I515" s="17">
        <v>7.4962178727493304E+18</v>
      </c>
      <c r="J515" s="5" t="s">
        <v>916</v>
      </c>
      <c r="K515" s="5"/>
      <c r="L515" s="5" t="s">
        <v>1163</v>
      </c>
      <c r="M515" s="5" t="s">
        <v>1276</v>
      </c>
    </row>
    <row r="516" spans="3:13" x14ac:dyDescent="0.35">
      <c r="C516" s="5"/>
      <c r="D516" s="5" t="s">
        <v>553</v>
      </c>
      <c r="E516" s="5">
        <v>415175805</v>
      </c>
      <c r="F516" s="5" t="s">
        <v>904</v>
      </c>
      <c r="G516" s="5"/>
      <c r="H516" s="5" t="s">
        <v>553</v>
      </c>
      <c r="I516" s="17">
        <v>7.4961617045187103E+18</v>
      </c>
      <c r="J516" s="5" t="s">
        <v>908</v>
      </c>
      <c r="K516" s="5"/>
      <c r="L516" s="5" t="s">
        <v>1164</v>
      </c>
      <c r="M516" s="5" t="s">
        <v>1276</v>
      </c>
    </row>
    <row r="517" spans="3:13" x14ac:dyDescent="0.35">
      <c r="C517" s="5"/>
      <c r="D517" s="5" t="s">
        <v>554</v>
      </c>
      <c r="E517" s="5">
        <v>417489379</v>
      </c>
      <c r="F517" s="5" t="s">
        <v>905</v>
      </c>
      <c r="G517" s="5"/>
      <c r="H517" s="5"/>
      <c r="I517" s="17"/>
      <c r="J517" s="5"/>
      <c r="K517" s="5"/>
      <c r="L517" s="5"/>
      <c r="M517" s="5" t="s">
        <v>1276</v>
      </c>
    </row>
    <row r="518" spans="3:13" x14ac:dyDescent="0.35">
      <c r="C518" s="5"/>
      <c r="D518" s="5" t="s">
        <v>555</v>
      </c>
      <c r="E518" s="5">
        <v>418205294</v>
      </c>
      <c r="F518" s="5" t="s">
        <v>906</v>
      </c>
      <c r="G518" s="5"/>
      <c r="H518" s="5" t="s">
        <v>555</v>
      </c>
      <c r="I518" s="17">
        <v>7.4961473420166697E+18</v>
      </c>
      <c r="J518" s="5"/>
      <c r="K518" s="5"/>
      <c r="L518" s="5"/>
      <c r="M518" s="5" t="s">
        <v>1276</v>
      </c>
    </row>
    <row r="519" spans="3:13" x14ac:dyDescent="0.35">
      <c r="C519" s="5"/>
      <c r="D519" s="5" t="s">
        <v>556</v>
      </c>
      <c r="E519" s="5">
        <v>418336777</v>
      </c>
      <c r="F519" s="5" t="s">
        <v>905</v>
      </c>
      <c r="G519" s="5"/>
      <c r="H519" s="5" t="s">
        <v>556</v>
      </c>
      <c r="I519" s="17">
        <v>7.4961786944287201E+18</v>
      </c>
      <c r="J519" s="5" t="s">
        <v>911</v>
      </c>
      <c r="K519" s="5"/>
      <c r="L519" s="5" t="s">
        <v>1165</v>
      </c>
      <c r="M519" s="5" t="s">
        <v>1276</v>
      </c>
    </row>
    <row r="520" spans="3:13" x14ac:dyDescent="0.35">
      <c r="C520" s="5"/>
      <c r="D520" s="5" t="s">
        <v>557</v>
      </c>
      <c r="E520" s="5">
        <v>419809235</v>
      </c>
      <c r="F520" s="5" t="s">
        <v>906</v>
      </c>
      <c r="G520" s="5"/>
      <c r="H520" s="5" t="s">
        <v>557</v>
      </c>
      <c r="I520" s="17">
        <v>7.4962090497122304E+18</v>
      </c>
      <c r="J520" s="5"/>
      <c r="K520" s="5"/>
      <c r="L520" s="5"/>
      <c r="M520" s="5" t="s">
        <v>1276</v>
      </c>
    </row>
    <row r="521" spans="3:13" x14ac:dyDescent="0.35">
      <c r="C521" s="5"/>
      <c r="D521" s="5" t="s">
        <v>558</v>
      </c>
      <c r="E521" s="5">
        <v>422764082</v>
      </c>
      <c r="F521" s="5" t="s">
        <v>903</v>
      </c>
      <c r="G521" s="5"/>
      <c r="H521" s="5"/>
      <c r="I521" s="17"/>
      <c r="J521" s="5"/>
      <c r="K521" s="5"/>
      <c r="L521" s="5"/>
      <c r="M521" s="5" t="s">
        <v>1276</v>
      </c>
    </row>
    <row r="522" spans="3:13" x14ac:dyDescent="0.35">
      <c r="C522" s="5"/>
      <c r="D522" s="5" t="s">
        <v>559</v>
      </c>
      <c r="E522" s="5">
        <v>422808917</v>
      </c>
      <c r="F522" s="5" t="s">
        <v>904</v>
      </c>
      <c r="G522" s="5"/>
      <c r="H522" s="5"/>
      <c r="I522" s="17"/>
      <c r="J522" s="5"/>
      <c r="K522" s="5"/>
      <c r="L522" s="5"/>
      <c r="M522" s="5" t="s">
        <v>1276</v>
      </c>
    </row>
    <row r="523" spans="3:13" x14ac:dyDescent="0.35">
      <c r="C523" s="5"/>
      <c r="D523" s="5" t="s">
        <v>560</v>
      </c>
      <c r="E523" s="5">
        <v>422903557</v>
      </c>
      <c r="F523" s="5" t="s">
        <v>906</v>
      </c>
      <c r="G523" s="5"/>
      <c r="H523" s="5" t="s">
        <v>560</v>
      </c>
      <c r="I523" s="17">
        <v>7.4961469634047795E+18</v>
      </c>
      <c r="J523" s="5"/>
      <c r="K523" s="5"/>
      <c r="L523" s="5"/>
      <c r="M523" s="5" t="s">
        <v>1276</v>
      </c>
    </row>
    <row r="524" spans="3:13" x14ac:dyDescent="0.35">
      <c r="C524" s="5"/>
      <c r="D524" s="5" t="s">
        <v>561</v>
      </c>
      <c r="E524" s="5">
        <v>423405253</v>
      </c>
      <c r="F524" s="5" t="s">
        <v>903</v>
      </c>
      <c r="G524" s="5"/>
      <c r="H524" s="5" t="s">
        <v>561</v>
      </c>
      <c r="I524" s="17">
        <v>7.4961888606825001E+18</v>
      </c>
      <c r="J524" s="5" t="s">
        <v>933</v>
      </c>
      <c r="K524" s="5"/>
      <c r="L524" s="5"/>
      <c r="M524" s="5" t="s">
        <v>1276</v>
      </c>
    </row>
    <row r="525" spans="3:13" x14ac:dyDescent="0.35">
      <c r="C525" s="5"/>
      <c r="D525" s="5" t="s">
        <v>562</v>
      </c>
      <c r="E525" s="5">
        <v>426565286</v>
      </c>
      <c r="F525" s="5" t="s">
        <v>903</v>
      </c>
      <c r="G525" s="5"/>
      <c r="H525" s="5" t="s">
        <v>562</v>
      </c>
      <c r="I525" s="17">
        <v>7.4962401699688899E+18</v>
      </c>
      <c r="J525" s="5" t="s">
        <v>913</v>
      </c>
      <c r="K525" s="5"/>
      <c r="L525" s="5" t="s">
        <v>1166</v>
      </c>
      <c r="M525" s="5" t="s">
        <v>1276</v>
      </c>
    </row>
    <row r="526" spans="3:13" x14ac:dyDescent="0.35">
      <c r="C526" s="5"/>
      <c r="D526" s="5" t="s">
        <v>563</v>
      </c>
      <c r="E526" s="5">
        <v>426565286</v>
      </c>
      <c r="F526" s="5" t="s">
        <v>903</v>
      </c>
      <c r="G526" s="5"/>
      <c r="H526" s="5" t="s">
        <v>562</v>
      </c>
      <c r="I526" s="17">
        <v>7.4962401699688899E+18</v>
      </c>
      <c r="J526" s="5" t="s">
        <v>913</v>
      </c>
      <c r="K526" s="5"/>
      <c r="L526" s="5" t="s">
        <v>1166</v>
      </c>
      <c r="M526" s="5" t="s">
        <v>1276</v>
      </c>
    </row>
    <row r="527" spans="3:13" x14ac:dyDescent="0.35">
      <c r="C527" s="5"/>
      <c r="D527" s="5" t="s">
        <v>564</v>
      </c>
      <c r="E527" s="5">
        <v>427106553</v>
      </c>
      <c r="F527" s="5" t="s">
        <v>906</v>
      </c>
      <c r="G527" s="5"/>
      <c r="H527" s="5" t="s">
        <v>564</v>
      </c>
      <c r="I527" s="17">
        <v>7.4961529166007101E+18</v>
      </c>
      <c r="J527" s="5" t="s">
        <v>908</v>
      </c>
      <c r="K527" s="5"/>
      <c r="L527" s="5" t="s">
        <v>1167</v>
      </c>
      <c r="M527" s="5" t="s">
        <v>1276</v>
      </c>
    </row>
    <row r="528" spans="3:13" x14ac:dyDescent="0.35">
      <c r="C528" s="5"/>
      <c r="D528" s="5" t="s">
        <v>565</v>
      </c>
      <c r="E528" s="5">
        <v>427237722</v>
      </c>
      <c r="F528" s="5" t="s">
        <v>906</v>
      </c>
      <c r="G528" s="5"/>
      <c r="H528" s="5" t="s">
        <v>565</v>
      </c>
      <c r="I528" s="17">
        <v>7.4961818505102295E+18</v>
      </c>
      <c r="J528" s="5"/>
      <c r="K528" s="5"/>
      <c r="L528" s="5"/>
      <c r="M528" s="5" t="s">
        <v>1276</v>
      </c>
    </row>
    <row r="529" spans="3:13" x14ac:dyDescent="0.35">
      <c r="C529" s="5"/>
      <c r="D529" s="5" t="s">
        <v>566</v>
      </c>
      <c r="E529" s="5">
        <v>428548673</v>
      </c>
      <c r="F529" s="5" t="s">
        <v>903</v>
      </c>
      <c r="G529" s="5"/>
      <c r="H529" s="5" t="s">
        <v>566</v>
      </c>
      <c r="I529" s="17">
        <v>7.4961614429212201E+18</v>
      </c>
      <c r="J529" s="5" t="s">
        <v>933</v>
      </c>
      <c r="K529" s="5"/>
      <c r="L529" s="5"/>
      <c r="M529" s="5" t="s">
        <v>1276</v>
      </c>
    </row>
    <row r="530" spans="3:13" x14ac:dyDescent="0.35">
      <c r="C530" s="5"/>
      <c r="D530" s="5" t="s">
        <v>567</v>
      </c>
      <c r="E530" s="5">
        <v>428748361</v>
      </c>
      <c r="F530" s="5" t="s">
        <v>905</v>
      </c>
      <c r="G530" s="5"/>
      <c r="H530" s="5" t="s">
        <v>567</v>
      </c>
      <c r="I530" s="17">
        <v>7.4961831329418097E+18</v>
      </c>
      <c r="J530" s="5" t="s">
        <v>911</v>
      </c>
      <c r="K530" s="5"/>
      <c r="L530" s="5" t="s">
        <v>1168</v>
      </c>
      <c r="M530" s="5" t="s">
        <v>1276</v>
      </c>
    </row>
    <row r="531" spans="3:13" x14ac:dyDescent="0.35">
      <c r="C531" s="5"/>
      <c r="D531" s="5" t="s">
        <v>568</v>
      </c>
      <c r="E531" s="5">
        <v>429490715</v>
      </c>
      <c r="F531" s="5" t="s">
        <v>907</v>
      </c>
      <c r="G531" s="5"/>
      <c r="H531" s="5" t="s">
        <v>568</v>
      </c>
      <c r="I531" s="17">
        <v>7.4962912681649398E+18</v>
      </c>
      <c r="J531" s="5" t="s">
        <v>936</v>
      </c>
      <c r="K531" s="5"/>
      <c r="L531" s="5" t="s">
        <v>1169</v>
      </c>
      <c r="M531" s="5" t="s">
        <v>1276</v>
      </c>
    </row>
    <row r="532" spans="3:13" x14ac:dyDescent="0.35">
      <c r="C532" s="5"/>
      <c r="D532" s="5" t="s">
        <v>569</v>
      </c>
      <c r="E532" s="5">
        <v>430623507</v>
      </c>
      <c r="F532" s="5" t="s">
        <v>903</v>
      </c>
      <c r="G532" s="5"/>
      <c r="H532" s="5" t="s">
        <v>569</v>
      </c>
      <c r="I532" s="17">
        <v>7.4961600473900298E+18</v>
      </c>
      <c r="J532" s="5" t="s">
        <v>913</v>
      </c>
      <c r="K532" s="5"/>
      <c r="L532" s="5"/>
      <c r="M532" s="5" t="s">
        <v>1276</v>
      </c>
    </row>
    <row r="533" spans="3:13" x14ac:dyDescent="0.35">
      <c r="C533" s="5"/>
      <c r="D533" s="5" t="s">
        <v>570</v>
      </c>
      <c r="E533" s="5">
        <v>432744987</v>
      </c>
      <c r="F533" s="5" t="s">
        <v>903</v>
      </c>
      <c r="G533" s="5"/>
      <c r="H533" s="5" t="s">
        <v>570</v>
      </c>
      <c r="I533" s="17">
        <v>7.49616149883443E+18</v>
      </c>
      <c r="J533" s="5" t="s">
        <v>911</v>
      </c>
      <c r="K533" s="5"/>
      <c r="L533" s="5" t="s">
        <v>1170</v>
      </c>
      <c r="M533" s="5" t="s">
        <v>1276</v>
      </c>
    </row>
    <row r="534" spans="3:13" x14ac:dyDescent="0.35">
      <c r="C534" s="5"/>
      <c r="D534" s="5" t="s">
        <v>571</v>
      </c>
      <c r="E534" s="5">
        <v>434178148</v>
      </c>
      <c r="F534" s="5" t="s">
        <v>906</v>
      </c>
      <c r="G534" s="5"/>
      <c r="H534" s="5" t="s">
        <v>571</v>
      </c>
      <c r="I534" s="17">
        <v>7.4961818981937603E+18</v>
      </c>
      <c r="J534" s="5" t="s">
        <v>939</v>
      </c>
      <c r="K534" s="5"/>
      <c r="L534" s="5" t="s">
        <v>1171</v>
      </c>
      <c r="M534" s="5" t="s">
        <v>1276</v>
      </c>
    </row>
    <row r="535" spans="3:13" x14ac:dyDescent="0.35">
      <c r="C535" s="5"/>
      <c r="D535" s="5" t="s">
        <v>572</v>
      </c>
      <c r="E535" s="5">
        <v>436723291</v>
      </c>
      <c r="F535" s="5" t="s">
        <v>905</v>
      </c>
      <c r="G535" s="5"/>
      <c r="H535" s="5" t="s">
        <v>572</v>
      </c>
      <c r="I535" s="17">
        <v>7.4961819526650604E+18</v>
      </c>
      <c r="J535" s="5"/>
      <c r="K535" s="5"/>
      <c r="L535" s="5"/>
      <c r="M535" s="5" t="s">
        <v>1276</v>
      </c>
    </row>
    <row r="536" spans="3:13" x14ac:dyDescent="0.35">
      <c r="C536" s="5"/>
      <c r="D536" s="5" t="s">
        <v>573</v>
      </c>
      <c r="E536" s="5">
        <v>436773535</v>
      </c>
      <c r="F536" s="5" t="s">
        <v>903</v>
      </c>
      <c r="G536" s="5"/>
      <c r="H536" s="5" t="s">
        <v>573</v>
      </c>
      <c r="I536" s="17">
        <v>7.4941445783934996E+18</v>
      </c>
      <c r="J536" s="5"/>
      <c r="K536" s="5"/>
      <c r="L536" s="5"/>
      <c r="M536" s="5" t="s">
        <v>1276</v>
      </c>
    </row>
    <row r="537" spans="3:13" x14ac:dyDescent="0.35">
      <c r="C537" s="5"/>
      <c r="D537" s="5" t="s">
        <v>574</v>
      </c>
      <c r="E537" s="5">
        <v>438855294</v>
      </c>
      <c r="F537" s="5" t="s">
        <v>903</v>
      </c>
      <c r="G537" s="5"/>
      <c r="H537" s="5" t="s">
        <v>574</v>
      </c>
      <c r="I537" s="17">
        <v>7.49616143218445E+18</v>
      </c>
      <c r="J537" s="5" t="s">
        <v>941</v>
      </c>
      <c r="K537" s="5"/>
      <c r="L537" s="5" t="s">
        <v>1172</v>
      </c>
      <c r="M537" s="5" t="s">
        <v>1276</v>
      </c>
    </row>
    <row r="538" spans="3:13" x14ac:dyDescent="0.35">
      <c r="C538" s="5"/>
      <c r="D538" s="5" t="s">
        <v>575</v>
      </c>
      <c r="E538" s="5">
        <v>439353015</v>
      </c>
      <c r="F538" s="5" t="s">
        <v>903</v>
      </c>
      <c r="G538" s="5"/>
      <c r="H538" s="5" t="s">
        <v>575</v>
      </c>
      <c r="I538" s="17">
        <v>7.4961634607405097E+18</v>
      </c>
      <c r="J538" s="5" t="s">
        <v>913</v>
      </c>
      <c r="K538" s="5"/>
      <c r="L538" s="5" t="s">
        <v>1173</v>
      </c>
      <c r="M538" s="5" t="s">
        <v>1276</v>
      </c>
    </row>
    <row r="539" spans="3:13" x14ac:dyDescent="0.35">
      <c r="C539" s="5"/>
      <c r="D539" s="5" t="s">
        <v>576</v>
      </c>
      <c r="E539" s="5">
        <v>442506479</v>
      </c>
      <c r="F539" s="5" t="s">
        <v>905</v>
      </c>
      <c r="G539" s="5"/>
      <c r="H539" s="5" t="s">
        <v>576</v>
      </c>
      <c r="I539" s="17">
        <v>7.4961867650095196E+18</v>
      </c>
      <c r="J539" s="5"/>
      <c r="K539" s="5"/>
      <c r="L539" s="5"/>
      <c r="M539" s="5" t="s">
        <v>1276</v>
      </c>
    </row>
    <row r="540" spans="3:13" x14ac:dyDescent="0.35">
      <c r="C540" s="5"/>
      <c r="D540" s="5" t="s">
        <v>577</v>
      </c>
      <c r="E540" s="5">
        <v>443076516</v>
      </c>
      <c r="F540" s="5" t="s">
        <v>906</v>
      </c>
      <c r="G540" s="5"/>
      <c r="H540" s="5" t="s">
        <v>577</v>
      </c>
      <c r="I540" s="17">
        <v>7.4961818080165499E+18</v>
      </c>
      <c r="J540" s="5" t="s">
        <v>939</v>
      </c>
      <c r="K540" s="5"/>
      <c r="L540" s="5" t="s">
        <v>1174</v>
      </c>
      <c r="M540" s="5" t="s">
        <v>1276</v>
      </c>
    </row>
    <row r="541" spans="3:13" x14ac:dyDescent="0.35">
      <c r="C541" s="5"/>
      <c r="D541" s="5" t="s">
        <v>578</v>
      </c>
      <c r="E541" s="5">
        <v>443085185</v>
      </c>
      <c r="F541" s="5" t="s">
        <v>906</v>
      </c>
      <c r="G541" s="5"/>
      <c r="H541" s="5" t="s">
        <v>578</v>
      </c>
      <c r="I541" s="17">
        <v>7.49616715350733E+18</v>
      </c>
      <c r="J541" s="5" t="s">
        <v>908</v>
      </c>
      <c r="K541" s="5"/>
      <c r="L541" s="5" t="s">
        <v>1175</v>
      </c>
      <c r="M541" s="5" t="s">
        <v>1276</v>
      </c>
    </row>
    <row r="542" spans="3:13" x14ac:dyDescent="0.35">
      <c r="C542" s="5"/>
      <c r="D542" s="5" t="s">
        <v>579</v>
      </c>
      <c r="E542" s="5">
        <v>445163047</v>
      </c>
      <c r="F542" s="5" t="s">
        <v>905</v>
      </c>
      <c r="G542" s="5"/>
      <c r="H542" s="5" t="s">
        <v>579</v>
      </c>
      <c r="I542" s="17">
        <v>7.4941996957521295E+18</v>
      </c>
      <c r="J542" s="5"/>
      <c r="K542" s="5"/>
      <c r="L542" s="5"/>
      <c r="M542" s="5" t="s">
        <v>1276</v>
      </c>
    </row>
    <row r="543" spans="3:13" x14ac:dyDescent="0.35">
      <c r="C543" s="5"/>
      <c r="D543" s="5" t="s">
        <v>580</v>
      </c>
      <c r="E543" s="5">
        <v>449088913</v>
      </c>
      <c r="F543" s="5" t="s">
        <v>905</v>
      </c>
      <c r="G543" s="5"/>
      <c r="H543" s="5"/>
      <c r="I543" s="17"/>
      <c r="J543" s="5"/>
      <c r="K543" s="5"/>
      <c r="L543" s="5"/>
      <c r="M543" s="5" t="s">
        <v>1276</v>
      </c>
    </row>
    <row r="544" spans="3:13" x14ac:dyDescent="0.35">
      <c r="C544" s="5"/>
      <c r="D544" s="5" t="s">
        <v>581</v>
      </c>
      <c r="E544" s="5">
        <v>450423698</v>
      </c>
      <c r="F544" s="5" t="s">
        <v>904</v>
      </c>
      <c r="G544" s="5"/>
      <c r="H544" s="5" t="s">
        <v>581</v>
      </c>
      <c r="I544" s="17">
        <v>7.4962026838705101E+18</v>
      </c>
      <c r="J544" s="5" t="s">
        <v>926</v>
      </c>
      <c r="K544" s="5"/>
      <c r="L544" s="5"/>
      <c r="M544" s="5" t="s">
        <v>1276</v>
      </c>
    </row>
    <row r="545" spans="3:13" x14ac:dyDescent="0.35">
      <c r="C545" s="5"/>
      <c r="D545" s="5" t="s">
        <v>582</v>
      </c>
      <c r="E545" s="5">
        <v>450546427</v>
      </c>
      <c r="F545" s="5" t="s">
        <v>905</v>
      </c>
      <c r="G545" s="5"/>
      <c r="H545" s="5" t="s">
        <v>582</v>
      </c>
      <c r="I545" s="17">
        <v>7.4961617264784497E+18</v>
      </c>
      <c r="J545" s="5" t="s">
        <v>942</v>
      </c>
      <c r="K545" s="5"/>
      <c r="L545" s="5" t="s">
        <v>1176</v>
      </c>
      <c r="M545" s="5" t="s">
        <v>1276</v>
      </c>
    </row>
    <row r="546" spans="3:13" x14ac:dyDescent="0.35">
      <c r="C546" s="5"/>
      <c r="D546" s="5" t="s">
        <v>583</v>
      </c>
      <c r="E546" s="5">
        <v>452872883</v>
      </c>
      <c r="F546" s="5" t="s">
        <v>903</v>
      </c>
      <c r="G546" s="5"/>
      <c r="H546" s="5" t="s">
        <v>583</v>
      </c>
      <c r="I546" s="17">
        <v>7.4961644820255498E+18</v>
      </c>
      <c r="J546" s="5" t="s">
        <v>941</v>
      </c>
      <c r="K546" s="5"/>
      <c r="L546" s="5" t="s">
        <v>1177</v>
      </c>
      <c r="M546" s="5" t="s">
        <v>1276</v>
      </c>
    </row>
    <row r="547" spans="3:13" x14ac:dyDescent="0.35">
      <c r="C547" s="5"/>
      <c r="D547" s="5" t="s">
        <v>584</v>
      </c>
      <c r="E547" s="5">
        <v>462426918</v>
      </c>
      <c r="F547" s="5" t="s">
        <v>905</v>
      </c>
      <c r="G547" s="5"/>
      <c r="H547" s="5" t="s">
        <v>584</v>
      </c>
      <c r="I547" s="17">
        <v>7.4962127452921805E+18</v>
      </c>
      <c r="J547" s="5"/>
      <c r="K547" s="5"/>
      <c r="L547" s="5"/>
      <c r="M547" s="5" t="s">
        <v>1276</v>
      </c>
    </row>
    <row r="548" spans="3:13" x14ac:dyDescent="0.35">
      <c r="C548" s="5"/>
      <c r="D548" s="5" t="s">
        <v>585</v>
      </c>
      <c r="E548" s="5">
        <v>462556384</v>
      </c>
      <c r="F548" s="5" t="s">
        <v>905</v>
      </c>
      <c r="G548" s="5"/>
      <c r="H548" s="5" t="s">
        <v>585</v>
      </c>
      <c r="I548" s="17">
        <v>7.4961626697588101E+18</v>
      </c>
      <c r="J548" s="5" t="s">
        <v>918</v>
      </c>
      <c r="K548" s="5"/>
      <c r="L548" s="5"/>
      <c r="M548" s="5" t="s">
        <v>1276</v>
      </c>
    </row>
    <row r="549" spans="3:13" x14ac:dyDescent="0.35">
      <c r="C549" s="5"/>
      <c r="D549" s="5" t="s">
        <v>586</v>
      </c>
      <c r="E549" s="5">
        <v>463228698</v>
      </c>
      <c r="F549" s="5" t="s">
        <v>903</v>
      </c>
      <c r="G549" s="5"/>
      <c r="H549" s="5" t="s">
        <v>586</v>
      </c>
      <c r="I549" s="17">
        <v>7.4961817642965699E+18</v>
      </c>
      <c r="J549" s="5" t="s">
        <v>924</v>
      </c>
      <c r="K549" s="5"/>
      <c r="L549" s="5" t="s">
        <v>1178</v>
      </c>
      <c r="M549" s="5" t="s">
        <v>1276</v>
      </c>
    </row>
    <row r="550" spans="3:13" x14ac:dyDescent="0.35">
      <c r="C550" s="5"/>
      <c r="D550" s="5" t="s">
        <v>587</v>
      </c>
      <c r="E550" s="5">
        <v>464824627</v>
      </c>
      <c r="F550" s="5" t="s">
        <v>903</v>
      </c>
      <c r="G550" s="5"/>
      <c r="H550" s="5" t="s">
        <v>587</v>
      </c>
      <c r="I550" s="17">
        <v>7.4961871180706898E+18</v>
      </c>
      <c r="J550" s="5" t="s">
        <v>969</v>
      </c>
      <c r="K550" s="5"/>
      <c r="L550" s="5"/>
      <c r="M550" s="5" t="s">
        <v>1276</v>
      </c>
    </row>
    <row r="551" spans="3:13" x14ac:dyDescent="0.35">
      <c r="C551" s="5"/>
      <c r="D551" s="5" t="s">
        <v>588</v>
      </c>
      <c r="E551" s="5">
        <v>465623800</v>
      </c>
      <c r="F551" s="5" t="s">
        <v>906</v>
      </c>
      <c r="G551" s="5"/>
      <c r="H551" s="5" t="s">
        <v>588</v>
      </c>
      <c r="I551" s="17">
        <v>7.4961616350850202E+18</v>
      </c>
      <c r="J551" s="5" t="s">
        <v>918</v>
      </c>
      <c r="K551" s="5"/>
      <c r="L551" s="5" t="s">
        <v>1179</v>
      </c>
      <c r="M551" s="5" t="s">
        <v>1276</v>
      </c>
    </row>
    <row r="552" spans="3:13" x14ac:dyDescent="0.35">
      <c r="C552" s="5"/>
      <c r="D552" s="5" t="s">
        <v>589</v>
      </c>
      <c r="E552" s="5">
        <v>467934974</v>
      </c>
      <c r="F552" s="5" t="s">
        <v>906</v>
      </c>
      <c r="G552" s="5"/>
      <c r="H552" s="5" t="s">
        <v>589</v>
      </c>
      <c r="I552" s="17">
        <v>7.4962019602708204E+18</v>
      </c>
      <c r="J552" s="5" t="s">
        <v>984</v>
      </c>
      <c r="K552" s="5"/>
      <c r="L552" s="5" t="s">
        <v>1180</v>
      </c>
      <c r="M552" s="5" t="s">
        <v>1276</v>
      </c>
    </row>
    <row r="553" spans="3:13" x14ac:dyDescent="0.35">
      <c r="C553" s="5"/>
      <c r="D553" s="5" t="s">
        <v>590</v>
      </c>
      <c r="E553" s="5">
        <v>468499881</v>
      </c>
      <c r="F553" s="5" t="s">
        <v>906</v>
      </c>
      <c r="G553" s="5"/>
      <c r="H553" s="5" t="s">
        <v>590</v>
      </c>
      <c r="I553" s="17">
        <v>7.4961862387499305E+18</v>
      </c>
      <c r="J553" s="5" t="s">
        <v>908</v>
      </c>
      <c r="K553" s="5"/>
      <c r="L553" s="5" t="s">
        <v>1008</v>
      </c>
      <c r="M553" s="5" t="s">
        <v>1276</v>
      </c>
    </row>
    <row r="554" spans="3:13" x14ac:dyDescent="0.35">
      <c r="C554" s="5"/>
      <c r="D554" s="5" t="s">
        <v>591</v>
      </c>
      <c r="E554" s="5">
        <v>468703210</v>
      </c>
      <c r="F554" s="5" t="s">
        <v>903</v>
      </c>
      <c r="G554" s="5"/>
      <c r="H554" s="5" t="s">
        <v>591</v>
      </c>
      <c r="I554" s="17">
        <v>7.4961825098024499E+18</v>
      </c>
      <c r="J554" s="5"/>
      <c r="K554" s="5"/>
      <c r="L554" s="5"/>
      <c r="M554" s="5" t="s">
        <v>1276</v>
      </c>
    </row>
    <row r="555" spans="3:13" x14ac:dyDescent="0.35">
      <c r="C555" s="5"/>
      <c r="D555" s="5" t="s">
        <v>592</v>
      </c>
      <c r="E555" s="5">
        <v>470040601</v>
      </c>
      <c r="F555" s="5" t="s">
        <v>905</v>
      </c>
      <c r="G555" s="5"/>
      <c r="H555" s="5" t="s">
        <v>592</v>
      </c>
      <c r="I555" s="17">
        <v>7.4962026275290798E+18</v>
      </c>
      <c r="J555" s="5" t="s">
        <v>928</v>
      </c>
      <c r="K555" s="5"/>
      <c r="L555" s="5" t="s">
        <v>1181</v>
      </c>
      <c r="M555" s="5" t="s">
        <v>1276</v>
      </c>
    </row>
    <row r="556" spans="3:13" x14ac:dyDescent="0.35">
      <c r="C556" s="5"/>
      <c r="D556" s="5" t="s">
        <v>593</v>
      </c>
      <c r="E556" s="5">
        <v>474963483</v>
      </c>
      <c r="F556" s="5" t="s">
        <v>905</v>
      </c>
      <c r="G556" s="5"/>
      <c r="H556" s="5" t="s">
        <v>593</v>
      </c>
      <c r="I556" s="17">
        <v>7.49627671168657E+18</v>
      </c>
      <c r="J556" s="5" t="s">
        <v>928</v>
      </c>
      <c r="K556" s="5"/>
      <c r="L556" s="5" t="s">
        <v>1182</v>
      </c>
      <c r="M556" s="5" t="s">
        <v>1276</v>
      </c>
    </row>
    <row r="557" spans="3:13" x14ac:dyDescent="0.35">
      <c r="C557" s="5"/>
      <c r="D557" s="5" t="s">
        <v>594</v>
      </c>
      <c r="E557" s="5">
        <v>475013592</v>
      </c>
      <c r="F557" s="5" t="s">
        <v>904</v>
      </c>
      <c r="G557" s="5"/>
      <c r="H557" s="5" t="s">
        <v>594</v>
      </c>
      <c r="I557" s="17">
        <v>7.49626687418705E+18</v>
      </c>
      <c r="J557" s="5" t="s">
        <v>926</v>
      </c>
      <c r="K557" s="5"/>
      <c r="L557" s="5" t="s">
        <v>1183</v>
      </c>
      <c r="M557" s="5" t="s">
        <v>1276</v>
      </c>
    </row>
    <row r="558" spans="3:13" x14ac:dyDescent="0.35">
      <c r="C558" s="5"/>
      <c r="D558" s="5" t="s">
        <v>595</v>
      </c>
      <c r="E558" s="5">
        <v>475013592</v>
      </c>
      <c r="F558" s="5" t="s">
        <v>904</v>
      </c>
      <c r="G558" s="5"/>
      <c r="H558" s="5" t="s">
        <v>594</v>
      </c>
      <c r="I558" s="17">
        <v>7.49626687418705E+18</v>
      </c>
      <c r="J558" s="5" t="s">
        <v>926</v>
      </c>
      <c r="K558" s="5"/>
      <c r="L558" s="5" t="s">
        <v>1183</v>
      </c>
      <c r="M558" s="5" t="s">
        <v>1276</v>
      </c>
    </row>
    <row r="559" spans="3:13" x14ac:dyDescent="0.35">
      <c r="C559" s="5"/>
      <c r="D559" s="5" t="s">
        <v>596</v>
      </c>
      <c r="E559" s="5">
        <v>476977450</v>
      </c>
      <c r="F559" s="5" t="s">
        <v>905</v>
      </c>
      <c r="G559" s="5"/>
      <c r="H559" s="5"/>
      <c r="I559" s="17"/>
      <c r="J559" s="5"/>
      <c r="K559" s="5"/>
      <c r="L559" s="5"/>
      <c r="M559" s="5" t="s">
        <v>1276</v>
      </c>
    </row>
    <row r="560" spans="3:13" x14ac:dyDescent="0.35">
      <c r="C560" s="5"/>
      <c r="D560" s="5" t="s">
        <v>597</v>
      </c>
      <c r="E560" s="5">
        <v>482840775</v>
      </c>
      <c r="F560" s="5" t="s">
        <v>906</v>
      </c>
      <c r="G560" s="5"/>
      <c r="H560" s="5" t="s">
        <v>597</v>
      </c>
      <c r="I560" s="17">
        <v>7.49625409808128E+18</v>
      </c>
      <c r="J560" s="5" t="s">
        <v>1037</v>
      </c>
      <c r="K560" s="5"/>
      <c r="L560" s="5" t="s">
        <v>1184</v>
      </c>
      <c r="M560" s="5" t="s">
        <v>1276</v>
      </c>
    </row>
    <row r="561" spans="3:13" x14ac:dyDescent="0.35">
      <c r="C561" s="5"/>
      <c r="D561" s="5" t="s">
        <v>598</v>
      </c>
      <c r="E561" s="5">
        <v>483838536</v>
      </c>
      <c r="F561" s="5" t="s">
        <v>903</v>
      </c>
      <c r="G561" s="5"/>
      <c r="H561" s="5" t="s">
        <v>598</v>
      </c>
      <c r="I561" s="17">
        <v>7.4962127754267505E+18</v>
      </c>
      <c r="J561" s="5"/>
      <c r="K561" s="5"/>
      <c r="L561" s="5"/>
      <c r="M561" s="5" t="s">
        <v>1276</v>
      </c>
    </row>
    <row r="562" spans="3:13" x14ac:dyDescent="0.35">
      <c r="C562" s="5"/>
      <c r="D562" s="5" t="s">
        <v>599</v>
      </c>
      <c r="E562" s="5">
        <v>484197168</v>
      </c>
      <c r="F562" s="5" t="s">
        <v>905</v>
      </c>
      <c r="G562" s="5"/>
      <c r="H562" s="5" t="s">
        <v>599</v>
      </c>
      <c r="I562" s="17">
        <v>7.4961818055634104E+18</v>
      </c>
      <c r="J562" s="5" t="s">
        <v>911</v>
      </c>
      <c r="K562" s="5"/>
      <c r="L562" s="5"/>
      <c r="M562" s="5" t="s">
        <v>1276</v>
      </c>
    </row>
    <row r="563" spans="3:13" x14ac:dyDescent="0.35">
      <c r="C563" s="5"/>
      <c r="D563" s="5" t="s">
        <v>600</v>
      </c>
      <c r="E563" s="5">
        <v>485496853</v>
      </c>
      <c r="F563" s="5" t="s">
        <v>903</v>
      </c>
      <c r="G563" s="5"/>
      <c r="H563" s="5" t="s">
        <v>600</v>
      </c>
      <c r="I563" s="17">
        <v>7.4962263455416003E+18</v>
      </c>
      <c r="J563" s="5" t="s">
        <v>913</v>
      </c>
      <c r="K563" s="5"/>
      <c r="L563" s="5" t="s">
        <v>1185</v>
      </c>
      <c r="M563" s="5" t="s">
        <v>1276</v>
      </c>
    </row>
    <row r="564" spans="3:13" x14ac:dyDescent="0.35">
      <c r="C564" s="5"/>
      <c r="D564" s="5" t="s">
        <v>601</v>
      </c>
      <c r="E564" s="5">
        <v>487505431</v>
      </c>
      <c r="F564" s="5" t="s">
        <v>905</v>
      </c>
      <c r="G564" s="5"/>
      <c r="H564" s="5" t="s">
        <v>601</v>
      </c>
      <c r="I564" s="17">
        <v>7.4961854504681103E+18</v>
      </c>
      <c r="J564" s="5"/>
      <c r="K564" s="5"/>
      <c r="L564" s="5"/>
      <c r="M564" s="5" t="s">
        <v>1276</v>
      </c>
    </row>
    <row r="565" spans="3:13" x14ac:dyDescent="0.35">
      <c r="C565" s="5"/>
      <c r="D565" s="5" t="s">
        <v>602</v>
      </c>
      <c r="E565" s="5">
        <v>489001115</v>
      </c>
      <c r="F565" s="5" t="s">
        <v>904</v>
      </c>
      <c r="G565" s="5"/>
      <c r="H565" s="5" t="s">
        <v>602</v>
      </c>
      <c r="I565" s="17">
        <v>7.4961625408964198E+18</v>
      </c>
      <c r="J565" s="5" t="s">
        <v>918</v>
      </c>
      <c r="K565" s="5"/>
      <c r="L565" s="5" t="s">
        <v>1186</v>
      </c>
      <c r="M565" s="5" t="s">
        <v>1276</v>
      </c>
    </row>
    <row r="566" spans="3:13" x14ac:dyDescent="0.35">
      <c r="C566" s="5"/>
      <c r="D566" s="5" t="s">
        <v>603</v>
      </c>
      <c r="E566" s="5">
        <v>489158876</v>
      </c>
      <c r="F566" s="5" t="s">
        <v>905</v>
      </c>
      <c r="G566" s="5"/>
      <c r="H566" s="5" t="s">
        <v>603</v>
      </c>
      <c r="I566" s="17">
        <v>7.4961875257200804E+18</v>
      </c>
      <c r="J566" s="5" t="s">
        <v>916</v>
      </c>
      <c r="K566" s="5"/>
      <c r="L566" s="5" t="s">
        <v>1187</v>
      </c>
      <c r="M566" s="5" t="s">
        <v>1276</v>
      </c>
    </row>
    <row r="567" spans="3:13" x14ac:dyDescent="0.35">
      <c r="C567" s="5"/>
      <c r="D567" s="5" t="s">
        <v>604</v>
      </c>
      <c r="E567" s="5">
        <v>490370082</v>
      </c>
      <c r="F567" s="5" t="s">
        <v>903</v>
      </c>
      <c r="G567" s="5"/>
      <c r="H567" s="5" t="s">
        <v>604</v>
      </c>
      <c r="I567" s="17">
        <v>7.4961549456012401E+18</v>
      </c>
      <c r="J567" s="5" t="s">
        <v>913</v>
      </c>
      <c r="K567" s="5"/>
      <c r="L567" s="5" t="s">
        <v>1188</v>
      </c>
      <c r="M567" s="5" t="s">
        <v>1276</v>
      </c>
    </row>
    <row r="568" spans="3:13" x14ac:dyDescent="0.35">
      <c r="C568" s="5"/>
      <c r="D568" s="5" t="s">
        <v>605</v>
      </c>
      <c r="E568" s="5">
        <v>490928621</v>
      </c>
      <c r="F568" s="5" t="s">
        <v>903</v>
      </c>
      <c r="G568" s="5"/>
      <c r="H568" s="5"/>
      <c r="I568" s="17"/>
      <c r="J568" s="5"/>
      <c r="K568" s="5"/>
      <c r="L568" s="5"/>
      <c r="M568" s="5" t="s">
        <v>1276</v>
      </c>
    </row>
    <row r="569" spans="3:13" x14ac:dyDescent="0.35">
      <c r="C569" s="5"/>
      <c r="D569" s="5" t="s">
        <v>606</v>
      </c>
      <c r="E569" s="5">
        <v>492938201</v>
      </c>
      <c r="F569" s="5" t="s">
        <v>905</v>
      </c>
      <c r="G569" s="5"/>
      <c r="H569" s="5"/>
      <c r="I569" s="17"/>
      <c r="J569" s="5"/>
      <c r="K569" s="5"/>
      <c r="L569" s="5"/>
      <c r="M569" s="5" t="s">
        <v>1276</v>
      </c>
    </row>
    <row r="570" spans="3:13" x14ac:dyDescent="0.35">
      <c r="C570" s="5"/>
      <c r="D570" s="5" t="s">
        <v>607</v>
      </c>
      <c r="E570" s="5">
        <v>498340093</v>
      </c>
      <c r="F570" s="5" t="s">
        <v>905</v>
      </c>
      <c r="G570" s="5"/>
      <c r="H570" s="5" t="s">
        <v>607</v>
      </c>
      <c r="I570" s="17">
        <v>7.4941276264764201E+18</v>
      </c>
      <c r="J570" s="5" t="s">
        <v>975</v>
      </c>
      <c r="K570" s="5"/>
      <c r="L570" s="5" t="s">
        <v>1189</v>
      </c>
      <c r="M570" s="5" t="s">
        <v>1276</v>
      </c>
    </row>
    <row r="571" spans="3:13" x14ac:dyDescent="0.35">
      <c r="C571" s="5"/>
      <c r="D571" s="5" t="s">
        <v>608</v>
      </c>
      <c r="E571" s="5">
        <v>500017527</v>
      </c>
      <c r="F571" s="5" t="s">
        <v>906</v>
      </c>
      <c r="G571" s="5"/>
      <c r="H571" s="5"/>
      <c r="I571" s="17"/>
      <c r="J571" s="5"/>
      <c r="K571" s="5"/>
      <c r="L571" s="5"/>
      <c r="M571" s="5" t="s">
        <v>1276</v>
      </c>
    </row>
    <row r="572" spans="3:13" x14ac:dyDescent="0.35">
      <c r="C572" s="5"/>
      <c r="D572" s="5" t="s">
        <v>609</v>
      </c>
      <c r="E572" s="5">
        <v>501226451</v>
      </c>
      <c r="F572" s="5" t="s">
        <v>903</v>
      </c>
      <c r="G572" s="5"/>
      <c r="H572" s="5" t="s">
        <v>609</v>
      </c>
      <c r="I572" s="17">
        <v>7.4962900195628503E+18</v>
      </c>
      <c r="J572" s="5" t="s">
        <v>913</v>
      </c>
      <c r="K572" s="5"/>
      <c r="L572" s="5" t="s">
        <v>1190</v>
      </c>
      <c r="M572" s="5" t="s">
        <v>1276</v>
      </c>
    </row>
    <row r="573" spans="3:13" x14ac:dyDescent="0.35">
      <c r="C573" s="5"/>
      <c r="D573" s="5" t="s">
        <v>610</v>
      </c>
      <c r="E573" s="5">
        <v>502619181</v>
      </c>
      <c r="F573" s="5" t="s">
        <v>906</v>
      </c>
      <c r="G573" s="5"/>
      <c r="H573" s="5" t="s">
        <v>610</v>
      </c>
      <c r="I573" s="17">
        <v>7.4961831981512397E+18</v>
      </c>
      <c r="J573" s="5"/>
      <c r="K573" s="5"/>
      <c r="L573" s="5"/>
      <c r="M573" s="5" t="s">
        <v>1276</v>
      </c>
    </row>
    <row r="574" spans="3:13" x14ac:dyDescent="0.35">
      <c r="C574" s="5"/>
      <c r="D574" s="5" t="s">
        <v>611</v>
      </c>
      <c r="E574" s="5">
        <v>504894896</v>
      </c>
      <c r="F574" s="5" t="s">
        <v>906</v>
      </c>
      <c r="G574" s="5"/>
      <c r="H574" s="5" t="s">
        <v>611</v>
      </c>
      <c r="I574" s="17">
        <v>7.4961862859874304E+18</v>
      </c>
      <c r="J574" s="5"/>
      <c r="K574" s="5"/>
      <c r="L574" s="5"/>
      <c r="M574" s="5" t="s">
        <v>1276</v>
      </c>
    </row>
    <row r="575" spans="3:13" x14ac:dyDescent="0.35">
      <c r="C575" s="5"/>
      <c r="D575" s="5" t="s">
        <v>612</v>
      </c>
      <c r="E575" s="5">
        <v>508218945</v>
      </c>
      <c r="F575" s="5" t="s">
        <v>903</v>
      </c>
      <c r="G575" s="5"/>
      <c r="H575" s="5" t="s">
        <v>612</v>
      </c>
      <c r="I575" s="17">
        <v>7.4961828865769103E+18</v>
      </c>
      <c r="J575" s="5"/>
      <c r="K575" s="5"/>
      <c r="L575" s="5"/>
      <c r="M575" s="5" t="s">
        <v>1276</v>
      </c>
    </row>
    <row r="576" spans="3:13" x14ac:dyDescent="0.35">
      <c r="C576" s="5"/>
      <c r="D576" s="5" t="s">
        <v>613</v>
      </c>
      <c r="E576" s="5">
        <v>511410160</v>
      </c>
      <c r="F576" s="5" t="s">
        <v>905</v>
      </c>
      <c r="G576" s="5"/>
      <c r="H576" s="5" t="s">
        <v>613</v>
      </c>
      <c r="I576" s="17">
        <v>7.4961703933924803E+18</v>
      </c>
      <c r="J576" s="5" t="s">
        <v>916</v>
      </c>
      <c r="K576" s="5"/>
      <c r="L576" s="5" t="s">
        <v>1191</v>
      </c>
      <c r="M576" s="5" t="s">
        <v>1276</v>
      </c>
    </row>
    <row r="577" spans="3:13" x14ac:dyDescent="0.35">
      <c r="C577" s="5"/>
      <c r="D577" s="5" t="s">
        <v>614</v>
      </c>
      <c r="E577" s="5">
        <v>511419479</v>
      </c>
      <c r="F577" s="5" t="s">
        <v>906</v>
      </c>
      <c r="G577" s="5"/>
      <c r="H577" s="5" t="s">
        <v>614</v>
      </c>
      <c r="I577" s="17">
        <v>7.4961835381722604E+18</v>
      </c>
      <c r="J577" s="5" t="s">
        <v>908</v>
      </c>
      <c r="K577" s="5"/>
      <c r="L577" s="5"/>
      <c r="M577" s="5" t="s">
        <v>1276</v>
      </c>
    </row>
    <row r="578" spans="3:13" x14ac:dyDescent="0.35">
      <c r="C578" s="5"/>
      <c r="D578" s="5" t="s">
        <v>615</v>
      </c>
      <c r="E578" s="5">
        <v>512962451</v>
      </c>
      <c r="F578" s="5" t="s">
        <v>906</v>
      </c>
      <c r="G578" s="5"/>
      <c r="H578" s="5" t="s">
        <v>615</v>
      </c>
      <c r="I578" s="17">
        <v>7.4941319986122895E+18</v>
      </c>
      <c r="J578" s="5" t="s">
        <v>911</v>
      </c>
      <c r="K578" s="5"/>
      <c r="L578" s="5" t="s">
        <v>1192</v>
      </c>
      <c r="M578" s="5" t="s">
        <v>1276</v>
      </c>
    </row>
    <row r="579" spans="3:13" x14ac:dyDescent="0.35">
      <c r="C579" s="5"/>
      <c r="D579" s="5" t="s">
        <v>616</v>
      </c>
      <c r="E579" s="5">
        <v>515953498</v>
      </c>
      <c r="F579" s="5" t="s">
        <v>903</v>
      </c>
      <c r="G579" s="5"/>
      <c r="H579" s="5" t="s">
        <v>616</v>
      </c>
      <c r="I579" s="17">
        <v>7.4962909812274299E+18</v>
      </c>
      <c r="J579" s="5" t="s">
        <v>933</v>
      </c>
      <c r="K579" s="5"/>
      <c r="L579" s="5" t="s">
        <v>1193</v>
      </c>
      <c r="M579" s="5" t="s">
        <v>1276</v>
      </c>
    </row>
    <row r="580" spans="3:13" x14ac:dyDescent="0.35">
      <c r="C580" s="5"/>
      <c r="D580" s="5" t="s">
        <v>617</v>
      </c>
      <c r="E580" s="5">
        <v>516145066</v>
      </c>
      <c r="F580" s="5" t="s">
        <v>906</v>
      </c>
      <c r="G580" s="5"/>
      <c r="H580" s="5" t="s">
        <v>617</v>
      </c>
      <c r="I580" s="17">
        <v>7.4962199072396104E+18</v>
      </c>
      <c r="J580" s="5"/>
      <c r="K580" s="5"/>
      <c r="L580" s="5"/>
      <c r="M580" s="5" t="s">
        <v>1276</v>
      </c>
    </row>
    <row r="581" spans="3:13" x14ac:dyDescent="0.35">
      <c r="C581" s="5"/>
      <c r="D581" s="5" t="s">
        <v>618</v>
      </c>
      <c r="E581" s="5">
        <v>524015837</v>
      </c>
      <c r="F581" s="5" t="s">
        <v>905</v>
      </c>
      <c r="G581" s="5"/>
      <c r="H581" s="5" t="s">
        <v>618</v>
      </c>
      <c r="I581" s="17">
        <v>7.4961791983471503E+18</v>
      </c>
      <c r="J581" s="5"/>
      <c r="K581" s="5"/>
      <c r="L581" s="5"/>
      <c r="M581" s="5" t="s">
        <v>1276</v>
      </c>
    </row>
    <row r="582" spans="3:13" x14ac:dyDescent="0.35">
      <c r="C582" s="5"/>
      <c r="D582" s="5" t="s">
        <v>619</v>
      </c>
      <c r="E582" s="5">
        <v>526615488</v>
      </c>
      <c r="F582" s="5" t="s">
        <v>906</v>
      </c>
      <c r="G582" s="5"/>
      <c r="H582" s="5" t="s">
        <v>619</v>
      </c>
      <c r="I582" s="17">
        <v>7.4962211813104302E+18</v>
      </c>
      <c r="J582" s="5"/>
      <c r="K582" s="5"/>
      <c r="L582" s="5"/>
      <c r="M582" s="5" t="s">
        <v>1276</v>
      </c>
    </row>
    <row r="583" spans="3:13" x14ac:dyDescent="0.35">
      <c r="C583" s="5"/>
      <c r="D583" s="5" t="s">
        <v>620</v>
      </c>
      <c r="E583" s="5">
        <v>527198634</v>
      </c>
      <c r="F583" s="5" t="s">
        <v>903</v>
      </c>
      <c r="G583" s="5"/>
      <c r="H583" s="5"/>
      <c r="I583" s="17"/>
      <c r="J583" s="5"/>
      <c r="K583" s="5"/>
      <c r="L583" s="5"/>
      <c r="M583" s="5" t="s">
        <v>1276</v>
      </c>
    </row>
    <row r="584" spans="3:13" x14ac:dyDescent="0.35">
      <c r="C584" s="5"/>
      <c r="D584" s="5" t="s">
        <v>621</v>
      </c>
      <c r="E584" s="5">
        <v>527346818</v>
      </c>
      <c r="F584" s="5" t="s">
        <v>903</v>
      </c>
      <c r="G584" s="5"/>
      <c r="H584" s="5"/>
      <c r="I584" s="17"/>
      <c r="J584" s="5"/>
      <c r="K584" s="5"/>
      <c r="L584" s="5"/>
      <c r="M584" s="5" t="s">
        <v>1276</v>
      </c>
    </row>
    <row r="585" spans="3:13" x14ac:dyDescent="0.35">
      <c r="C585" s="5"/>
      <c r="D585" s="5" t="s">
        <v>622</v>
      </c>
      <c r="E585" s="5">
        <v>527567229</v>
      </c>
      <c r="F585" s="5" t="s">
        <v>906</v>
      </c>
      <c r="G585" s="5"/>
      <c r="H585" s="5" t="s">
        <v>622</v>
      </c>
      <c r="I585" s="17">
        <v>7.4961846535093299E+18</v>
      </c>
      <c r="J585" s="5" t="s">
        <v>908</v>
      </c>
      <c r="K585" s="5"/>
      <c r="L585" s="5" t="s">
        <v>1194</v>
      </c>
      <c r="M585" s="5" t="s">
        <v>1276</v>
      </c>
    </row>
    <row r="586" spans="3:13" x14ac:dyDescent="0.35">
      <c r="C586" s="5"/>
      <c r="D586" s="5" t="s">
        <v>623</v>
      </c>
      <c r="E586" s="5">
        <v>531238819</v>
      </c>
      <c r="F586" s="5" t="s">
        <v>904</v>
      </c>
      <c r="G586" s="5"/>
      <c r="H586" s="5" t="s">
        <v>623</v>
      </c>
      <c r="I586" s="17">
        <v>7.49618341806575E+18</v>
      </c>
      <c r="J586" s="5" t="s">
        <v>926</v>
      </c>
      <c r="K586" s="5"/>
      <c r="L586" s="5" t="s">
        <v>1195</v>
      </c>
      <c r="M586" s="5" t="s">
        <v>1276</v>
      </c>
    </row>
    <row r="587" spans="3:13" x14ac:dyDescent="0.35">
      <c r="C587" s="5"/>
      <c r="D587" s="5" t="s">
        <v>624</v>
      </c>
      <c r="E587" s="5">
        <v>532620463</v>
      </c>
      <c r="F587" s="5" t="s">
        <v>903</v>
      </c>
      <c r="G587" s="5"/>
      <c r="H587" s="5"/>
      <c r="I587" s="17"/>
      <c r="J587" s="5"/>
      <c r="K587" s="5"/>
      <c r="L587" s="5"/>
      <c r="M587" s="5" t="s">
        <v>1276</v>
      </c>
    </row>
    <row r="588" spans="3:13" x14ac:dyDescent="0.35">
      <c r="C588" s="5"/>
      <c r="D588" s="5" t="s">
        <v>625</v>
      </c>
      <c r="E588" s="5">
        <v>534017701</v>
      </c>
      <c r="F588" s="5" t="s">
        <v>903</v>
      </c>
      <c r="G588" s="5"/>
      <c r="H588" s="5" t="s">
        <v>625</v>
      </c>
      <c r="I588" s="17">
        <v>7.4961624651833303E+18</v>
      </c>
      <c r="J588" s="5" t="s">
        <v>913</v>
      </c>
      <c r="K588" s="5"/>
      <c r="L588" s="5" t="s">
        <v>1196</v>
      </c>
      <c r="M588" s="5" t="s">
        <v>1276</v>
      </c>
    </row>
    <row r="589" spans="3:13" x14ac:dyDescent="0.35">
      <c r="C589" s="5"/>
      <c r="D589" s="5" t="s">
        <v>626</v>
      </c>
      <c r="E589" s="5">
        <v>534109767</v>
      </c>
      <c r="F589" s="5" t="s">
        <v>905</v>
      </c>
      <c r="G589" s="5"/>
      <c r="H589" s="5" t="s">
        <v>626</v>
      </c>
      <c r="I589" s="17">
        <v>7.4961521476441498E+18</v>
      </c>
      <c r="J589" s="5" t="s">
        <v>916</v>
      </c>
      <c r="K589" s="5"/>
      <c r="L589" s="5" t="s">
        <v>1197</v>
      </c>
      <c r="M589" s="5" t="s">
        <v>1276</v>
      </c>
    </row>
    <row r="590" spans="3:13" x14ac:dyDescent="0.35">
      <c r="C590" s="5"/>
      <c r="D590" s="5" t="s">
        <v>627</v>
      </c>
      <c r="E590" s="5">
        <v>539941264</v>
      </c>
      <c r="F590" s="5" t="s">
        <v>903</v>
      </c>
      <c r="G590" s="5"/>
      <c r="H590" s="5" t="s">
        <v>627</v>
      </c>
      <c r="I590" s="17">
        <v>7.4961818990207601E+18</v>
      </c>
      <c r="J590" s="5"/>
      <c r="K590" s="5"/>
      <c r="L590" s="5"/>
      <c r="M590" s="5" t="s">
        <v>1276</v>
      </c>
    </row>
    <row r="591" spans="3:13" x14ac:dyDescent="0.35">
      <c r="C591" s="5"/>
      <c r="D591" s="5" t="s">
        <v>628</v>
      </c>
      <c r="E591" s="5">
        <v>539970515</v>
      </c>
      <c r="F591" s="5" t="s">
        <v>905</v>
      </c>
      <c r="G591" s="5"/>
      <c r="H591" s="5" t="s">
        <v>628</v>
      </c>
      <c r="I591" s="17">
        <v>7.49624728111458E+18</v>
      </c>
      <c r="J591" s="5"/>
      <c r="K591" s="5"/>
      <c r="L591" s="5"/>
      <c r="M591" s="5" t="s">
        <v>1276</v>
      </c>
    </row>
    <row r="592" spans="3:13" x14ac:dyDescent="0.35">
      <c r="C592" s="5"/>
      <c r="D592" s="5" t="s">
        <v>629</v>
      </c>
      <c r="E592" s="5">
        <v>542974007</v>
      </c>
      <c r="F592" s="5" t="s">
        <v>903</v>
      </c>
      <c r="G592" s="5"/>
      <c r="H592" s="5" t="s">
        <v>629</v>
      </c>
      <c r="I592" s="17">
        <v>7.4961608419157903E+18</v>
      </c>
      <c r="J592" s="5"/>
      <c r="K592" s="5"/>
      <c r="L592" s="5"/>
      <c r="M592" s="5" t="s">
        <v>1276</v>
      </c>
    </row>
    <row r="593" spans="3:13" x14ac:dyDescent="0.35">
      <c r="C593" s="5"/>
      <c r="D593" s="5" t="s">
        <v>630</v>
      </c>
      <c r="E593" s="5">
        <v>544014438</v>
      </c>
      <c r="F593" s="5" t="s">
        <v>903</v>
      </c>
      <c r="G593" s="5"/>
      <c r="H593" s="5" t="s">
        <v>630</v>
      </c>
      <c r="I593" s="17">
        <v>7.4961635445642701E+18</v>
      </c>
      <c r="J593" s="5" t="s">
        <v>939</v>
      </c>
      <c r="K593" s="5"/>
      <c r="L593" s="5" t="s">
        <v>1198</v>
      </c>
      <c r="M593" s="5" t="s">
        <v>1276</v>
      </c>
    </row>
    <row r="594" spans="3:13" x14ac:dyDescent="0.35">
      <c r="C594" s="5"/>
      <c r="D594" s="5" t="s">
        <v>631</v>
      </c>
      <c r="E594" s="5">
        <v>552896405</v>
      </c>
      <c r="F594" s="5" t="s">
        <v>905</v>
      </c>
      <c r="G594" s="5"/>
      <c r="H594" s="5" t="s">
        <v>631</v>
      </c>
      <c r="I594" s="17">
        <v>7.4962600104376699E+18</v>
      </c>
      <c r="J594" s="5"/>
      <c r="K594" s="5"/>
      <c r="L594" s="5"/>
      <c r="M594" s="5" t="s">
        <v>1276</v>
      </c>
    </row>
    <row r="595" spans="3:13" x14ac:dyDescent="0.35">
      <c r="C595" s="5"/>
      <c r="D595" s="5" t="s">
        <v>632</v>
      </c>
      <c r="E595" s="5">
        <v>552958714</v>
      </c>
      <c r="F595" s="5" t="s">
        <v>905</v>
      </c>
      <c r="G595" s="5"/>
      <c r="H595" s="5" t="s">
        <v>632</v>
      </c>
      <c r="I595" s="17">
        <v>7.4961889087276595E+18</v>
      </c>
      <c r="J595" s="5" t="s">
        <v>911</v>
      </c>
      <c r="K595" s="5"/>
      <c r="L595" s="5" t="s">
        <v>1199</v>
      </c>
      <c r="M595" s="5" t="s">
        <v>1276</v>
      </c>
    </row>
    <row r="596" spans="3:13" x14ac:dyDescent="0.35">
      <c r="C596" s="5"/>
      <c r="D596" s="5" t="s">
        <v>633</v>
      </c>
      <c r="E596" s="5">
        <v>554426634</v>
      </c>
      <c r="F596" s="5" t="s">
        <v>903</v>
      </c>
      <c r="G596" s="5"/>
      <c r="H596" s="5" t="s">
        <v>633</v>
      </c>
      <c r="I596" s="17">
        <v>7.4961528356929198E+18</v>
      </c>
      <c r="J596" s="5" t="s">
        <v>910</v>
      </c>
      <c r="K596" s="5"/>
      <c r="L596" s="5" t="s">
        <v>1200</v>
      </c>
      <c r="M596" s="5" t="s">
        <v>1276</v>
      </c>
    </row>
    <row r="597" spans="3:13" x14ac:dyDescent="0.35">
      <c r="C597" s="5"/>
      <c r="D597" s="5" t="s">
        <v>634</v>
      </c>
      <c r="E597" s="5">
        <v>554656453</v>
      </c>
      <c r="F597" s="5" t="s">
        <v>904</v>
      </c>
      <c r="G597" s="5"/>
      <c r="H597" s="5" t="s">
        <v>634</v>
      </c>
      <c r="I597" s="17">
        <v>7.4941516943399598E+18</v>
      </c>
      <c r="J597" s="5"/>
      <c r="K597" s="5"/>
      <c r="L597" s="5"/>
      <c r="M597" s="5" t="s">
        <v>1276</v>
      </c>
    </row>
    <row r="598" spans="3:13" x14ac:dyDescent="0.35">
      <c r="C598" s="5"/>
      <c r="D598" s="5" t="s">
        <v>635</v>
      </c>
      <c r="E598" s="5">
        <v>555452587</v>
      </c>
      <c r="F598" s="5" t="s">
        <v>906</v>
      </c>
      <c r="G598" s="5"/>
      <c r="H598" s="5" t="s">
        <v>635</v>
      </c>
      <c r="I598" s="17">
        <v>7.4961531103216599E+18</v>
      </c>
      <c r="J598" s="5" t="s">
        <v>908</v>
      </c>
      <c r="K598" s="5"/>
      <c r="L598" s="5" t="s">
        <v>1201</v>
      </c>
      <c r="M598" s="5" t="s">
        <v>1276</v>
      </c>
    </row>
    <row r="599" spans="3:13" x14ac:dyDescent="0.35">
      <c r="C599" s="5"/>
      <c r="D599" s="5" t="s">
        <v>636</v>
      </c>
      <c r="E599" s="5">
        <v>556314920</v>
      </c>
      <c r="F599" s="5" t="s">
        <v>906</v>
      </c>
      <c r="G599" s="5"/>
      <c r="H599" s="5"/>
      <c r="I599" s="17"/>
      <c r="J599" s="5"/>
      <c r="K599" s="5"/>
      <c r="L599" s="5"/>
      <c r="M599" s="5" t="s">
        <v>1276</v>
      </c>
    </row>
    <row r="600" spans="3:13" x14ac:dyDescent="0.35">
      <c r="C600" s="5"/>
      <c r="D600" s="5" t="s">
        <v>637</v>
      </c>
      <c r="E600" s="5">
        <v>562043869</v>
      </c>
      <c r="F600" s="5" t="s">
        <v>903</v>
      </c>
      <c r="G600" s="5"/>
      <c r="H600" s="5" t="s">
        <v>637</v>
      </c>
      <c r="I600" s="17">
        <v>7.4962794101044296E+18</v>
      </c>
      <c r="J600" s="5" t="s">
        <v>969</v>
      </c>
      <c r="K600" s="5"/>
      <c r="L600" s="5" t="s">
        <v>1202</v>
      </c>
      <c r="M600" s="5" t="s">
        <v>1276</v>
      </c>
    </row>
    <row r="601" spans="3:13" x14ac:dyDescent="0.35">
      <c r="C601" s="5"/>
      <c r="D601" s="5" t="s">
        <v>638</v>
      </c>
      <c r="E601" s="5">
        <v>563103782</v>
      </c>
      <c r="F601" s="5" t="s">
        <v>904</v>
      </c>
      <c r="G601" s="5"/>
      <c r="H601" s="5" t="s">
        <v>638</v>
      </c>
      <c r="I601" s="17">
        <v>7.4961822353332296E+18</v>
      </c>
      <c r="J601" s="5" t="s">
        <v>928</v>
      </c>
      <c r="K601" s="5"/>
      <c r="L601" s="5" t="s">
        <v>1203</v>
      </c>
      <c r="M601" s="5" t="s">
        <v>1276</v>
      </c>
    </row>
    <row r="602" spans="3:13" x14ac:dyDescent="0.35">
      <c r="C602" s="5"/>
      <c r="D602" s="5" t="s">
        <v>639</v>
      </c>
      <c r="E602" s="5">
        <v>568147444</v>
      </c>
      <c r="F602" s="5" t="s">
        <v>903</v>
      </c>
      <c r="G602" s="5"/>
      <c r="H602" s="5" t="s">
        <v>639</v>
      </c>
      <c r="I602" s="17">
        <v>7.4961634011111404E+18</v>
      </c>
      <c r="J602" s="5" t="s">
        <v>913</v>
      </c>
      <c r="K602" s="5"/>
      <c r="L602" s="5"/>
      <c r="M602" s="5" t="s">
        <v>1276</v>
      </c>
    </row>
    <row r="603" spans="3:13" x14ac:dyDescent="0.35">
      <c r="C603" s="5"/>
      <c r="D603" s="5" t="s">
        <v>640</v>
      </c>
      <c r="E603" s="5">
        <v>581972900</v>
      </c>
      <c r="F603" s="5" t="s">
        <v>903</v>
      </c>
      <c r="G603" s="5"/>
      <c r="H603" s="5" t="s">
        <v>640</v>
      </c>
      <c r="I603" s="17">
        <v>7.4961911224520796E+18</v>
      </c>
      <c r="J603" s="5" t="s">
        <v>969</v>
      </c>
      <c r="K603" s="5"/>
      <c r="L603" s="5" t="s">
        <v>1204</v>
      </c>
      <c r="M603" s="5" t="s">
        <v>1276</v>
      </c>
    </row>
    <row r="604" spans="3:13" x14ac:dyDescent="0.35">
      <c r="C604" s="5"/>
      <c r="D604" s="5" t="s">
        <v>641</v>
      </c>
      <c r="E604" s="5">
        <v>582502779</v>
      </c>
      <c r="F604" s="5" t="s">
        <v>903</v>
      </c>
      <c r="G604" s="5"/>
      <c r="H604" s="5" t="s">
        <v>641</v>
      </c>
      <c r="I604" s="17">
        <v>7.49616332469918E+18</v>
      </c>
      <c r="J604" s="5" t="s">
        <v>913</v>
      </c>
      <c r="K604" s="5"/>
      <c r="L604" s="5" t="s">
        <v>1205</v>
      </c>
      <c r="M604" s="5" t="s">
        <v>1276</v>
      </c>
    </row>
    <row r="605" spans="3:13" x14ac:dyDescent="0.35">
      <c r="C605" s="5"/>
      <c r="D605" s="5" t="s">
        <v>642</v>
      </c>
      <c r="E605" s="5">
        <v>587458726</v>
      </c>
      <c r="F605" s="5" t="s">
        <v>904</v>
      </c>
      <c r="G605" s="5"/>
      <c r="H605" s="5" t="s">
        <v>642</v>
      </c>
      <c r="I605" s="17">
        <v>7.4961865478047304E+18</v>
      </c>
      <c r="J605" s="5" t="s">
        <v>926</v>
      </c>
      <c r="K605" s="5"/>
      <c r="L605" s="5"/>
      <c r="M605" s="5" t="s">
        <v>1276</v>
      </c>
    </row>
    <row r="606" spans="3:13" x14ac:dyDescent="0.35">
      <c r="C606" s="5"/>
      <c r="D606" s="5" t="s">
        <v>643</v>
      </c>
      <c r="E606" s="5">
        <v>587536904</v>
      </c>
      <c r="F606" s="5" t="s">
        <v>905</v>
      </c>
      <c r="G606" s="5"/>
      <c r="H606" s="5"/>
      <c r="I606" s="17"/>
      <c r="J606" s="5"/>
      <c r="K606" s="5"/>
      <c r="L606" s="5"/>
      <c r="M606" s="5" t="s">
        <v>1276</v>
      </c>
    </row>
    <row r="607" spans="3:13" x14ac:dyDescent="0.35">
      <c r="C607" s="5"/>
      <c r="D607" s="5" t="s">
        <v>644</v>
      </c>
      <c r="E607" s="5">
        <v>590162944</v>
      </c>
      <c r="F607" s="5" t="s">
        <v>903</v>
      </c>
      <c r="G607" s="5"/>
      <c r="H607" s="5" t="s">
        <v>644</v>
      </c>
      <c r="I607" s="17">
        <v>7.4962016119676201E+18</v>
      </c>
      <c r="J607" s="5" t="s">
        <v>913</v>
      </c>
      <c r="K607" s="5"/>
      <c r="L607" s="5"/>
      <c r="M607" s="5" t="s">
        <v>1276</v>
      </c>
    </row>
    <row r="608" spans="3:13" x14ac:dyDescent="0.35">
      <c r="C608" s="5"/>
      <c r="D608" s="5" t="s">
        <v>645</v>
      </c>
      <c r="E608" s="5">
        <v>591703422</v>
      </c>
      <c r="F608" s="5" t="s">
        <v>907</v>
      </c>
      <c r="G608" s="5"/>
      <c r="H608" s="5" t="s">
        <v>645</v>
      </c>
      <c r="I608" s="17">
        <v>7.4962288461054904E+18</v>
      </c>
      <c r="J608" s="5" t="s">
        <v>908</v>
      </c>
      <c r="K608" s="5"/>
      <c r="L608" s="5" t="s">
        <v>1206</v>
      </c>
      <c r="M608" s="5" t="s">
        <v>1276</v>
      </c>
    </row>
    <row r="609" spans="3:13" x14ac:dyDescent="0.35">
      <c r="C609" s="5"/>
      <c r="D609" s="5" t="s">
        <v>646</v>
      </c>
      <c r="E609" s="5">
        <v>594157579</v>
      </c>
      <c r="F609" s="5" t="s">
        <v>905</v>
      </c>
      <c r="G609" s="5"/>
      <c r="H609" s="5" t="s">
        <v>646</v>
      </c>
      <c r="I609" s="17">
        <v>7.4961820434001705E+18</v>
      </c>
      <c r="J609" s="5"/>
      <c r="K609" s="5"/>
      <c r="L609" s="5"/>
      <c r="M609" s="5" t="s">
        <v>1276</v>
      </c>
    </row>
    <row r="610" spans="3:13" x14ac:dyDescent="0.35">
      <c r="C610" s="5"/>
      <c r="D610" s="5" t="s">
        <v>647</v>
      </c>
      <c r="E610" s="5">
        <v>594180718</v>
      </c>
      <c r="F610" s="5" t="s">
        <v>905</v>
      </c>
      <c r="G610" s="5"/>
      <c r="H610" s="5" t="s">
        <v>647</v>
      </c>
      <c r="I610" s="17">
        <v>7.4941455733430999E+18</v>
      </c>
      <c r="J610" s="5" t="s">
        <v>916</v>
      </c>
      <c r="K610" s="5"/>
      <c r="L610" s="5" t="s">
        <v>1207</v>
      </c>
      <c r="M610" s="5" t="s">
        <v>1276</v>
      </c>
    </row>
    <row r="611" spans="3:13" x14ac:dyDescent="0.35">
      <c r="C611" s="5"/>
      <c r="D611" s="5" t="s">
        <v>648</v>
      </c>
      <c r="E611" s="5">
        <v>599271358</v>
      </c>
      <c r="F611" s="5" t="s">
        <v>905</v>
      </c>
      <c r="G611" s="5"/>
      <c r="H611" s="5" t="s">
        <v>648</v>
      </c>
      <c r="I611" s="17">
        <v>7.4961614221913303E+18</v>
      </c>
      <c r="J611" s="5" t="s">
        <v>911</v>
      </c>
      <c r="K611" s="5"/>
      <c r="L611" s="5" t="s">
        <v>1208</v>
      </c>
      <c r="M611" s="5" t="s">
        <v>1276</v>
      </c>
    </row>
    <row r="612" spans="3:13" x14ac:dyDescent="0.35">
      <c r="C612" s="5"/>
      <c r="D612" s="5" t="s">
        <v>649</v>
      </c>
      <c r="E612" s="5">
        <v>607777600</v>
      </c>
      <c r="F612" s="5" t="s">
        <v>906</v>
      </c>
      <c r="G612" s="5"/>
      <c r="H612" s="5"/>
      <c r="I612" s="17"/>
      <c r="J612" s="5"/>
      <c r="K612" s="5"/>
      <c r="L612" s="5"/>
      <c r="M612" s="5" t="s">
        <v>1276</v>
      </c>
    </row>
    <row r="613" spans="3:13" x14ac:dyDescent="0.35">
      <c r="C613" s="5"/>
      <c r="D613" s="5" t="s">
        <v>650</v>
      </c>
      <c r="E613" s="5">
        <v>609249950</v>
      </c>
      <c r="F613" s="5" t="s">
        <v>906</v>
      </c>
      <c r="G613" s="5"/>
      <c r="H613" s="5" t="s">
        <v>650</v>
      </c>
      <c r="I613" s="17">
        <v>7.4949997482733998E+18</v>
      </c>
      <c r="J613" s="5"/>
      <c r="K613" s="5"/>
      <c r="L613" s="5"/>
      <c r="M613" s="5" t="s">
        <v>1276</v>
      </c>
    </row>
    <row r="614" spans="3:13" x14ac:dyDescent="0.35">
      <c r="C614" s="5"/>
      <c r="D614" s="5" t="s">
        <v>651</v>
      </c>
      <c r="E614" s="5">
        <v>616222685</v>
      </c>
      <c r="F614" s="5" t="s">
        <v>906</v>
      </c>
      <c r="G614" s="5"/>
      <c r="H614" s="5" t="s">
        <v>651</v>
      </c>
      <c r="I614" s="17">
        <v>7.4961530302271601E+18</v>
      </c>
      <c r="J614" s="5" t="s">
        <v>908</v>
      </c>
      <c r="K614" s="5"/>
      <c r="L614" s="5" t="s">
        <v>1209</v>
      </c>
      <c r="M614" s="5" t="s">
        <v>1276</v>
      </c>
    </row>
    <row r="615" spans="3:13" x14ac:dyDescent="0.35">
      <c r="C615" s="5"/>
      <c r="D615" s="5" t="s">
        <v>652</v>
      </c>
      <c r="E615" s="5">
        <v>619642609</v>
      </c>
      <c r="F615" s="5" t="s">
        <v>905</v>
      </c>
      <c r="G615" s="5"/>
      <c r="H615" s="5" t="s">
        <v>652</v>
      </c>
      <c r="I615" s="17">
        <v>7.4962287227344998E+18</v>
      </c>
      <c r="J615" s="5" t="s">
        <v>928</v>
      </c>
      <c r="K615" s="5"/>
      <c r="L615" s="5"/>
      <c r="M615" s="5" t="s">
        <v>1276</v>
      </c>
    </row>
    <row r="616" spans="3:13" x14ac:dyDescent="0.35">
      <c r="C616" s="5"/>
      <c r="D616" s="5" t="s">
        <v>653</v>
      </c>
      <c r="E616" s="5">
        <v>627750190</v>
      </c>
      <c r="F616" s="5" t="s">
        <v>904</v>
      </c>
      <c r="G616" s="5"/>
      <c r="H616" s="5" t="s">
        <v>653</v>
      </c>
      <c r="I616" s="17">
        <v>7.4961686446628198E+18</v>
      </c>
      <c r="J616" s="5"/>
      <c r="K616" s="5"/>
      <c r="L616" s="5"/>
      <c r="M616" s="5" t="s">
        <v>1276</v>
      </c>
    </row>
    <row r="617" spans="3:13" x14ac:dyDescent="0.35">
      <c r="C617" s="5"/>
      <c r="D617" s="5" t="s">
        <v>654</v>
      </c>
      <c r="E617" s="5">
        <v>631587058</v>
      </c>
      <c r="F617" s="5" t="s">
        <v>905</v>
      </c>
      <c r="G617" s="5"/>
      <c r="H617" s="5" t="s">
        <v>654</v>
      </c>
      <c r="I617" s="17">
        <v>7.4961830618239099E+18</v>
      </c>
      <c r="J617" s="5" t="s">
        <v>916</v>
      </c>
      <c r="K617" s="5"/>
      <c r="L617" s="5" t="s">
        <v>1210</v>
      </c>
      <c r="M617" s="5" t="s">
        <v>1276</v>
      </c>
    </row>
    <row r="618" spans="3:13" x14ac:dyDescent="0.35">
      <c r="C618" s="5"/>
      <c r="D618" s="5" t="s">
        <v>655</v>
      </c>
      <c r="E618" s="5">
        <v>633539708</v>
      </c>
      <c r="F618" s="5" t="s">
        <v>905</v>
      </c>
      <c r="G618" s="5"/>
      <c r="H618" s="5" t="s">
        <v>655</v>
      </c>
      <c r="I618" s="17">
        <v>7.4962526539448003E+18</v>
      </c>
      <c r="J618" s="5" t="s">
        <v>916</v>
      </c>
      <c r="K618" s="5"/>
      <c r="L618" s="5" t="s">
        <v>1211</v>
      </c>
      <c r="M618" s="5" t="s">
        <v>1276</v>
      </c>
    </row>
    <row r="619" spans="3:13" x14ac:dyDescent="0.35">
      <c r="C619" s="5"/>
      <c r="D619" s="5" t="s">
        <v>656</v>
      </c>
      <c r="E619" s="5">
        <v>643719371</v>
      </c>
      <c r="F619" s="5" t="s">
        <v>905</v>
      </c>
      <c r="G619" s="5"/>
      <c r="H619" s="5" t="s">
        <v>656</v>
      </c>
      <c r="I619" s="17">
        <v>7.4961840319018701E+18</v>
      </c>
      <c r="J619" s="5"/>
      <c r="K619" s="5"/>
      <c r="L619" s="5"/>
      <c r="M619" s="5" t="s">
        <v>1276</v>
      </c>
    </row>
    <row r="620" spans="3:13" x14ac:dyDescent="0.35">
      <c r="C620" s="5"/>
      <c r="D620" s="5" t="s">
        <v>657</v>
      </c>
      <c r="E620" s="5">
        <v>644980753</v>
      </c>
      <c r="F620" s="5" t="s">
        <v>906</v>
      </c>
      <c r="G620" s="5"/>
      <c r="H620" s="5" t="s">
        <v>657</v>
      </c>
      <c r="I620" s="17">
        <v>7.49627254141986E+18</v>
      </c>
      <c r="J620" s="5"/>
      <c r="K620" s="5"/>
      <c r="L620" s="5"/>
      <c r="M620" s="5" t="s">
        <v>1276</v>
      </c>
    </row>
    <row r="621" spans="3:13" x14ac:dyDescent="0.35">
      <c r="C621" s="5"/>
      <c r="D621" s="5" t="s">
        <v>658</v>
      </c>
      <c r="E621" s="5">
        <v>645740365</v>
      </c>
      <c r="F621" s="5" t="s">
        <v>905</v>
      </c>
      <c r="G621" s="5"/>
      <c r="H621" s="5"/>
      <c r="I621" s="17"/>
      <c r="J621" s="5"/>
      <c r="K621" s="5"/>
      <c r="L621" s="5"/>
      <c r="M621" s="5" t="s">
        <v>1276</v>
      </c>
    </row>
    <row r="622" spans="3:13" x14ac:dyDescent="0.35">
      <c r="C622" s="5"/>
      <c r="D622" s="5" t="s">
        <v>659</v>
      </c>
      <c r="E622" s="5">
        <v>648811123</v>
      </c>
      <c r="F622" s="5" t="s">
        <v>904</v>
      </c>
      <c r="G622" s="5"/>
      <c r="H622" s="5" t="s">
        <v>659</v>
      </c>
      <c r="I622" s="17">
        <v>7.4961597149853399E+18</v>
      </c>
      <c r="J622" s="5" t="s">
        <v>911</v>
      </c>
      <c r="K622" s="5"/>
      <c r="L622" s="5"/>
      <c r="M622" s="5" t="s">
        <v>1276</v>
      </c>
    </row>
    <row r="623" spans="3:13" x14ac:dyDescent="0.35">
      <c r="C623" s="5"/>
      <c r="D623" s="5" t="s">
        <v>660</v>
      </c>
      <c r="E623" s="5">
        <v>651304190</v>
      </c>
      <c r="F623" s="5" t="s">
        <v>904</v>
      </c>
      <c r="G623" s="5"/>
      <c r="H623" s="5" t="s">
        <v>660</v>
      </c>
      <c r="I623" s="17">
        <v>7.4961625155517501E+18</v>
      </c>
      <c r="J623" s="5" t="s">
        <v>908</v>
      </c>
      <c r="K623" s="5"/>
      <c r="L623" s="5" t="s">
        <v>1212</v>
      </c>
      <c r="M623" s="5" t="s">
        <v>1276</v>
      </c>
    </row>
    <row r="624" spans="3:13" x14ac:dyDescent="0.35">
      <c r="C624" s="5"/>
      <c r="D624" s="5" t="s">
        <v>661</v>
      </c>
      <c r="E624" s="5">
        <v>653062442</v>
      </c>
      <c r="F624" s="5" t="s">
        <v>903</v>
      </c>
      <c r="G624" s="5"/>
      <c r="H624" s="5" t="s">
        <v>661</v>
      </c>
      <c r="I624" s="17">
        <v>7.4961604234137098E+18</v>
      </c>
      <c r="J624" s="5" t="s">
        <v>910</v>
      </c>
      <c r="K624" s="5"/>
      <c r="L624" s="5" t="s">
        <v>1213</v>
      </c>
      <c r="M624" s="5" t="s">
        <v>1276</v>
      </c>
    </row>
    <row r="625" spans="3:13" x14ac:dyDescent="0.35">
      <c r="C625" s="5"/>
      <c r="D625" s="5" t="s">
        <v>662</v>
      </c>
      <c r="E625" s="5">
        <v>654124862</v>
      </c>
      <c r="F625" s="5" t="s">
        <v>903</v>
      </c>
      <c r="G625" s="5"/>
      <c r="H625" s="5" t="s">
        <v>662</v>
      </c>
      <c r="I625" s="17">
        <v>7.49626110045235E+18</v>
      </c>
      <c r="J625" s="5" t="s">
        <v>933</v>
      </c>
      <c r="K625" s="5"/>
      <c r="L625" s="5" t="s">
        <v>1214</v>
      </c>
      <c r="M625" s="5" t="s">
        <v>1276</v>
      </c>
    </row>
    <row r="626" spans="3:13" x14ac:dyDescent="0.35">
      <c r="C626" s="5"/>
      <c r="D626" s="5" t="s">
        <v>663</v>
      </c>
      <c r="E626" s="5">
        <v>654667092</v>
      </c>
      <c r="F626" s="5" t="s">
        <v>903</v>
      </c>
      <c r="G626" s="5"/>
      <c r="H626" s="5" t="s">
        <v>663</v>
      </c>
      <c r="I626" s="17">
        <v>7.4961820422719703E+18</v>
      </c>
      <c r="J626" s="5" t="s">
        <v>910</v>
      </c>
      <c r="K626" s="5"/>
      <c r="L626" s="5"/>
      <c r="M626" s="5" t="s">
        <v>1276</v>
      </c>
    </row>
    <row r="627" spans="3:13" x14ac:dyDescent="0.35">
      <c r="C627" s="5"/>
      <c r="D627" s="5" t="s">
        <v>664</v>
      </c>
      <c r="E627" s="5">
        <v>659435897</v>
      </c>
      <c r="F627" s="5" t="s">
        <v>905</v>
      </c>
      <c r="G627" s="5"/>
      <c r="H627" s="5" t="s">
        <v>664</v>
      </c>
      <c r="I627" s="17">
        <v>7.4961823047646904E+18</v>
      </c>
      <c r="J627" s="5"/>
      <c r="K627" s="5"/>
      <c r="L627" s="5"/>
      <c r="M627" s="5" t="s">
        <v>1276</v>
      </c>
    </row>
    <row r="628" spans="3:13" x14ac:dyDescent="0.35">
      <c r="C628" s="5"/>
      <c r="D628" s="5" t="s">
        <v>665</v>
      </c>
      <c r="E628" s="5">
        <v>660511511</v>
      </c>
      <c r="F628" s="5" t="s">
        <v>905</v>
      </c>
      <c r="G628" s="5"/>
      <c r="H628" s="5" t="s">
        <v>665</v>
      </c>
      <c r="I628" s="17">
        <v>7.49618387273472E+18</v>
      </c>
      <c r="J628" s="5"/>
      <c r="K628" s="5"/>
      <c r="L628" s="5"/>
      <c r="M628" s="5" t="s">
        <v>1276</v>
      </c>
    </row>
    <row r="629" spans="3:13" x14ac:dyDescent="0.35">
      <c r="C629" s="5"/>
      <c r="D629" s="5" t="s">
        <v>666</v>
      </c>
      <c r="E629" s="5">
        <v>662247567</v>
      </c>
      <c r="F629" s="5" t="s">
        <v>906</v>
      </c>
      <c r="G629" s="5"/>
      <c r="H629" s="5"/>
      <c r="I629" s="17"/>
      <c r="J629" s="5"/>
      <c r="K629" s="5"/>
      <c r="L629" s="5"/>
      <c r="M629" s="5" t="s">
        <v>1276</v>
      </c>
    </row>
    <row r="630" spans="3:13" x14ac:dyDescent="0.35">
      <c r="C630" s="5"/>
      <c r="D630" s="5" t="s">
        <v>667</v>
      </c>
      <c r="E630" s="5">
        <v>662618933</v>
      </c>
      <c r="F630" s="5" t="s">
        <v>903</v>
      </c>
      <c r="G630" s="5"/>
      <c r="H630" s="5" t="s">
        <v>667</v>
      </c>
      <c r="I630" s="17">
        <v>7.4961823029968497E+18</v>
      </c>
      <c r="J630" s="5"/>
      <c r="K630" s="5"/>
      <c r="L630" s="5"/>
      <c r="M630" s="5" t="s">
        <v>1276</v>
      </c>
    </row>
    <row r="631" spans="3:13" x14ac:dyDescent="0.35">
      <c r="C631" s="5"/>
      <c r="D631" s="5" t="s">
        <v>668</v>
      </c>
      <c r="E631" s="5">
        <v>667547866</v>
      </c>
      <c r="F631" s="5" t="s">
        <v>903</v>
      </c>
      <c r="G631" s="5"/>
      <c r="H631" s="5"/>
      <c r="I631" s="17"/>
      <c r="J631" s="5"/>
      <c r="K631" s="5"/>
      <c r="L631" s="5"/>
      <c r="M631" s="5" t="s">
        <v>1276</v>
      </c>
    </row>
    <row r="632" spans="3:13" x14ac:dyDescent="0.35">
      <c r="C632" s="5"/>
      <c r="D632" s="5" t="s">
        <v>669</v>
      </c>
      <c r="E632" s="5">
        <v>668638669</v>
      </c>
      <c r="F632" s="5" t="s">
        <v>906</v>
      </c>
      <c r="G632" s="5"/>
      <c r="H632" s="5" t="s">
        <v>669</v>
      </c>
      <c r="I632" s="17">
        <v>7.4961604272580495E+18</v>
      </c>
      <c r="J632" s="5" t="s">
        <v>939</v>
      </c>
      <c r="K632" s="5"/>
      <c r="L632" s="5"/>
      <c r="M632" s="5" t="s">
        <v>1276</v>
      </c>
    </row>
    <row r="633" spans="3:13" x14ac:dyDescent="0.35">
      <c r="C633" s="5"/>
      <c r="D633" s="5" t="s">
        <v>670</v>
      </c>
      <c r="E633" s="5">
        <v>673316979</v>
      </c>
      <c r="F633" s="5" t="s">
        <v>905</v>
      </c>
      <c r="G633" s="5"/>
      <c r="H633" s="5" t="s">
        <v>670</v>
      </c>
      <c r="I633" s="17">
        <v>7.4962535981516401E+18</v>
      </c>
      <c r="J633" s="5" t="s">
        <v>928</v>
      </c>
      <c r="K633" s="5"/>
      <c r="L633" s="5" t="s">
        <v>1215</v>
      </c>
      <c r="M633" s="5" t="s">
        <v>1276</v>
      </c>
    </row>
    <row r="634" spans="3:13" x14ac:dyDescent="0.35">
      <c r="C634" s="5"/>
      <c r="D634" s="5" t="s">
        <v>671</v>
      </c>
      <c r="E634" s="5">
        <v>676651970</v>
      </c>
      <c r="F634" s="5" t="s">
        <v>904</v>
      </c>
      <c r="G634" s="5"/>
      <c r="H634" s="5"/>
      <c r="I634" s="17"/>
      <c r="J634" s="5"/>
      <c r="K634" s="5"/>
      <c r="L634" s="5"/>
      <c r="M634" s="5" t="s">
        <v>1276</v>
      </c>
    </row>
    <row r="635" spans="3:13" x14ac:dyDescent="0.35">
      <c r="C635" s="5"/>
      <c r="D635" s="5" t="s">
        <v>672</v>
      </c>
      <c r="E635" s="5">
        <v>678623539</v>
      </c>
      <c r="F635" s="5" t="s">
        <v>903</v>
      </c>
      <c r="G635" s="5"/>
      <c r="H635" s="5" t="s">
        <v>672</v>
      </c>
      <c r="I635" s="17">
        <v>7.4962041484239503E+18</v>
      </c>
      <c r="J635" s="5" t="s">
        <v>913</v>
      </c>
      <c r="K635" s="5"/>
      <c r="L635" s="5"/>
      <c r="M635" s="5" t="s">
        <v>1276</v>
      </c>
    </row>
    <row r="636" spans="3:13" x14ac:dyDescent="0.35">
      <c r="C636" s="5"/>
      <c r="D636" s="5" t="s">
        <v>673</v>
      </c>
      <c r="E636" s="5">
        <v>681570887</v>
      </c>
      <c r="F636" s="5" t="s">
        <v>906</v>
      </c>
      <c r="G636" s="5"/>
      <c r="H636" s="5" t="s">
        <v>673</v>
      </c>
      <c r="I636" s="17">
        <v>7.4961604653545902E+18</v>
      </c>
      <c r="J636" s="5"/>
      <c r="K636" s="5"/>
      <c r="L636" s="5"/>
      <c r="M636" s="5" t="s">
        <v>1276</v>
      </c>
    </row>
    <row r="637" spans="3:13" x14ac:dyDescent="0.35">
      <c r="C637" s="5"/>
      <c r="D637" s="5" t="s">
        <v>674</v>
      </c>
      <c r="E637" s="5">
        <v>683952730</v>
      </c>
      <c r="F637" s="5" t="s">
        <v>906</v>
      </c>
      <c r="G637" s="5"/>
      <c r="H637" s="5" t="s">
        <v>674</v>
      </c>
      <c r="I637" s="17">
        <v>7.4961829867068099E+18</v>
      </c>
      <c r="J637" s="5" t="s">
        <v>911</v>
      </c>
      <c r="K637" s="5"/>
      <c r="L637" s="5"/>
      <c r="M637" s="5" t="s">
        <v>1276</v>
      </c>
    </row>
    <row r="638" spans="3:13" x14ac:dyDescent="0.35">
      <c r="C638" s="5"/>
      <c r="D638" s="5" t="s">
        <v>675</v>
      </c>
      <c r="E638" s="5">
        <v>684159964</v>
      </c>
      <c r="F638" s="5" t="s">
        <v>904</v>
      </c>
      <c r="G638" s="5"/>
      <c r="H638" s="5" t="s">
        <v>675</v>
      </c>
      <c r="I638" s="17">
        <v>7.4961626052288502E+18</v>
      </c>
      <c r="J638" s="5" t="s">
        <v>926</v>
      </c>
      <c r="K638" s="5"/>
      <c r="L638" s="5" t="s">
        <v>1216</v>
      </c>
      <c r="M638" s="5" t="s">
        <v>1276</v>
      </c>
    </row>
    <row r="639" spans="3:13" x14ac:dyDescent="0.35">
      <c r="C639" s="5"/>
      <c r="D639" s="5" t="s">
        <v>676</v>
      </c>
      <c r="E639" s="5">
        <v>688975125</v>
      </c>
      <c r="F639" s="5" t="s">
        <v>906</v>
      </c>
      <c r="G639" s="5"/>
      <c r="H639" s="5" t="s">
        <v>676</v>
      </c>
      <c r="I639" s="17">
        <v>7.4961802956127304E+18</v>
      </c>
      <c r="J639" s="5" t="s">
        <v>908</v>
      </c>
      <c r="K639" s="5"/>
      <c r="L639" s="5" t="s">
        <v>1217</v>
      </c>
      <c r="M639" s="5" t="s">
        <v>1276</v>
      </c>
    </row>
    <row r="640" spans="3:13" x14ac:dyDescent="0.35">
      <c r="C640" s="5"/>
      <c r="D640" s="5" t="s">
        <v>677</v>
      </c>
      <c r="E640" s="5">
        <v>689225278</v>
      </c>
      <c r="F640" s="5" t="s">
        <v>906</v>
      </c>
      <c r="G640" s="5"/>
      <c r="H640" s="5" t="s">
        <v>677</v>
      </c>
      <c r="I640" s="17">
        <v>7.4962039784191703E+18</v>
      </c>
      <c r="J640" s="5" t="s">
        <v>908</v>
      </c>
      <c r="K640" s="5"/>
      <c r="L640" s="5" t="s">
        <v>1218</v>
      </c>
      <c r="M640" s="5" t="s">
        <v>1276</v>
      </c>
    </row>
    <row r="641" spans="3:13" x14ac:dyDescent="0.35">
      <c r="C641" s="5"/>
      <c r="D641" s="5" t="s">
        <v>678</v>
      </c>
      <c r="E641" s="5">
        <v>690573154</v>
      </c>
      <c r="F641" s="5" t="s">
        <v>905</v>
      </c>
      <c r="G641" s="5"/>
      <c r="H641" s="5"/>
      <c r="I641" s="17"/>
      <c r="J641" s="5"/>
      <c r="K641" s="5"/>
      <c r="L641" s="5"/>
      <c r="M641" s="5" t="s">
        <v>1276</v>
      </c>
    </row>
    <row r="642" spans="3:13" x14ac:dyDescent="0.35">
      <c r="C642" s="5"/>
      <c r="D642" s="5" t="s">
        <v>679</v>
      </c>
      <c r="E642" s="5">
        <v>691142802</v>
      </c>
      <c r="F642" s="5" t="s">
        <v>905</v>
      </c>
      <c r="G642" s="5"/>
      <c r="H642" s="5" t="s">
        <v>679</v>
      </c>
      <c r="I642" s="17">
        <v>7.4963006777380997E+18</v>
      </c>
      <c r="J642" s="5"/>
      <c r="K642" s="5"/>
      <c r="L642" s="5"/>
      <c r="M642" s="5" t="s">
        <v>1276</v>
      </c>
    </row>
    <row r="643" spans="3:13" x14ac:dyDescent="0.35">
      <c r="C643" s="5"/>
      <c r="D643" s="5" t="s">
        <v>680</v>
      </c>
      <c r="E643" s="5">
        <v>695486617</v>
      </c>
      <c r="F643" s="5" t="s">
        <v>903</v>
      </c>
      <c r="G643" s="5"/>
      <c r="H643" s="5" t="s">
        <v>680</v>
      </c>
      <c r="I643" s="17">
        <v>7.4940965055321498E+18</v>
      </c>
      <c r="J643" s="5" t="s">
        <v>913</v>
      </c>
      <c r="K643" s="5"/>
      <c r="L643" s="5" t="s">
        <v>1219</v>
      </c>
      <c r="M643" s="5" t="s">
        <v>1276</v>
      </c>
    </row>
    <row r="644" spans="3:13" x14ac:dyDescent="0.35">
      <c r="C644" s="5"/>
      <c r="D644" s="5" t="s">
        <v>681</v>
      </c>
      <c r="E644" s="5">
        <v>702234204</v>
      </c>
      <c r="F644" s="5" t="s">
        <v>903</v>
      </c>
      <c r="G644" s="5"/>
      <c r="H644" s="5" t="s">
        <v>681</v>
      </c>
      <c r="I644" s="17">
        <v>7.4961820207379599E+18</v>
      </c>
      <c r="J644" s="5" t="s">
        <v>928</v>
      </c>
      <c r="K644" s="5"/>
      <c r="L644" s="5"/>
      <c r="M644" s="5" t="s">
        <v>1276</v>
      </c>
    </row>
    <row r="645" spans="3:13" x14ac:dyDescent="0.35">
      <c r="C645" s="5"/>
      <c r="D645" s="5" t="s">
        <v>682</v>
      </c>
      <c r="E645" s="5">
        <v>712951767</v>
      </c>
      <c r="F645" s="5" t="s">
        <v>903</v>
      </c>
      <c r="G645" s="5"/>
      <c r="H645" s="5" t="s">
        <v>682</v>
      </c>
      <c r="I645" s="17">
        <v>7.4962749155849298E+18</v>
      </c>
      <c r="J645" s="5" t="s">
        <v>908</v>
      </c>
      <c r="K645" s="5"/>
      <c r="L645" s="5"/>
      <c r="M645" s="5" t="s">
        <v>1276</v>
      </c>
    </row>
    <row r="646" spans="3:13" x14ac:dyDescent="0.35">
      <c r="C646" s="5"/>
      <c r="D646" s="5" t="s">
        <v>683</v>
      </c>
      <c r="E646" s="5">
        <v>715705787</v>
      </c>
      <c r="F646" s="5" t="s">
        <v>905</v>
      </c>
      <c r="G646" s="5"/>
      <c r="H646" s="5" t="s">
        <v>683</v>
      </c>
      <c r="I646" s="17">
        <v>7.4961933822569697E+18</v>
      </c>
      <c r="J646" s="5" t="s">
        <v>918</v>
      </c>
      <c r="K646" s="5"/>
      <c r="L646" s="5" t="s">
        <v>1220</v>
      </c>
      <c r="M646" s="5" t="s">
        <v>1276</v>
      </c>
    </row>
    <row r="647" spans="3:13" x14ac:dyDescent="0.35">
      <c r="C647" s="5"/>
      <c r="D647" s="5" t="s">
        <v>684</v>
      </c>
      <c r="E647" s="5">
        <v>717396632</v>
      </c>
      <c r="F647" s="5" t="s">
        <v>904</v>
      </c>
      <c r="G647" s="5"/>
      <c r="H647" s="5" t="s">
        <v>684</v>
      </c>
      <c r="I647" s="17">
        <v>7.4961531613890796E+18</v>
      </c>
      <c r="J647" s="5" t="s">
        <v>926</v>
      </c>
      <c r="K647" s="5"/>
      <c r="L647" s="5" t="s">
        <v>1221</v>
      </c>
      <c r="M647" s="5" t="s">
        <v>1276</v>
      </c>
    </row>
    <row r="648" spans="3:13" x14ac:dyDescent="0.35">
      <c r="C648" s="5"/>
      <c r="D648" s="5" t="s">
        <v>685</v>
      </c>
      <c r="E648" s="5">
        <v>717601555</v>
      </c>
      <c r="F648" s="5" t="s">
        <v>903</v>
      </c>
      <c r="G648" s="5"/>
      <c r="H648" s="5" t="s">
        <v>685</v>
      </c>
      <c r="I648" s="17">
        <v>7.4961617037949297E+18</v>
      </c>
      <c r="J648" s="5" t="s">
        <v>913</v>
      </c>
      <c r="K648" s="5"/>
      <c r="L648" s="5" t="s">
        <v>1222</v>
      </c>
      <c r="M648" s="5" t="s">
        <v>1276</v>
      </c>
    </row>
    <row r="649" spans="3:13" x14ac:dyDescent="0.35">
      <c r="C649" s="5"/>
      <c r="D649" s="5" t="s">
        <v>686</v>
      </c>
      <c r="E649" s="5">
        <v>719923009</v>
      </c>
      <c r="F649" s="5" t="s">
        <v>906</v>
      </c>
      <c r="G649" s="5"/>
      <c r="H649" s="5" t="s">
        <v>686</v>
      </c>
      <c r="I649" s="17">
        <v>7.4961612845005199E+18</v>
      </c>
      <c r="J649" s="5" t="s">
        <v>908</v>
      </c>
      <c r="K649" s="5"/>
      <c r="L649" s="5" t="s">
        <v>1223</v>
      </c>
      <c r="M649" s="5" t="s">
        <v>1276</v>
      </c>
    </row>
    <row r="650" spans="3:13" x14ac:dyDescent="0.35">
      <c r="C650" s="5"/>
      <c r="D650" s="5" t="s">
        <v>687</v>
      </c>
      <c r="E650" s="5">
        <v>721742836</v>
      </c>
      <c r="F650" s="5" t="s">
        <v>905</v>
      </c>
      <c r="G650" s="5"/>
      <c r="H650" s="5" t="s">
        <v>687</v>
      </c>
      <c r="I650" s="17">
        <v>7.49618290323951E+18</v>
      </c>
      <c r="J650" s="5" t="s">
        <v>928</v>
      </c>
      <c r="K650" s="5"/>
      <c r="L650" s="5" t="s">
        <v>1224</v>
      </c>
      <c r="M650" s="5" t="s">
        <v>1276</v>
      </c>
    </row>
    <row r="651" spans="3:13" x14ac:dyDescent="0.35">
      <c r="C651" s="5"/>
      <c r="D651" s="5" t="s">
        <v>688</v>
      </c>
      <c r="E651" s="5">
        <v>727124919</v>
      </c>
      <c r="F651" s="5" t="s">
        <v>907</v>
      </c>
      <c r="G651" s="5"/>
      <c r="H651" s="5" t="s">
        <v>688</v>
      </c>
      <c r="I651" s="17">
        <v>7.4961871820405105E+18</v>
      </c>
      <c r="J651" s="5"/>
      <c r="K651" s="5"/>
      <c r="L651" s="5"/>
      <c r="M651" s="5" t="s">
        <v>1276</v>
      </c>
    </row>
    <row r="652" spans="3:13" x14ac:dyDescent="0.35">
      <c r="C652" s="5"/>
      <c r="D652" s="5" t="s">
        <v>689</v>
      </c>
      <c r="E652" s="5">
        <v>728534865</v>
      </c>
      <c r="F652" s="5" t="s">
        <v>904</v>
      </c>
      <c r="G652" s="5"/>
      <c r="H652" s="5" t="s">
        <v>689</v>
      </c>
      <c r="I652" s="17">
        <v>7.4961616634959903E+18</v>
      </c>
      <c r="J652" s="5" t="s">
        <v>942</v>
      </c>
      <c r="K652" s="5"/>
      <c r="L652" s="5" t="s">
        <v>1225</v>
      </c>
      <c r="M652" s="5" t="s">
        <v>1276</v>
      </c>
    </row>
    <row r="653" spans="3:13" x14ac:dyDescent="0.35">
      <c r="C653" s="5"/>
      <c r="D653" s="5" t="s">
        <v>690</v>
      </c>
      <c r="E653" s="5">
        <v>731022940</v>
      </c>
      <c r="F653" s="5" t="s">
        <v>906</v>
      </c>
      <c r="G653" s="5"/>
      <c r="H653" s="5" t="s">
        <v>690</v>
      </c>
      <c r="I653" s="17">
        <v>7.49620405654208E+18</v>
      </c>
      <c r="J653" s="5" t="s">
        <v>913</v>
      </c>
      <c r="K653" s="5"/>
      <c r="L653" s="5"/>
      <c r="M653" s="5" t="s">
        <v>1276</v>
      </c>
    </row>
    <row r="654" spans="3:13" x14ac:dyDescent="0.35">
      <c r="C654" s="5"/>
      <c r="D654" s="5" t="s">
        <v>691</v>
      </c>
      <c r="E654" s="5">
        <v>739972532</v>
      </c>
      <c r="F654" s="5" t="s">
        <v>903</v>
      </c>
      <c r="G654" s="5"/>
      <c r="H654" s="5" t="s">
        <v>691</v>
      </c>
      <c r="I654" s="17">
        <v>7.49618013493713E+18</v>
      </c>
      <c r="J654" s="5"/>
      <c r="K654" s="5"/>
      <c r="L654" s="5"/>
      <c r="M654" s="5" t="s">
        <v>1276</v>
      </c>
    </row>
    <row r="655" spans="3:13" x14ac:dyDescent="0.35">
      <c r="C655" s="5"/>
      <c r="D655" s="5" t="s">
        <v>692</v>
      </c>
      <c r="E655" s="5">
        <v>740111576</v>
      </c>
      <c r="F655" s="5" t="s">
        <v>905</v>
      </c>
      <c r="G655" s="5"/>
      <c r="H655" s="5" t="s">
        <v>692</v>
      </c>
      <c r="I655" s="17">
        <v>7.4961872425340396E+18</v>
      </c>
      <c r="J655" s="5" t="s">
        <v>928</v>
      </c>
      <c r="K655" s="5"/>
      <c r="L655" s="5" t="s">
        <v>1226</v>
      </c>
      <c r="M655" s="5" t="s">
        <v>1276</v>
      </c>
    </row>
    <row r="656" spans="3:13" x14ac:dyDescent="0.35">
      <c r="C656" s="5"/>
      <c r="D656" s="5" t="s">
        <v>693</v>
      </c>
      <c r="E656" s="5">
        <v>741115247</v>
      </c>
      <c r="F656" s="5" t="s">
        <v>903</v>
      </c>
      <c r="G656" s="5"/>
      <c r="H656" s="5" t="s">
        <v>693</v>
      </c>
      <c r="I656" s="17">
        <v>7.4962054120770396E+18</v>
      </c>
      <c r="J656" s="5" t="s">
        <v>924</v>
      </c>
      <c r="K656" s="5"/>
      <c r="L656" s="5" t="s">
        <v>1227</v>
      </c>
      <c r="M656" s="5" t="s">
        <v>1276</v>
      </c>
    </row>
    <row r="657" spans="3:13" x14ac:dyDescent="0.35">
      <c r="C657" s="5"/>
      <c r="D657" s="5" t="s">
        <v>694</v>
      </c>
      <c r="E657" s="5">
        <v>743205175</v>
      </c>
      <c r="F657" s="5" t="s">
        <v>905</v>
      </c>
      <c r="G657" s="5"/>
      <c r="H657" s="5"/>
      <c r="I657" s="17"/>
      <c r="J657" s="5"/>
      <c r="K657" s="5"/>
      <c r="L657" s="5"/>
      <c r="M657" s="5" t="s">
        <v>1276</v>
      </c>
    </row>
    <row r="658" spans="3:13" x14ac:dyDescent="0.35">
      <c r="C658" s="5"/>
      <c r="D658" s="5" t="s">
        <v>695</v>
      </c>
      <c r="E658" s="5">
        <v>748594490</v>
      </c>
      <c r="F658" s="5" t="s">
        <v>905</v>
      </c>
      <c r="G658" s="5"/>
      <c r="H658" s="5" t="s">
        <v>695</v>
      </c>
      <c r="I658" s="17">
        <v>7.4961895511502705E+18</v>
      </c>
      <c r="J658" s="5" t="s">
        <v>908</v>
      </c>
      <c r="K658" s="5"/>
      <c r="L658" s="5" t="s">
        <v>1228</v>
      </c>
      <c r="M658" s="5" t="s">
        <v>1276</v>
      </c>
    </row>
    <row r="659" spans="3:13" x14ac:dyDescent="0.35">
      <c r="C659" s="5"/>
      <c r="D659" s="5" t="s">
        <v>696</v>
      </c>
      <c r="E659" s="5">
        <v>758998825</v>
      </c>
      <c r="F659" s="5" t="s">
        <v>905</v>
      </c>
      <c r="G659" s="5"/>
      <c r="H659" s="5" t="s">
        <v>696</v>
      </c>
      <c r="I659" s="17">
        <v>7.4961785520170199E+18</v>
      </c>
      <c r="J659" s="5" t="s">
        <v>922</v>
      </c>
      <c r="K659" s="5"/>
      <c r="L659" s="5" t="s">
        <v>1229</v>
      </c>
      <c r="M659" s="5" t="s">
        <v>1276</v>
      </c>
    </row>
    <row r="660" spans="3:13" x14ac:dyDescent="0.35">
      <c r="C660" s="5"/>
      <c r="D660" s="5" t="s">
        <v>697</v>
      </c>
      <c r="E660" s="5">
        <v>759825196</v>
      </c>
      <c r="F660" s="5" t="s">
        <v>903</v>
      </c>
      <c r="G660" s="5"/>
      <c r="H660" s="5"/>
      <c r="I660" s="17"/>
      <c r="J660" s="5"/>
      <c r="K660" s="5"/>
      <c r="L660" s="5"/>
      <c r="M660" s="5" t="s">
        <v>1276</v>
      </c>
    </row>
    <row r="661" spans="3:13" x14ac:dyDescent="0.35">
      <c r="C661" s="5"/>
      <c r="D661" s="5" t="s">
        <v>698</v>
      </c>
      <c r="E661" s="5">
        <v>770121002</v>
      </c>
      <c r="F661" s="5" t="s">
        <v>903</v>
      </c>
      <c r="G661" s="5"/>
      <c r="H661" s="5" t="s">
        <v>698</v>
      </c>
      <c r="I661" s="17">
        <v>7.4961549343593196E+18</v>
      </c>
      <c r="J661" s="5" t="s">
        <v>910</v>
      </c>
      <c r="K661" s="5"/>
      <c r="L661" s="5"/>
      <c r="M661" s="5" t="s">
        <v>1276</v>
      </c>
    </row>
    <row r="662" spans="3:13" x14ac:dyDescent="0.35">
      <c r="C662" s="5"/>
      <c r="D662" s="5" t="s">
        <v>699</v>
      </c>
      <c r="E662" s="5">
        <v>771767058</v>
      </c>
      <c r="F662" s="5" t="s">
        <v>905</v>
      </c>
      <c r="G662" s="5"/>
      <c r="H662" s="5" t="s">
        <v>699</v>
      </c>
      <c r="I662" s="17">
        <v>7.4962036305845596E+18</v>
      </c>
      <c r="J662" s="5" t="s">
        <v>928</v>
      </c>
      <c r="K662" s="5"/>
      <c r="L662" s="5" t="s">
        <v>1230</v>
      </c>
      <c r="M662" s="5" t="s">
        <v>1276</v>
      </c>
    </row>
    <row r="663" spans="3:13" x14ac:dyDescent="0.35">
      <c r="C663" s="5"/>
      <c r="D663" s="5" t="s">
        <v>700</v>
      </c>
      <c r="E663" s="5">
        <v>773016601</v>
      </c>
      <c r="F663" s="5" t="s">
        <v>905</v>
      </c>
      <c r="G663" s="5"/>
      <c r="H663" s="5" t="s">
        <v>700</v>
      </c>
      <c r="I663" s="17">
        <v>7.49616228573888E+18</v>
      </c>
      <c r="J663" s="5" t="s">
        <v>984</v>
      </c>
      <c r="K663" s="5"/>
      <c r="L663" s="5" t="s">
        <v>1231</v>
      </c>
      <c r="M663" s="5" t="s">
        <v>1276</v>
      </c>
    </row>
    <row r="664" spans="3:13" x14ac:dyDescent="0.35">
      <c r="C664" s="5"/>
      <c r="D664" s="5" t="s">
        <v>701</v>
      </c>
      <c r="E664" s="5">
        <v>773799036</v>
      </c>
      <c r="F664" s="5" t="s">
        <v>906</v>
      </c>
      <c r="G664" s="5"/>
      <c r="H664" s="5" t="s">
        <v>701</v>
      </c>
      <c r="I664" s="17">
        <v>7.49618213980514E+18</v>
      </c>
      <c r="J664" s="5" t="s">
        <v>908</v>
      </c>
      <c r="K664" s="5"/>
      <c r="L664" s="5" t="s">
        <v>1232</v>
      </c>
      <c r="M664" s="5" t="s">
        <v>1276</v>
      </c>
    </row>
    <row r="665" spans="3:13" x14ac:dyDescent="0.35">
      <c r="C665" s="5"/>
      <c r="D665" s="5" t="s">
        <v>702</v>
      </c>
      <c r="E665" s="5">
        <v>776725570</v>
      </c>
      <c r="F665" s="5" t="s">
        <v>905</v>
      </c>
      <c r="G665" s="5"/>
      <c r="H665" s="5" t="s">
        <v>702</v>
      </c>
      <c r="I665" s="17">
        <v>7.4961636965589596E+18</v>
      </c>
      <c r="J665" s="5"/>
      <c r="K665" s="5"/>
      <c r="L665" s="5"/>
      <c r="M665" s="5" t="s">
        <v>1276</v>
      </c>
    </row>
    <row r="666" spans="3:13" x14ac:dyDescent="0.35">
      <c r="C666" s="5"/>
      <c r="D666" s="5" t="s">
        <v>703</v>
      </c>
      <c r="E666" s="5">
        <v>777601227</v>
      </c>
      <c r="F666" s="5" t="s">
        <v>905</v>
      </c>
      <c r="G666" s="5"/>
      <c r="H666" s="5"/>
      <c r="I666" s="17"/>
      <c r="J666" s="5"/>
      <c r="K666" s="5"/>
      <c r="L666" s="5"/>
      <c r="M666" s="5" t="s">
        <v>1276</v>
      </c>
    </row>
    <row r="667" spans="3:13" x14ac:dyDescent="0.35">
      <c r="C667" s="5"/>
      <c r="D667" s="5" t="s">
        <v>704</v>
      </c>
      <c r="E667" s="5">
        <v>780631412</v>
      </c>
      <c r="F667" s="5" t="s">
        <v>906</v>
      </c>
      <c r="G667" s="5"/>
      <c r="H667" s="5"/>
      <c r="I667" s="17"/>
      <c r="J667" s="5"/>
      <c r="K667" s="5"/>
      <c r="L667" s="5"/>
      <c r="M667" s="5" t="s">
        <v>1276</v>
      </c>
    </row>
    <row r="668" spans="3:13" x14ac:dyDescent="0.35">
      <c r="C668" s="5"/>
      <c r="D668" s="5" t="s">
        <v>705</v>
      </c>
      <c r="E668" s="5">
        <v>784491890</v>
      </c>
      <c r="F668" s="5" t="s">
        <v>907</v>
      </c>
      <c r="G668" s="5"/>
      <c r="H668" s="5"/>
      <c r="I668" s="17"/>
      <c r="J668" s="5"/>
      <c r="K668" s="5"/>
      <c r="L668" s="5"/>
      <c r="M668" s="5" t="s">
        <v>1276</v>
      </c>
    </row>
    <row r="669" spans="3:13" x14ac:dyDescent="0.35">
      <c r="C669" s="5"/>
      <c r="D669" s="5" t="s">
        <v>706</v>
      </c>
      <c r="E669" s="5">
        <v>789131072</v>
      </c>
      <c r="F669" s="5" t="s">
        <v>905</v>
      </c>
      <c r="G669" s="5"/>
      <c r="H669" s="5" t="s">
        <v>706</v>
      </c>
      <c r="I669" s="17">
        <v>7.4961520603696599E+18</v>
      </c>
      <c r="J669" s="5"/>
      <c r="K669" s="5"/>
      <c r="L669" s="5"/>
      <c r="M669" s="5" t="s">
        <v>1276</v>
      </c>
    </row>
    <row r="670" spans="3:13" x14ac:dyDescent="0.35">
      <c r="C670" s="5"/>
      <c r="D670" s="5" t="s">
        <v>707</v>
      </c>
      <c r="E670" s="5">
        <v>791248992</v>
      </c>
      <c r="F670" s="5" t="s">
        <v>904</v>
      </c>
      <c r="G670" s="5"/>
      <c r="H670" s="5" t="s">
        <v>707</v>
      </c>
      <c r="I670" s="17">
        <v>7.4962028700641802E+18</v>
      </c>
      <c r="J670" s="5" t="s">
        <v>942</v>
      </c>
      <c r="K670" s="5"/>
      <c r="L670" s="5"/>
      <c r="M670" s="5" t="s">
        <v>1276</v>
      </c>
    </row>
    <row r="671" spans="3:13" x14ac:dyDescent="0.35">
      <c r="C671" s="5"/>
      <c r="D671" s="5" t="s">
        <v>708</v>
      </c>
      <c r="E671" s="5">
        <v>793668786</v>
      </c>
      <c r="F671" s="5" t="s">
        <v>903</v>
      </c>
      <c r="G671" s="5"/>
      <c r="H671" s="5" t="s">
        <v>708</v>
      </c>
      <c r="I671" s="17">
        <v>7.49624906832815E+18</v>
      </c>
      <c r="J671" s="5" t="s">
        <v>913</v>
      </c>
      <c r="K671" s="5"/>
      <c r="L671" s="5" t="s">
        <v>1233</v>
      </c>
      <c r="M671" s="5" t="s">
        <v>1276</v>
      </c>
    </row>
    <row r="672" spans="3:13" x14ac:dyDescent="0.35">
      <c r="C672" s="5"/>
      <c r="D672" s="5" t="s">
        <v>709</v>
      </c>
      <c r="E672" s="5">
        <v>793668786</v>
      </c>
      <c r="F672" s="5" t="s">
        <v>903</v>
      </c>
      <c r="G672" s="5"/>
      <c r="H672" s="5" t="s">
        <v>708</v>
      </c>
      <c r="I672" s="17">
        <v>7.49624906832815E+18</v>
      </c>
      <c r="J672" s="5" t="s">
        <v>913</v>
      </c>
      <c r="K672" s="5"/>
      <c r="L672" s="5" t="s">
        <v>1233</v>
      </c>
      <c r="M672" s="5" t="s">
        <v>1276</v>
      </c>
    </row>
    <row r="673" spans="3:13" x14ac:dyDescent="0.35">
      <c r="C673" s="5"/>
      <c r="D673" s="5" t="s">
        <v>710</v>
      </c>
      <c r="E673" s="5">
        <v>796383464</v>
      </c>
      <c r="F673" s="5" t="s">
        <v>903</v>
      </c>
      <c r="G673" s="5"/>
      <c r="H673" s="5" t="s">
        <v>710</v>
      </c>
      <c r="I673" s="17">
        <v>7.49618891643968E+18</v>
      </c>
      <c r="J673" s="5" t="s">
        <v>910</v>
      </c>
      <c r="K673" s="5"/>
      <c r="L673" s="5"/>
      <c r="M673" s="5" t="s">
        <v>1276</v>
      </c>
    </row>
    <row r="674" spans="3:13" x14ac:dyDescent="0.35">
      <c r="C674" s="5"/>
      <c r="D674" s="5" t="s">
        <v>711</v>
      </c>
      <c r="E674" s="5">
        <v>805449066</v>
      </c>
      <c r="F674" s="5" t="s">
        <v>905</v>
      </c>
      <c r="G674" s="5"/>
      <c r="H674" s="5" t="s">
        <v>711</v>
      </c>
      <c r="I674" s="17">
        <v>7.49415756973103E+18</v>
      </c>
      <c r="J674" s="5"/>
      <c r="K674" s="5"/>
      <c r="L674" s="5"/>
      <c r="M674" s="5" t="s">
        <v>1276</v>
      </c>
    </row>
    <row r="675" spans="3:13" x14ac:dyDescent="0.35">
      <c r="C675" s="5"/>
      <c r="D675" s="5" t="s">
        <v>712</v>
      </c>
      <c r="E675" s="5">
        <v>805674361</v>
      </c>
      <c r="F675" s="5" t="s">
        <v>905</v>
      </c>
      <c r="G675" s="5"/>
      <c r="H675" s="5" t="s">
        <v>712</v>
      </c>
      <c r="I675" s="17">
        <v>7.4961820153285499E+18</v>
      </c>
      <c r="J675" s="5" t="s">
        <v>928</v>
      </c>
      <c r="K675" s="5"/>
      <c r="L675" s="5" t="s">
        <v>1234</v>
      </c>
      <c r="M675" s="5" t="s">
        <v>1276</v>
      </c>
    </row>
    <row r="676" spans="3:13" x14ac:dyDescent="0.35">
      <c r="C676" s="5"/>
      <c r="D676" s="5" t="s">
        <v>713</v>
      </c>
      <c r="E676" s="5">
        <v>806221756</v>
      </c>
      <c r="F676" s="5" t="s">
        <v>906</v>
      </c>
      <c r="G676" s="5"/>
      <c r="H676" s="5" t="s">
        <v>713</v>
      </c>
      <c r="I676" s="17">
        <v>7.49616327608529E+18</v>
      </c>
      <c r="J676" s="5" t="s">
        <v>908</v>
      </c>
      <c r="K676" s="5"/>
      <c r="L676" s="5"/>
      <c r="M676" s="5" t="s">
        <v>1276</v>
      </c>
    </row>
    <row r="677" spans="3:13" x14ac:dyDescent="0.35">
      <c r="C677" s="5"/>
      <c r="D677" s="5" t="s">
        <v>714</v>
      </c>
      <c r="E677" s="5">
        <v>806572838</v>
      </c>
      <c r="F677" s="5" t="s">
        <v>903</v>
      </c>
      <c r="G677" s="5"/>
      <c r="H677" s="5" t="s">
        <v>714</v>
      </c>
      <c r="I677" s="17">
        <v>7.4962027737996001E+18</v>
      </c>
      <c r="J677" s="5" t="s">
        <v>969</v>
      </c>
      <c r="K677" s="5"/>
      <c r="L677" s="5"/>
      <c r="M677" s="5" t="s">
        <v>1276</v>
      </c>
    </row>
    <row r="678" spans="3:13" x14ac:dyDescent="0.35">
      <c r="C678" s="5"/>
      <c r="D678" s="5" t="s">
        <v>715</v>
      </c>
      <c r="E678" s="5">
        <v>811924245</v>
      </c>
      <c r="F678" s="5" t="s">
        <v>905</v>
      </c>
      <c r="G678" s="5"/>
      <c r="H678" s="5" t="s">
        <v>715</v>
      </c>
      <c r="I678" s="17">
        <v>7.4961704152032502E+18</v>
      </c>
      <c r="J678" s="5" t="s">
        <v>916</v>
      </c>
      <c r="K678" s="5"/>
      <c r="L678" s="5" t="s">
        <v>1235</v>
      </c>
      <c r="M678" s="5" t="s">
        <v>1276</v>
      </c>
    </row>
    <row r="679" spans="3:13" x14ac:dyDescent="0.35">
      <c r="C679" s="5"/>
      <c r="D679" s="5" t="s">
        <v>716</v>
      </c>
      <c r="E679" s="5">
        <v>811938613</v>
      </c>
      <c r="F679" s="5" t="s">
        <v>906</v>
      </c>
      <c r="G679" s="5"/>
      <c r="H679" s="5"/>
      <c r="I679" s="17"/>
      <c r="J679" s="5"/>
      <c r="K679" s="5"/>
      <c r="L679" s="5"/>
      <c r="M679" s="5" t="s">
        <v>1276</v>
      </c>
    </row>
    <row r="680" spans="3:13" x14ac:dyDescent="0.35">
      <c r="C680" s="5"/>
      <c r="D680" s="5" t="s">
        <v>717</v>
      </c>
      <c r="E680" s="5">
        <v>815223259</v>
      </c>
      <c r="F680" s="5" t="s">
        <v>903</v>
      </c>
      <c r="G680" s="5"/>
      <c r="H680" s="5" t="s">
        <v>717</v>
      </c>
      <c r="I680" s="17">
        <v>7.49627769569617E+18</v>
      </c>
      <c r="J680" s="5" t="s">
        <v>910</v>
      </c>
      <c r="K680" s="5"/>
      <c r="L680" s="5" t="s">
        <v>1236</v>
      </c>
      <c r="M680" s="5" t="s">
        <v>1276</v>
      </c>
    </row>
    <row r="681" spans="3:13" x14ac:dyDescent="0.35">
      <c r="C681" s="5"/>
      <c r="D681" s="5" t="s">
        <v>718</v>
      </c>
      <c r="E681" s="5">
        <v>815439474</v>
      </c>
      <c r="F681" s="5" t="s">
        <v>903</v>
      </c>
      <c r="G681" s="5"/>
      <c r="H681" s="5"/>
      <c r="I681" s="17"/>
      <c r="J681" s="5"/>
      <c r="K681" s="5"/>
      <c r="L681" s="5"/>
      <c r="M681" s="5" t="s">
        <v>1276</v>
      </c>
    </row>
    <row r="682" spans="3:13" x14ac:dyDescent="0.35">
      <c r="C682" s="5"/>
      <c r="D682" s="5" t="s">
        <v>719</v>
      </c>
      <c r="E682" s="5">
        <v>816161995</v>
      </c>
      <c r="F682" s="5" t="s">
        <v>905</v>
      </c>
      <c r="G682" s="5"/>
      <c r="H682" s="5" t="s">
        <v>719</v>
      </c>
      <c r="I682" s="17">
        <v>7.4961864856271196E+18</v>
      </c>
      <c r="J682" s="5"/>
      <c r="K682" s="5"/>
      <c r="L682" s="5"/>
      <c r="M682" s="5" t="s">
        <v>1276</v>
      </c>
    </row>
    <row r="683" spans="3:13" x14ac:dyDescent="0.35">
      <c r="C683" s="5"/>
      <c r="D683" s="5" t="s">
        <v>720</v>
      </c>
      <c r="E683" s="5">
        <v>816188038</v>
      </c>
      <c r="F683" s="5" t="s">
        <v>906</v>
      </c>
      <c r="G683" s="5"/>
      <c r="H683" s="5" t="s">
        <v>720</v>
      </c>
      <c r="I683" s="17">
        <v>7.4962753959776399E+18</v>
      </c>
      <c r="J683" s="5" t="s">
        <v>908</v>
      </c>
      <c r="K683" s="5"/>
      <c r="L683" s="5"/>
      <c r="M683" s="5" t="s">
        <v>1276</v>
      </c>
    </row>
    <row r="684" spans="3:13" x14ac:dyDescent="0.35">
      <c r="C684" s="5"/>
      <c r="D684" s="5" t="s">
        <v>721</v>
      </c>
      <c r="E684" s="5">
        <v>816188038</v>
      </c>
      <c r="F684" s="5" t="s">
        <v>906</v>
      </c>
      <c r="G684" s="5"/>
      <c r="H684" s="5" t="s">
        <v>720</v>
      </c>
      <c r="I684" s="17">
        <v>7.4962753959776399E+18</v>
      </c>
      <c r="J684" s="5" t="s">
        <v>908</v>
      </c>
      <c r="K684" s="5"/>
      <c r="L684" s="5"/>
      <c r="M684" s="5" t="s">
        <v>1276</v>
      </c>
    </row>
    <row r="685" spans="3:13" x14ac:dyDescent="0.35">
      <c r="C685" s="5"/>
      <c r="D685" s="5" t="s">
        <v>722</v>
      </c>
      <c r="E685" s="5">
        <v>817455012</v>
      </c>
      <c r="F685" s="5" t="s">
        <v>903</v>
      </c>
      <c r="G685" s="5"/>
      <c r="H685" s="5"/>
      <c r="I685" s="17"/>
      <c r="J685" s="5"/>
      <c r="K685" s="5"/>
      <c r="L685" s="5"/>
      <c r="M685" s="5" t="s">
        <v>1276</v>
      </c>
    </row>
    <row r="686" spans="3:13" x14ac:dyDescent="0.35">
      <c r="C686" s="5"/>
      <c r="D686" s="5" t="s">
        <v>723</v>
      </c>
      <c r="E686" s="5">
        <v>819155165</v>
      </c>
      <c r="F686" s="5" t="s">
        <v>903</v>
      </c>
      <c r="G686" s="5"/>
      <c r="H686" s="5"/>
      <c r="I686" s="17"/>
      <c r="J686" s="5"/>
      <c r="K686" s="5"/>
      <c r="L686" s="5"/>
      <c r="M686" s="5" t="s">
        <v>1276</v>
      </c>
    </row>
    <row r="687" spans="3:13" x14ac:dyDescent="0.35">
      <c r="C687" s="5"/>
      <c r="D687" s="5" t="s">
        <v>724</v>
      </c>
      <c r="E687" s="5">
        <v>821115255</v>
      </c>
      <c r="F687" s="5" t="s">
        <v>906</v>
      </c>
      <c r="G687" s="5"/>
      <c r="H687" s="5" t="s">
        <v>724</v>
      </c>
      <c r="I687" s="17">
        <v>7.4962029460321403E+18</v>
      </c>
      <c r="J687" s="5" t="s">
        <v>908</v>
      </c>
      <c r="K687" s="5"/>
      <c r="L687" s="5" t="s">
        <v>1237</v>
      </c>
      <c r="M687" s="5" t="s">
        <v>1276</v>
      </c>
    </row>
    <row r="688" spans="3:13" x14ac:dyDescent="0.35">
      <c r="C688" s="5"/>
      <c r="D688" s="5" t="s">
        <v>725</v>
      </c>
      <c r="E688" s="5">
        <v>822952851</v>
      </c>
      <c r="F688" s="5" t="s">
        <v>903</v>
      </c>
      <c r="G688" s="5"/>
      <c r="H688" s="5" t="s">
        <v>725</v>
      </c>
      <c r="I688" s="17">
        <v>7.4962834072288297E+18</v>
      </c>
      <c r="J688" s="5" t="s">
        <v>913</v>
      </c>
      <c r="K688" s="5"/>
      <c r="L688" s="5" t="s">
        <v>1238</v>
      </c>
      <c r="M688" s="5" t="s">
        <v>1276</v>
      </c>
    </row>
    <row r="689" spans="3:13" x14ac:dyDescent="0.35">
      <c r="C689" s="5"/>
      <c r="D689" s="5" t="s">
        <v>726</v>
      </c>
      <c r="E689" s="5">
        <v>825735859</v>
      </c>
      <c r="F689" s="5" t="s">
        <v>906</v>
      </c>
      <c r="G689" s="5"/>
      <c r="H689" s="5"/>
      <c r="I689" s="17"/>
      <c r="J689" s="5"/>
      <c r="K689" s="5"/>
      <c r="L689" s="5"/>
      <c r="M689" s="5" t="s">
        <v>1276</v>
      </c>
    </row>
    <row r="690" spans="3:13" x14ac:dyDescent="0.35">
      <c r="C690" s="5"/>
      <c r="D690" s="5" t="s">
        <v>727</v>
      </c>
      <c r="E690" s="5">
        <v>831272734</v>
      </c>
      <c r="F690" s="5" t="s">
        <v>903</v>
      </c>
      <c r="G690" s="5"/>
      <c r="H690" s="5" t="s">
        <v>727</v>
      </c>
      <c r="I690" s="17">
        <v>7.4941460166512097E+18</v>
      </c>
      <c r="J690" s="5" t="s">
        <v>913</v>
      </c>
      <c r="K690" s="5"/>
      <c r="L690" s="5" t="s">
        <v>1239</v>
      </c>
      <c r="M690" s="5" t="s">
        <v>1276</v>
      </c>
    </row>
    <row r="691" spans="3:13" x14ac:dyDescent="0.35">
      <c r="C691" s="5"/>
      <c r="D691" s="5" t="s">
        <v>728</v>
      </c>
      <c r="E691" s="5">
        <v>842559166</v>
      </c>
      <c r="F691" s="5" t="s">
        <v>906</v>
      </c>
      <c r="G691" s="5"/>
      <c r="H691" s="5"/>
      <c r="I691" s="17"/>
      <c r="J691" s="5"/>
      <c r="K691" s="5"/>
      <c r="L691" s="5"/>
      <c r="M691" s="5" t="s">
        <v>1276</v>
      </c>
    </row>
    <row r="692" spans="3:13" x14ac:dyDescent="0.35">
      <c r="C692" s="5"/>
      <c r="D692" s="5" t="s">
        <v>729</v>
      </c>
      <c r="E692" s="5">
        <v>843263540</v>
      </c>
      <c r="F692" s="5" t="s">
        <v>906</v>
      </c>
      <c r="G692" s="5"/>
      <c r="H692" s="5" t="s">
        <v>729</v>
      </c>
      <c r="I692" s="17">
        <v>7.4961621943153101E+18</v>
      </c>
      <c r="J692" s="5" t="s">
        <v>939</v>
      </c>
      <c r="K692" s="5"/>
      <c r="L692" s="5" t="s">
        <v>1240</v>
      </c>
      <c r="M692" s="5" t="s">
        <v>1276</v>
      </c>
    </row>
    <row r="693" spans="3:13" x14ac:dyDescent="0.35">
      <c r="C693" s="5"/>
      <c r="D693" s="5" t="s">
        <v>730</v>
      </c>
      <c r="E693" s="5">
        <v>843983299</v>
      </c>
      <c r="F693" s="5" t="s">
        <v>903</v>
      </c>
      <c r="G693" s="5"/>
      <c r="H693" s="5" t="s">
        <v>730</v>
      </c>
      <c r="I693" s="17">
        <v>7.4961614775370701E+18</v>
      </c>
      <c r="J693" s="5" t="s">
        <v>913</v>
      </c>
      <c r="K693" s="5"/>
      <c r="L693" s="5"/>
      <c r="M693" s="5" t="s">
        <v>1276</v>
      </c>
    </row>
    <row r="694" spans="3:13" x14ac:dyDescent="0.35">
      <c r="C694" s="5"/>
      <c r="D694" s="5" t="s">
        <v>731</v>
      </c>
      <c r="E694" s="5">
        <v>845307295</v>
      </c>
      <c r="F694" s="5" t="s">
        <v>907</v>
      </c>
      <c r="G694" s="5"/>
      <c r="H694" s="5" t="s">
        <v>731</v>
      </c>
      <c r="I694" s="17">
        <v>7.4962718862658396E+18</v>
      </c>
      <c r="J694" s="5" t="s">
        <v>941</v>
      </c>
      <c r="K694" s="5"/>
      <c r="L694" s="5" t="s">
        <v>1241</v>
      </c>
      <c r="M694" s="5" t="s">
        <v>1276</v>
      </c>
    </row>
    <row r="695" spans="3:13" x14ac:dyDescent="0.35">
      <c r="C695" s="5"/>
      <c r="D695" s="5" t="s">
        <v>732</v>
      </c>
      <c r="E695" s="5">
        <v>845996343</v>
      </c>
      <c r="F695" s="5" t="s">
        <v>906</v>
      </c>
      <c r="G695" s="5"/>
      <c r="H695" s="5" t="s">
        <v>732</v>
      </c>
      <c r="I695" s="17">
        <v>7.4962177346133996E+18</v>
      </c>
      <c r="J695" s="5"/>
      <c r="K695" s="5"/>
      <c r="L695" s="5"/>
      <c r="M695" s="5" t="s">
        <v>1276</v>
      </c>
    </row>
    <row r="696" spans="3:13" x14ac:dyDescent="0.35">
      <c r="C696" s="5"/>
      <c r="D696" s="5" t="s">
        <v>733</v>
      </c>
      <c r="E696" s="5">
        <v>847503281</v>
      </c>
      <c r="F696" s="5" t="s">
        <v>903</v>
      </c>
      <c r="G696" s="5"/>
      <c r="H696" s="5" t="s">
        <v>733</v>
      </c>
      <c r="I696" s="17">
        <v>7.4961639151367301E+18</v>
      </c>
      <c r="J696" s="5" t="s">
        <v>913</v>
      </c>
      <c r="K696" s="5"/>
      <c r="L696" s="5" t="s">
        <v>1242</v>
      </c>
      <c r="M696" s="5" t="s">
        <v>1276</v>
      </c>
    </row>
    <row r="697" spans="3:13" x14ac:dyDescent="0.35">
      <c r="C697" s="5"/>
      <c r="D697" s="5" t="s">
        <v>734</v>
      </c>
      <c r="E697" s="5">
        <v>847598018</v>
      </c>
      <c r="F697" s="5" t="s">
        <v>905</v>
      </c>
      <c r="G697" s="5"/>
      <c r="H697" s="5" t="s">
        <v>734</v>
      </c>
      <c r="I697" s="17">
        <v>7.4962270927903396E+18</v>
      </c>
      <c r="J697" s="5"/>
      <c r="K697" s="5"/>
      <c r="L697" s="5"/>
      <c r="M697" s="5" t="s">
        <v>1276</v>
      </c>
    </row>
    <row r="698" spans="3:13" x14ac:dyDescent="0.35">
      <c r="C698" s="5"/>
      <c r="D698" s="5" t="s">
        <v>735</v>
      </c>
      <c r="E698" s="5">
        <v>858103458</v>
      </c>
      <c r="F698" s="5" t="s">
        <v>903</v>
      </c>
      <c r="G698" s="5"/>
      <c r="H698" s="5" t="s">
        <v>735</v>
      </c>
      <c r="I698" s="17">
        <v>7.4941103972987996E+18</v>
      </c>
      <c r="J698" s="5" t="s">
        <v>969</v>
      </c>
      <c r="K698" s="5"/>
      <c r="L698" s="5" t="s">
        <v>1243</v>
      </c>
      <c r="M698" s="5" t="s">
        <v>1276</v>
      </c>
    </row>
    <row r="699" spans="3:13" x14ac:dyDescent="0.35">
      <c r="C699" s="5"/>
      <c r="D699" s="5" t="s">
        <v>736</v>
      </c>
      <c r="E699" s="5">
        <v>859540579</v>
      </c>
      <c r="F699" s="5" t="s">
        <v>904</v>
      </c>
      <c r="G699" s="5"/>
      <c r="H699" s="5" t="s">
        <v>736</v>
      </c>
      <c r="I699" s="17">
        <v>7.4961828519343903E+18</v>
      </c>
      <c r="J699" s="5" t="s">
        <v>926</v>
      </c>
      <c r="K699" s="5"/>
      <c r="L699" s="5"/>
      <c r="M699" s="5" t="s">
        <v>1276</v>
      </c>
    </row>
    <row r="700" spans="3:13" x14ac:dyDescent="0.35">
      <c r="C700" s="5"/>
      <c r="D700" s="5" t="s">
        <v>737</v>
      </c>
      <c r="E700" s="5">
        <v>867115662</v>
      </c>
      <c r="F700" s="5" t="s">
        <v>903</v>
      </c>
      <c r="G700" s="5"/>
      <c r="H700" s="5" t="s">
        <v>737</v>
      </c>
      <c r="I700" s="17">
        <v>7.4961857188573E+18</v>
      </c>
      <c r="J700" s="5" t="s">
        <v>913</v>
      </c>
      <c r="K700" s="5"/>
      <c r="L700" s="5" t="s">
        <v>1244</v>
      </c>
      <c r="M700" s="5" t="s">
        <v>1276</v>
      </c>
    </row>
    <row r="701" spans="3:13" x14ac:dyDescent="0.35">
      <c r="C701" s="5"/>
      <c r="D701" s="5" t="s">
        <v>738</v>
      </c>
      <c r="E701" s="5">
        <v>872424585</v>
      </c>
      <c r="F701" s="5" t="s">
        <v>906</v>
      </c>
      <c r="G701" s="5"/>
      <c r="H701" s="5" t="s">
        <v>738</v>
      </c>
      <c r="I701" s="17">
        <v>7.4961817379542405E+18</v>
      </c>
      <c r="J701" s="5" t="s">
        <v>918</v>
      </c>
      <c r="K701" s="5"/>
      <c r="L701" s="5"/>
      <c r="M701" s="5" t="s">
        <v>1276</v>
      </c>
    </row>
    <row r="702" spans="3:13" x14ac:dyDescent="0.35">
      <c r="C702" s="5"/>
      <c r="D702" s="5" t="s">
        <v>739</v>
      </c>
      <c r="E702" s="5">
        <v>874603044</v>
      </c>
      <c r="F702" s="5" t="s">
        <v>906</v>
      </c>
      <c r="G702" s="5"/>
      <c r="H702" s="5" t="s">
        <v>739</v>
      </c>
      <c r="I702" s="17">
        <v>7.4962295230647204E+18</v>
      </c>
      <c r="J702" s="5" t="s">
        <v>926</v>
      </c>
      <c r="K702" s="5"/>
      <c r="L702" s="5" t="s">
        <v>1245</v>
      </c>
      <c r="M702" s="5" t="s">
        <v>1276</v>
      </c>
    </row>
    <row r="703" spans="3:13" x14ac:dyDescent="0.35">
      <c r="C703" s="5"/>
      <c r="D703" s="5" t="s">
        <v>82</v>
      </c>
      <c r="E703" s="5">
        <v>874603044</v>
      </c>
      <c r="F703" s="5" t="s">
        <v>906</v>
      </c>
      <c r="G703" s="5"/>
      <c r="H703" s="5" t="s">
        <v>739</v>
      </c>
      <c r="I703" s="17">
        <v>7.4962295230647204E+18</v>
      </c>
      <c r="J703" s="5" t="s">
        <v>926</v>
      </c>
      <c r="K703" s="5"/>
      <c r="L703" s="5" t="s">
        <v>1245</v>
      </c>
      <c r="M703" s="5" t="s">
        <v>1276</v>
      </c>
    </row>
    <row r="704" spans="3:13" x14ac:dyDescent="0.35">
      <c r="C704" s="5"/>
      <c r="D704" s="5" t="s">
        <v>740</v>
      </c>
      <c r="E704" s="5">
        <v>875039015</v>
      </c>
      <c r="F704" s="5" t="s">
        <v>905</v>
      </c>
      <c r="G704" s="5"/>
      <c r="H704" s="5" t="s">
        <v>740</v>
      </c>
      <c r="I704" s="17">
        <v>7.4962079188174397E+18</v>
      </c>
      <c r="J704" s="5"/>
      <c r="K704" s="5"/>
      <c r="L704" s="5"/>
      <c r="M704" s="5" t="s">
        <v>1276</v>
      </c>
    </row>
    <row r="705" spans="3:13" x14ac:dyDescent="0.35">
      <c r="C705" s="5"/>
      <c r="D705" s="5" t="s">
        <v>741</v>
      </c>
      <c r="E705" s="5">
        <v>883941882</v>
      </c>
      <c r="F705" s="5" t="s">
        <v>904</v>
      </c>
      <c r="G705" s="5"/>
      <c r="H705" s="5" t="s">
        <v>741</v>
      </c>
      <c r="I705" s="17">
        <v>7.4962036523100703E+18</v>
      </c>
      <c r="J705" s="5" t="s">
        <v>926</v>
      </c>
      <c r="K705" s="5"/>
      <c r="L705" s="5" t="s">
        <v>1246</v>
      </c>
      <c r="M705" s="5" t="s">
        <v>1276</v>
      </c>
    </row>
    <row r="706" spans="3:13" x14ac:dyDescent="0.35">
      <c r="C706" s="5"/>
      <c r="D706" s="5" t="s">
        <v>742</v>
      </c>
      <c r="E706" s="5">
        <v>888682085</v>
      </c>
      <c r="F706" s="5" t="s">
        <v>903</v>
      </c>
      <c r="G706" s="5"/>
      <c r="H706" s="5" t="s">
        <v>742</v>
      </c>
      <c r="I706" s="17">
        <v>7.4962028320637901E+18</v>
      </c>
      <c r="J706" s="5" t="s">
        <v>913</v>
      </c>
      <c r="K706" s="5"/>
      <c r="L706" s="5" t="s">
        <v>1247</v>
      </c>
      <c r="M706" s="5" t="s">
        <v>1276</v>
      </c>
    </row>
    <row r="707" spans="3:13" x14ac:dyDescent="0.35">
      <c r="C707" s="5"/>
      <c r="D707" s="5" t="s">
        <v>743</v>
      </c>
      <c r="E707" s="5">
        <v>889860370</v>
      </c>
      <c r="F707" s="5" t="s">
        <v>903</v>
      </c>
      <c r="G707" s="5"/>
      <c r="H707" s="5" t="s">
        <v>743</v>
      </c>
      <c r="I707" s="17">
        <v>7.4961832739096105E+18</v>
      </c>
      <c r="J707" s="5" t="s">
        <v>913</v>
      </c>
      <c r="K707" s="5"/>
      <c r="L707" s="5"/>
      <c r="M707" s="5" t="s">
        <v>1276</v>
      </c>
    </row>
    <row r="708" spans="3:13" x14ac:dyDescent="0.35">
      <c r="C708" s="5"/>
      <c r="D708" s="5" t="s">
        <v>744</v>
      </c>
      <c r="E708" s="5">
        <v>908134378</v>
      </c>
      <c r="F708" s="5" t="s">
        <v>904</v>
      </c>
      <c r="G708" s="5"/>
      <c r="H708" s="5" t="s">
        <v>744</v>
      </c>
      <c r="I708" s="17">
        <v>7.4962013477058304E+18</v>
      </c>
      <c r="J708" s="5" t="s">
        <v>926</v>
      </c>
      <c r="K708" s="5"/>
      <c r="L708" s="5" t="s">
        <v>1248</v>
      </c>
      <c r="M708" s="5" t="s">
        <v>1276</v>
      </c>
    </row>
    <row r="709" spans="3:13" x14ac:dyDescent="0.35">
      <c r="C709" s="5"/>
      <c r="D709" s="5" t="s">
        <v>745</v>
      </c>
      <c r="E709" s="5">
        <v>908267517</v>
      </c>
      <c r="F709" s="5" t="s">
        <v>903</v>
      </c>
      <c r="G709" s="5"/>
      <c r="H709" s="5" t="s">
        <v>745</v>
      </c>
      <c r="I709" s="17">
        <v>7.4961823981627904E+18</v>
      </c>
      <c r="J709" s="5" t="s">
        <v>913</v>
      </c>
      <c r="K709" s="5"/>
      <c r="L709" s="5" t="s">
        <v>1249</v>
      </c>
      <c r="M709" s="5" t="s">
        <v>1276</v>
      </c>
    </row>
    <row r="710" spans="3:13" x14ac:dyDescent="0.35">
      <c r="C710" s="5"/>
      <c r="D710" s="5" t="s">
        <v>746</v>
      </c>
      <c r="E710" s="5">
        <v>909400500</v>
      </c>
      <c r="F710" s="5" t="s">
        <v>905</v>
      </c>
      <c r="G710" s="5"/>
      <c r="H710" s="5"/>
      <c r="I710" s="17"/>
      <c r="J710" s="5"/>
      <c r="K710" s="5"/>
      <c r="L710" s="5"/>
      <c r="M710" s="5" t="s">
        <v>1276</v>
      </c>
    </row>
    <row r="711" spans="3:13" x14ac:dyDescent="0.35">
      <c r="C711" s="5"/>
      <c r="D711" s="5" t="s">
        <v>747</v>
      </c>
      <c r="E711" s="5">
        <v>924693213</v>
      </c>
      <c r="F711" s="5" t="s">
        <v>903</v>
      </c>
      <c r="G711" s="5"/>
      <c r="H711" s="5"/>
      <c r="I711" s="17"/>
      <c r="J711" s="5"/>
      <c r="K711" s="5"/>
      <c r="L711" s="5"/>
      <c r="M711" s="5" t="s">
        <v>1276</v>
      </c>
    </row>
    <row r="712" spans="3:13" x14ac:dyDescent="0.35">
      <c r="C712" s="5"/>
      <c r="D712" s="5" t="s">
        <v>748</v>
      </c>
      <c r="E712" s="5">
        <v>928396871</v>
      </c>
      <c r="F712" s="5" t="s">
        <v>905</v>
      </c>
      <c r="G712" s="5"/>
      <c r="H712" s="5" t="s">
        <v>748</v>
      </c>
      <c r="I712" s="17">
        <v>7.4962908103558697E+18</v>
      </c>
      <c r="J712" s="5" t="s">
        <v>911</v>
      </c>
      <c r="K712" s="5"/>
      <c r="L712" s="5" t="s">
        <v>1250</v>
      </c>
      <c r="M712" s="5" t="s">
        <v>1276</v>
      </c>
    </row>
    <row r="713" spans="3:13" x14ac:dyDescent="0.35">
      <c r="C713" s="5"/>
      <c r="D713" s="5" t="s">
        <v>749</v>
      </c>
      <c r="E713" s="5">
        <v>928555940</v>
      </c>
      <c r="F713" s="5" t="s">
        <v>905</v>
      </c>
      <c r="G713" s="5"/>
      <c r="H713" s="5" t="s">
        <v>749</v>
      </c>
      <c r="I713" s="17">
        <v>7.4961706110970399E+18</v>
      </c>
      <c r="J713" s="5"/>
      <c r="K713" s="5"/>
      <c r="L713" s="5"/>
      <c r="M713" s="5" t="s">
        <v>1276</v>
      </c>
    </row>
    <row r="714" spans="3:13" x14ac:dyDescent="0.35">
      <c r="C714" s="5"/>
      <c r="D714" s="5" t="s">
        <v>750</v>
      </c>
      <c r="E714" s="5">
        <v>932796296</v>
      </c>
      <c r="F714" s="5" t="s">
        <v>905</v>
      </c>
      <c r="G714" s="5"/>
      <c r="H714" s="5" t="s">
        <v>750</v>
      </c>
      <c r="I714" s="17">
        <v>7.4961819424250604E+18</v>
      </c>
      <c r="J714" s="5" t="s">
        <v>941</v>
      </c>
      <c r="K714" s="5"/>
      <c r="L714" s="5" t="s">
        <v>1251</v>
      </c>
      <c r="M714" s="5" t="s">
        <v>1276</v>
      </c>
    </row>
    <row r="715" spans="3:13" x14ac:dyDescent="0.35">
      <c r="C715" s="5"/>
      <c r="D715" s="5" t="s">
        <v>751</v>
      </c>
      <c r="E715" s="5">
        <v>935093146</v>
      </c>
      <c r="F715" s="5" t="s">
        <v>903</v>
      </c>
      <c r="G715" s="5"/>
      <c r="H715" s="5"/>
      <c r="I715" s="17"/>
      <c r="J715" s="5"/>
      <c r="K715" s="5"/>
      <c r="L715" s="5" t="s">
        <v>919</v>
      </c>
      <c r="M715" s="5" t="s">
        <v>1276</v>
      </c>
    </row>
    <row r="716" spans="3:13" x14ac:dyDescent="0.35">
      <c r="C716" s="5"/>
      <c r="D716" s="5" t="s">
        <v>752</v>
      </c>
      <c r="E716" s="5">
        <v>938976124</v>
      </c>
      <c r="F716" s="5" t="s">
        <v>903</v>
      </c>
      <c r="G716" s="5"/>
      <c r="H716" s="5" t="s">
        <v>752</v>
      </c>
      <c r="I716" s="17">
        <v>7.4962262755578696E+18</v>
      </c>
      <c r="J716" s="5" t="s">
        <v>913</v>
      </c>
      <c r="K716" s="5"/>
      <c r="L716" s="5" t="s">
        <v>1252</v>
      </c>
      <c r="M716" s="5" t="s">
        <v>1276</v>
      </c>
    </row>
    <row r="717" spans="3:13" x14ac:dyDescent="0.35">
      <c r="C717" s="5"/>
      <c r="D717" s="5" t="s">
        <v>753</v>
      </c>
      <c r="E717" s="5">
        <v>941804324</v>
      </c>
      <c r="F717" s="5" t="s">
        <v>906</v>
      </c>
      <c r="G717" s="5"/>
      <c r="H717" s="5" t="s">
        <v>753</v>
      </c>
      <c r="I717" s="17">
        <v>7.4962492468254095E+18</v>
      </c>
      <c r="J717" s="5" t="s">
        <v>928</v>
      </c>
      <c r="K717" s="5"/>
      <c r="L717" s="5" t="s">
        <v>1253</v>
      </c>
      <c r="M717" s="5" t="s">
        <v>1276</v>
      </c>
    </row>
    <row r="718" spans="3:13" x14ac:dyDescent="0.35">
      <c r="C718" s="5"/>
      <c r="D718" s="5" t="s">
        <v>754</v>
      </c>
      <c r="E718" s="5">
        <v>942739865</v>
      </c>
      <c r="F718" s="5" t="s">
        <v>903</v>
      </c>
      <c r="G718" s="5"/>
      <c r="H718" s="5" t="s">
        <v>754</v>
      </c>
      <c r="I718" s="17">
        <v>7.4961883164609997E+18</v>
      </c>
      <c r="J718" s="5" t="s">
        <v>913</v>
      </c>
      <c r="K718" s="5"/>
      <c r="L718" s="5"/>
      <c r="M718" s="5" t="s">
        <v>1276</v>
      </c>
    </row>
    <row r="719" spans="3:13" x14ac:dyDescent="0.35">
      <c r="C719" s="5"/>
      <c r="D719" s="5" t="s">
        <v>755</v>
      </c>
      <c r="E719" s="5">
        <v>943293692</v>
      </c>
      <c r="F719" s="5" t="s">
        <v>903</v>
      </c>
      <c r="G719" s="5"/>
      <c r="H719" s="5" t="s">
        <v>755</v>
      </c>
      <c r="I719" s="17">
        <v>7.4962722271514798E+18</v>
      </c>
      <c r="J719" s="5" t="s">
        <v>911</v>
      </c>
      <c r="K719" s="5"/>
      <c r="L719" s="5" t="s">
        <v>1254</v>
      </c>
      <c r="M719" s="5" t="s">
        <v>1276</v>
      </c>
    </row>
    <row r="720" spans="3:13" x14ac:dyDescent="0.35">
      <c r="C720" s="5"/>
      <c r="D720" s="5" t="s">
        <v>756</v>
      </c>
      <c r="E720" s="5">
        <v>944725778</v>
      </c>
      <c r="F720" s="5" t="s">
        <v>904</v>
      </c>
      <c r="G720" s="5"/>
      <c r="H720" s="5" t="s">
        <v>756</v>
      </c>
      <c r="I720" s="17">
        <v>7.4961617031852503E+18</v>
      </c>
      <c r="J720" s="5" t="s">
        <v>918</v>
      </c>
      <c r="K720" s="5"/>
      <c r="L720" s="5" t="s">
        <v>1255</v>
      </c>
      <c r="M720" s="5" t="s">
        <v>1276</v>
      </c>
    </row>
    <row r="721" spans="3:13" x14ac:dyDescent="0.35">
      <c r="C721" s="5"/>
      <c r="D721" s="5" t="s">
        <v>757</v>
      </c>
      <c r="E721" s="5">
        <v>950037595</v>
      </c>
      <c r="F721" s="5" t="s">
        <v>905</v>
      </c>
      <c r="G721" s="5"/>
      <c r="H721" s="5" t="s">
        <v>757</v>
      </c>
      <c r="I721" s="17">
        <v>7.4963045752445E+18</v>
      </c>
      <c r="J721" s="5"/>
      <c r="K721" s="5"/>
      <c r="L721" s="5"/>
      <c r="M721" s="5" t="s">
        <v>1276</v>
      </c>
    </row>
    <row r="722" spans="3:13" x14ac:dyDescent="0.35">
      <c r="C722" s="5"/>
      <c r="D722" s="5" t="s">
        <v>758</v>
      </c>
      <c r="E722" s="5">
        <v>950863740</v>
      </c>
      <c r="F722" s="5" t="s">
        <v>903</v>
      </c>
      <c r="G722" s="5"/>
      <c r="H722" s="5" t="s">
        <v>758</v>
      </c>
      <c r="I722" s="17">
        <v>7.4961888706042604E+18</v>
      </c>
      <c r="J722" s="5" t="s">
        <v>924</v>
      </c>
      <c r="K722" s="5"/>
      <c r="L722" s="5" t="s">
        <v>1256</v>
      </c>
      <c r="M722" s="5" t="s">
        <v>1276</v>
      </c>
    </row>
    <row r="723" spans="3:13" x14ac:dyDescent="0.35">
      <c r="C723" s="5"/>
      <c r="D723" s="5" t="s">
        <v>759</v>
      </c>
      <c r="E723" s="5">
        <v>951293280</v>
      </c>
      <c r="F723" s="5" t="s">
        <v>905</v>
      </c>
      <c r="G723" s="5"/>
      <c r="H723" s="5" t="s">
        <v>759</v>
      </c>
      <c r="I723" s="17">
        <v>7.4961874374276198E+18</v>
      </c>
      <c r="J723" s="5" t="s">
        <v>908</v>
      </c>
      <c r="K723" s="5"/>
      <c r="L723" s="5" t="s">
        <v>1257</v>
      </c>
      <c r="M723" s="5" t="s">
        <v>1276</v>
      </c>
    </row>
    <row r="724" spans="3:13" x14ac:dyDescent="0.35">
      <c r="C724" s="5"/>
      <c r="D724" s="5" t="s">
        <v>760</v>
      </c>
      <c r="E724" s="5">
        <v>959459848</v>
      </c>
      <c r="F724" s="5" t="s">
        <v>903</v>
      </c>
      <c r="G724" s="5"/>
      <c r="H724" s="5"/>
      <c r="I724" s="17"/>
      <c r="J724" s="5"/>
      <c r="K724" s="5"/>
      <c r="L724" s="5"/>
      <c r="M724" s="5" t="s">
        <v>1276</v>
      </c>
    </row>
    <row r="725" spans="3:13" x14ac:dyDescent="0.35">
      <c r="C725" s="5"/>
      <c r="D725" s="5" t="s">
        <v>761</v>
      </c>
      <c r="E725" s="5">
        <v>961638733</v>
      </c>
      <c r="F725" s="5" t="s">
        <v>906</v>
      </c>
      <c r="G725" s="5"/>
      <c r="H725" s="5" t="s">
        <v>761</v>
      </c>
      <c r="I725" s="17">
        <v>7.4961820935382897E+18</v>
      </c>
      <c r="J725" s="5"/>
      <c r="K725" s="5"/>
      <c r="L725" s="5"/>
      <c r="M725" s="5" t="s">
        <v>1276</v>
      </c>
    </row>
    <row r="726" spans="3:13" x14ac:dyDescent="0.35">
      <c r="C726" s="5"/>
      <c r="D726" s="5" t="s">
        <v>762</v>
      </c>
      <c r="E726" s="5">
        <v>962458284</v>
      </c>
      <c r="F726" s="5" t="s">
        <v>906</v>
      </c>
      <c r="G726" s="5"/>
      <c r="H726" s="5" t="s">
        <v>762</v>
      </c>
      <c r="I726" s="17">
        <v>7.49618289368226E+18</v>
      </c>
      <c r="J726" s="5" t="s">
        <v>926</v>
      </c>
      <c r="K726" s="5"/>
      <c r="L726" s="5"/>
      <c r="M726" s="5" t="s">
        <v>1276</v>
      </c>
    </row>
    <row r="727" spans="3:13" x14ac:dyDescent="0.35">
      <c r="C727" s="5"/>
      <c r="D727" s="5" t="s">
        <v>763</v>
      </c>
      <c r="E727" s="5">
        <v>969401129</v>
      </c>
      <c r="F727" s="5" t="s">
        <v>903</v>
      </c>
      <c r="G727" s="5"/>
      <c r="H727" s="5" t="s">
        <v>763</v>
      </c>
      <c r="I727" s="17">
        <v>7.4956253143559997E+18</v>
      </c>
      <c r="J727" s="5" t="s">
        <v>933</v>
      </c>
      <c r="K727" s="5"/>
      <c r="L727" s="5" t="s">
        <v>1258</v>
      </c>
      <c r="M727" s="5" t="s">
        <v>1276</v>
      </c>
    </row>
    <row r="728" spans="3:13" x14ac:dyDescent="0.35">
      <c r="C728" s="5"/>
      <c r="D728" s="5" t="s">
        <v>764</v>
      </c>
      <c r="E728" s="5">
        <v>972112880</v>
      </c>
      <c r="F728" s="5" t="s">
        <v>905</v>
      </c>
      <c r="G728" s="5"/>
      <c r="H728" s="5" t="s">
        <v>764</v>
      </c>
      <c r="I728" s="17">
        <v>7.49632185885265E+18</v>
      </c>
      <c r="J728" s="5" t="s">
        <v>926</v>
      </c>
      <c r="K728" s="5"/>
      <c r="L728" s="5" t="s">
        <v>1259</v>
      </c>
      <c r="M728" s="5" t="s">
        <v>1276</v>
      </c>
    </row>
    <row r="729" spans="3:13" x14ac:dyDescent="0.35">
      <c r="C729" s="5"/>
      <c r="D729" s="5" t="s">
        <v>765</v>
      </c>
      <c r="E729" s="5">
        <v>974102638</v>
      </c>
      <c r="F729" s="5" t="s">
        <v>906</v>
      </c>
      <c r="G729" s="5"/>
      <c r="H729" s="5" t="s">
        <v>765</v>
      </c>
      <c r="I729" s="17">
        <v>7.4962282624030095E+18</v>
      </c>
      <c r="J729" s="5" t="s">
        <v>939</v>
      </c>
      <c r="K729" s="5"/>
      <c r="L729" s="5"/>
      <c r="M729" s="5" t="s">
        <v>1276</v>
      </c>
    </row>
    <row r="730" spans="3:13" x14ac:dyDescent="0.35">
      <c r="C730" s="5"/>
      <c r="D730" s="5" t="s">
        <v>766</v>
      </c>
      <c r="E730" s="5">
        <v>979541184</v>
      </c>
      <c r="F730" s="5" t="s">
        <v>903</v>
      </c>
      <c r="G730" s="5"/>
      <c r="H730" s="5"/>
      <c r="I730" s="17"/>
      <c r="J730" s="5"/>
      <c r="K730" s="5"/>
      <c r="L730" s="5"/>
      <c r="M730" s="5" t="s">
        <v>1276</v>
      </c>
    </row>
    <row r="731" spans="3:13" x14ac:dyDescent="0.35">
      <c r="C731" s="5"/>
      <c r="D731" s="5" t="s">
        <v>767</v>
      </c>
      <c r="E731" s="5">
        <v>979730489</v>
      </c>
      <c r="F731" s="5" t="s">
        <v>905</v>
      </c>
      <c r="G731" s="5"/>
      <c r="H731" s="5" t="s">
        <v>767</v>
      </c>
      <c r="I731" s="17">
        <v>7.4961387013116703E+18</v>
      </c>
      <c r="J731" s="5" t="s">
        <v>984</v>
      </c>
      <c r="K731" s="5"/>
      <c r="L731" s="5" t="s">
        <v>1260</v>
      </c>
      <c r="M731" s="5" t="s">
        <v>1276</v>
      </c>
    </row>
    <row r="732" spans="3:13" x14ac:dyDescent="0.35">
      <c r="C732" s="5"/>
      <c r="D732" s="5" t="s">
        <v>768</v>
      </c>
      <c r="E732" s="5">
        <v>984950642</v>
      </c>
      <c r="F732" s="5" t="s">
        <v>905</v>
      </c>
      <c r="G732" s="5"/>
      <c r="H732" s="5" t="s">
        <v>768</v>
      </c>
      <c r="I732" s="17">
        <v>7.49412591350733E+18</v>
      </c>
      <c r="J732" s="5"/>
      <c r="K732" s="5"/>
      <c r="L732" s="5"/>
      <c r="M732" s="5" t="s">
        <v>1276</v>
      </c>
    </row>
    <row r="733" spans="3:13" x14ac:dyDescent="0.35">
      <c r="C733" s="5"/>
      <c r="D733" s="5" t="s">
        <v>769</v>
      </c>
      <c r="E733" s="5">
        <v>986450286</v>
      </c>
      <c r="F733" s="5" t="s">
        <v>906</v>
      </c>
      <c r="G733" s="5"/>
      <c r="H733" s="5" t="s">
        <v>769</v>
      </c>
      <c r="I733" s="17">
        <v>7.4961822100321997E+18</v>
      </c>
      <c r="J733" s="5" t="s">
        <v>984</v>
      </c>
      <c r="K733" s="5"/>
      <c r="L733" s="5" t="s">
        <v>1261</v>
      </c>
      <c r="M733" s="5" t="s">
        <v>1276</v>
      </c>
    </row>
    <row r="734" spans="3:13" x14ac:dyDescent="0.35">
      <c r="C734" s="5"/>
      <c r="D734" s="5" t="s">
        <v>770</v>
      </c>
      <c r="E734" s="5">
        <v>987857635</v>
      </c>
      <c r="F734" s="5" t="s">
        <v>903</v>
      </c>
      <c r="G734" s="5"/>
      <c r="H734" s="5" t="s">
        <v>770</v>
      </c>
      <c r="I734" s="17">
        <v>7.4961810156192E+18</v>
      </c>
      <c r="J734" s="5" t="s">
        <v>910</v>
      </c>
      <c r="K734" s="5"/>
      <c r="L734" s="5"/>
      <c r="M734" s="5" t="s">
        <v>1276</v>
      </c>
    </row>
    <row r="735" spans="3:13" x14ac:dyDescent="0.35">
      <c r="C735" s="5"/>
      <c r="D735" s="5" t="s">
        <v>771</v>
      </c>
      <c r="E735" s="5">
        <v>995022276</v>
      </c>
      <c r="F735" s="5" t="s">
        <v>905</v>
      </c>
      <c r="G735" s="5"/>
      <c r="H735" s="5" t="s">
        <v>771</v>
      </c>
      <c r="I735" s="17">
        <v>7.4961622281287404E+18</v>
      </c>
      <c r="J735" s="5" t="s">
        <v>918</v>
      </c>
      <c r="K735" s="5"/>
      <c r="L735" s="5" t="s">
        <v>1262</v>
      </c>
      <c r="M735" s="5" t="s">
        <v>1276</v>
      </c>
    </row>
    <row r="736" spans="3:13" x14ac:dyDescent="0.35">
      <c r="C736" s="5"/>
      <c r="D736" s="5" t="s">
        <v>772</v>
      </c>
      <c r="E736" s="5">
        <v>995108157</v>
      </c>
      <c r="F736" s="5" t="s">
        <v>905</v>
      </c>
      <c r="G736" s="5"/>
      <c r="H736" s="5" t="s">
        <v>772</v>
      </c>
      <c r="I736" s="17">
        <v>7.49621652959838E+18</v>
      </c>
      <c r="J736" s="5" t="s">
        <v>928</v>
      </c>
      <c r="K736" s="5"/>
      <c r="L736" s="5" t="s">
        <v>1263</v>
      </c>
      <c r="M736" s="5" t="s">
        <v>1276</v>
      </c>
    </row>
    <row r="737" spans="3:13" x14ac:dyDescent="0.35">
      <c r="C737" s="5"/>
      <c r="D737" s="5" t="s">
        <v>773</v>
      </c>
      <c r="E737" s="5">
        <v>998268968</v>
      </c>
      <c r="F737" s="5" t="s">
        <v>903</v>
      </c>
      <c r="G737" s="5"/>
      <c r="H737" s="5" t="s">
        <v>773</v>
      </c>
      <c r="I737" s="17">
        <v>7.4961833107668603E+18</v>
      </c>
      <c r="J737" s="5" t="s">
        <v>910</v>
      </c>
      <c r="K737" s="5"/>
      <c r="L737" s="5" t="s">
        <v>1264</v>
      </c>
      <c r="M737" s="5" t="s">
        <v>1276</v>
      </c>
    </row>
    <row r="738" spans="3:13" x14ac:dyDescent="0.35">
      <c r="C738" s="5"/>
      <c r="D738" s="5" t="s">
        <v>774</v>
      </c>
      <c r="E738" s="5">
        <v>999698643</v>
      </c>
      <c r="F738" s="5" t="s">
        <v>903</v>
      </c>
      <c r="G738" s="5"/>
      <c r="H738" s="5" t="s">
        <v>774</v>
      </c>
      <c r="I738" s="17">
        <v>7.49618198086349E+18</v>
      </c>
      <c r="J738" s="5" t="s">
        <v>969</v>
      </c>
      <c r="K738" s="5"/>
      <c r="L738" s="5" t="s">
        <v>1265</v>
      </c>
      <c r="M738" s="5" t="s">
        <v>1276</v>
      </c>
    </row>
    <row r="739" spans="3:13" x14ac:dyDescent="0.35">
      <c r="C739" s="5"/>
      <c r="D739" s="5" t="s">
        <v>49</v>
      </c>
      <c r="E739" s="5">
        <v>1005980154</v>
      </c>
      <c r="F739" s="5" t="s">
        <v>905</v>
      </c>
      <c r="G739" s="5"/>
      <c r="H739" s="5" t="s">
        <v>49</v>
      </c>
      <c r="I739" s="17">
        <v>7.4941692853928202E+18</v>
      </c>
      <c r="J739" s="5"/>
      <c r="K739" s="5"/>
      <c r="L739" s="5"/>
      <c r="M739" s="5" t="s">
        <v>1276</v>
      </c>
    </row>
    <row r="740" spans="3:13" x14ac:dyDescent="0.35">
      <c r="C740" s="5"/>
      <c r="D740" s="5" t="s">
        <v>50</v>
      </c>
      <c r="E740" s="5">
        <v>1006863047</v>
      </c>
      <c r="F740" s="5" t="s">
        <v>904</v>
      </c>
      <c r="G740" s="5"/>
      <c r="H740" s="5" t="s">
        <v>50</v>
      </c>
      <c r="I740" s="17">
        <v>7.4962673501888502E+18</v>
      </c>
      <c r="J740" s="5" t="s">
        <v>910</v>
      </c>
      <c r="K740" s="5"/>
      <c r="L740" s="5"/>
      <c r="M740" s="5" t="s">
        <v>1276</v>
      </c>
    </row>
    <row r="741" spans="3:13" x14ac:dyDescent="0.35">
      <c r="C741" s="5"/>
      <c r="D741" s="5" t="s">
        <v>87</v>
      </c>
      <c r="E741" s="5">
        <v>1061277659</v>
      </c>
      <c r="F741" s="5" t="s">
        <v>904</v>
      </c>
      <c r="G741" s="5"/>
      <c r="H741" s="5"/>
      <c r="I741" s="17"/>
      <c r="J741" s="5"/>
      <c r="K741" s="5"/>
      <c r="L741" s="5"/>
      <c r="M741" s="5" t="s">
        <v>1276</v>
      </c>
    </row>
    <row r="742" spans="3:13" x14ac:dyDescent="0.35">
      <c r="C742" s="5"/>
      <c r="D742" s="5" t="s">
        <v>93</v>
      </c>
      <c r="E742" s="5">
        <v>1072776754</v>
      </c>
      <c r="F742" s="5" t="s">
        <v>904</v>
      </c>
      <c r="G742" s="5"/>
      <c r="H742" s="5" t="s">
        <v>93</v>
      </c>
      <c r="I742" s="17">
        <v>7.4961448051308298E+18</v>
      </c>
      <c r="J742" s="5" t="s">
        <v>916</v>
      </c>
      <c r="K742" s="5"/>
      <c r="L742" s="5"/>
      <c r="M742" s="5" t="s">
        <v>1276</v>
      </c>
    </row>
    <row r="743" spans="3:13" x14ac:dyDescent="0.35">
      <c r="C743" s="5"/>
      <c r="D743" s="5" t="s">
        <v>127</v>
      </c>
      <c r="E743" s="5">
        <v>1146998712</v>
      </c>
      <c r="F743" s="5" t="s">
        <v>905</v>
      </c>
      <c r="G743" s="5"/>
      <c r="H743" s="5" t="s">
        <v>127</v>
      </c>
      <c r="I743" s="17">
        <v>7.4961819163707597E+18</v>
      </c>
      <c r="J743" s="5" t="s">
        <v>918</v>
      </c>
      <c r="K743" s="5"/>
      <c r="L743" s="5"/>
      <c r="M743" s="5" t="s">
        <v>1276</v>
      </c>
    </row>
    <row r="744" spans="3:13" x14ac:dyDescent="0.35">
      <c r="C744" s="5"/>
      <c r="D744" s="5" t="s">
        <v>135</v>
      </c>
      <c r="E744" s="5">
        <v>1170622375</v>
      </c>
      <c r="F744" s="5" t="s">
        <v>905</v>
      </c>
      <c r="G744" s="5"/>
      <c r="H744" s="5" t="s">
        <v>135</v>
      </c>
      <c r="I744" s="17">
        <v>7.4941576476083804E+18</v>
      </c>
      <c r="J744" s="5"/>
      <c r="K744" s="5"/>
      <c r="L744" s="5"/>
      <c r="M744" s="5" t="s">
        <v>1276</v>
      </c>
    </row>
    <row r="745" spans="3:13" x14ac:dyDescent="0.35">
      <c r="C745" s="5"/>
      <c r="D745" s="5" t="s">
        <v>137</v>
      </c>
      <c r="E745" s="5">
        <v>1171941844</v>
      </c>
      <c r="F745" s="5" t="s">
        <v>906</v>
      </c>
      <c r="G745" s="5"/>
      <c r="H745" s="5" t="s">
        <v>137</v>
      </c>
      <c r="I745" s="17">
        <v>7.4961873486265395E+18</v>
      </c>
      <c r="J745" s="5" t="s">
        <v>936</v>
      </c>
      <c r="K745" s="5"/>
      <c r="L745" s="5" t="s">
        <v>966</v>
      </c>
      <c r="M745" s="5" t="s">
        <v>1276</v>
      </c>
    </row>
    <row r="746" spans="3:13" x14ac:dyDescent="0.35">
      <c r="C746" s="5"/>
      <c r="D746" s="5" t="s">
        <v>188</v>
      </c>
      <c r="E746" s="5">
        <v>1271907467</v>
      </c>
      <c r="F746" s="5" t="s">
        <v>904</v>
      </c>
      <c r="G746" s="5"/>
      <c r="H746" s="5"/>
      <c r="I746" s="17"/>
      <c r="J746" s="5"/>
      <c r="K746" s="5"/>
      <c r="L746" s="5"/>
      <c r="M746" s="5" t="s">
        <v>1276</v>
      </c>
    </row>
    <row r="747" spans="3:13" x14ac:dyDescent="0.35">
      <c r="C747" s="5"/>
      <c r="D747" s="5" t="s">
        <v>211</v>
      </c>
      <c r="E747" s="5">
        <v>1340867165</v>
      </c>
      <c r="F747" s="5" t="s">
        <v>906</v>
      </c>
      <c r="G747" s="5"/>
      <c r="H747" s="5" t="s">
        <v>211</v>
      </c>
      <c r="I747" s="17">
        <v>7.4962125162776801E+18</v>
      </c>
      <c r="J747" s="5" t="s">
        <v>941</v>
      </c>
      <c r="K747" s="5"/>
      <c r="L747" s="5" t="s">
        <v>1005</v>
      </c>
      <c r="M747" s="5" t="s">
        <v>1276</v>
      </c>
    </row>
    <row r="748" spans="3:13" x14ac:dyDescent="0.35">
      <c r="C748" s="5"/>
      <c r="D748" s="5" t="s">
        <v>775</v>
      </c>
      <c r="E748" s="5">
        <v>1348990579</v>
      </c>
      <c r="F748" s="5" t="s">
        <v>903</v>
      </c>
      <c r="G748" s="5"/>
      <c r="H748" s="5"/>
      <c r="I748" s="17"/>
      <c r="J748" s="5"/>
      <c r="K748" s="5"/>
      <c r="L748" s="5"/>
      <c r="M748" s="5" t="s">
        <v>1276</v>
      </c>
    </row>
    <row r="749" spans="3:13" x14ac:dyDescent="0.35">
      <c r="C749" s="5"/>
      <c r="D749" s="5" t="s">
        <v>218</v>
      </c>
      <c r="E749" s="5">
        <v>1362271096</v>
      </c>
      <c r="F749" s="5" t="s">
        <v>904</v>
      </c>
      <c r="G749" s="5"/>
      <c r="H749" s="5"/>
      <c r="I749" s="17"/>
      <c r="J749" s="5"/>
      <c r="K749" s="5"/>
      <c r="L749" s="5"/>
      <c r="M749" s="5" t="s">
        <v>1276</v>
      </c>
    </row>
    <row r="750" spans="3:13" x14ac:dyDescent="0.35">
      <c r="C750" s="5"/>
      <c r="D750" s="5" t="s">
        <v>230</v>
      </c>
      <c r="E750" s="5">
        <v>1383463294</v>
      </c>
      <c r="F750" s="5" t="s">
        <v>905</v>
      </c>
      <c r="G750" s="5"/>
      <c r="H750" s="5" t="s">
        <v>230</v>
      </c>
      <c r="I750" s="17">
        <v>7.4961821525006397E+18</v>
      </c>
      <c r="J750" s="5"/>
      <c r="K750" s="5"/>
      <c r="L750" s="5"/>
      <c r="M750" s="5" t="s">
        <v>1276</v>
      </c>
    </row>
    <row r="751" spans="3:13" x14ac:dyDescent="0.35">
      <c r="C751" s="5"/>
      <c r="D751" s="5" t="s">
        <v>234</v>
      </c>
      <c r="E751" s="5">
        <v>1384322861</v>
      </c>
      <c r="F751" s="5" t="s">
        <v>905</v>
      </c>
      <c r="G751" s="5"/>
      <c r="H751" s="5" t="s">
        <v>234</v>
      </c>
      <c r="I751" s="17">
        <v>7.4961828797763103E+18</v>
      </c>
      <c r="J751" s="5" t="s">
        <v>984</v>
      </c>
      <c r="K751" s="5"/>
      <c r="L751" s="5"/>
      <c r="M751" s="5" t="s">
        <v>1276</v>
      </c>
    </row>
    <row r="752" spans="3:13" x14ac:dyDescent="0.35">
      <c r="C752" s="5"/>
      <c r="D752" s="5" t="s">
        <v>776</v>
      </c>
      <c r="E752" s="5">
        <v>1412408378</v>
      </c>
      <c r="F752" s="5" t="s">
        <v>906</v>
      </c>
      <c r="G752" s="5"/>
      <c r="H752" s="5"/>
      <c r="I752" s="17"/>
      <c r="J752" s="5"/>
      <c r="K752" s="5"/>
      <c r="L752" s="5"/>
      <c r="M752" s="5" t="s">
        <v>1276</v>
      </c>
    </row>
    <row r="753" spans="3:13" x14ac:dyDescent="0.35">
      <c r="C753" s="5"/>
      <c r="D753" s="5" t="s">
        <v>271</v>
      </c>
      <c r="E753" s="5">
        <v>1458103805</v>
      </c>
      <c r="F753" s="5" t="s">
        <v>906</v>
      </c>
      <c r="G753" s="5"/>
      <c r="H753" s="5"/>
      <c r="I753" s="17"/>
      <c r="J753" s="5"/>
      <c r="K753" s="5"/>
      <c r="L753" s="5"/>
      <c r="M753" s="5" t="s">
        <v>1276</v>
      </c>
    </row>
    <row r="754" spans="3:13" x14ac:dyDescent="0.35">
      <c r="C754" s="5"/>
      <c r="D754" s="5" t="s">
        <v>291</v>
      </c>
      <c r="E754" s="5">
        <v>1504994084</v>
      </c>
      <c r="F754" s="5" t="s">
        <v>905</v>
      </c>
      <c r="G754" s="5"/>
      <c r="H754" s="5" t="s">
        <v>291</v>
      </c>
      <c r="I754" s="17">
        <v>7.4962708127678095E+18</v>
      </c>
      <c r="J754" s="5" t="s">
        <v>916</v>
      </c>
      <c r="K754" s="5"/>
      <c r="L754" s="5" t="s">
        <v>1043</v>
      </c>
      <c r="M754" s="5" t="s">
        <v>1276</v>
      </c>
    </row>
    <row r="755" spans="3:13" x14ac:dyDescent="0.35">
      <c r="C755" s="5"/>
      <c r="D755" s="5" t="s">
        <v>777</v>
      </c>
      <c r="E755" s="5">
        <v>1507137460</v>
      </c>
      <c r="F755" s="5" t="s">
        <v>904</v>
      </c>
      <c r="G755" s="5"/>
      <c r="H755" s="5"/>
      <c r="I755" s="17"/>
      <c r="J755" s="5"/>
      <c r="K755" s="5"/>
      <c r="L755" s="5"/>
      <c r="M755" s="5" t="s">
        <v>1276</v>
      </c>
    </row>
    <row r="756" spans="3:13" x14ac:dyDescent="0.35">
      <c r="C756" s="5"/>
      <c r="D756" s="5" t="s">
        <v>298</v>
      </c>
      <c r="E756" s="5">
        <v>1515050102</v>
      </c>
      <c r="F756" s="5" t="s">
        <v>906</v>
      </c>
      <c r="G756" s="5"/>
      <c r="H756" s="5"/>
      <c r="I756" s="17"/>
      <c r="J756" s="5"/>
      <c r="K756" s="5"/>
      <c r="L756" s="5"/>
      <c r="M756" s="5" t="s">
        <v>1276</v>
      </c>
    </row>
    <row r="757" spans="3:13" x14ac:dyDescent="0.35">
      <c r="C757" s="5"/>
      <c r="D757" s="5" t="s">
        <v>318</v>
      </c>
      <c r="E757" s="5">
        <v>1553736756</v>
      </c>
      <c r="F757" s="5" t="s">
        <v>906</v>
      </c>
      <c r="G757" s="5"/>
      <c r="H757" s="5" t="s">
        <v>318</v>
      </c>
      <c r="I757" s="17">
        <v>7.4962439492078397E+18</v>
      </c>
      <c r="J757" s="5" t="s">
        <v>916</v>
      </c>
      <c r="K757" s="5"/>
      <c r="L757" s="5" t="s">
        <v>1056</v>
      </c>
      <c r="M757" s="5" t="s">
        <v>1276</v>
      </c>
    </row>
    <row r="758" spans="3:13" x14ac:dyDescent="0.35">
      <c r="C758" s="5"/>
      <c r="D758" s="5" t="s">
        <v>325</v>
      </c>
      <c r="E758" s="5">
        <v>1569849623</v>
      </c>
      <c r="F758" s="5" t="s">
        <v>906</v>
      </c>
      <c r="G758" s="5"/>
      <c r="H758" s="5" t="s">
        <v>325</v>
      </c>
      <c r="I758" s="17">
        <v>7.4962813517645998E+18</v>
      </c>
      <c r="J758" s="5" t="s">
        <v>926</v>
      </c>
      <c r="K758" s="5"/>
      <c r="L758" s="5" t="s">
        <v>1060</v>
      </c>
      <c r="M758" s="5" t="s">
        <v>1276</v>
      </c>
    </row>
    <row r="759" spans="3:13" x14ac:dyDescent="0.35">
      <c r="C759" s="5"/>
      <c r="D759" s="5" t="s">
        <v>329</v>
      </c>
      <c r="E759" s="5">
        <v>1577653559</v>
      </c>
      <c r="F759" s="5" t="s">
        <v>903</v>
      </c>
      <c r="G759" s="5"/>
      <c r="H759" s="5" t="s">
        <v>329</v>
      </c>
      <c r="I759" s="17">
        <v>7.49632191119966E+18</v>
      </c>
      <c r="J759" s="5" t="s">
        <v>941</v>
      </c>
      <c r="K759" s="5"/>
      <c r="L759" s="5" t="s">
        <v>1061</v>
      </c>
      <c r="M759" s="5" t="s">
        <v>1276</v>
      </c>
    </row>
    <row r="760" spans="3:13" x14ac:dyDescent="0.35">
      <c r="C760" s="5"/>
      <c r="D760" s="5" t="s">
        <v>335</v>
      </c>
      <c r="E760" s="5">
        <v>1588813077</v>
      </c>
      <c r="F760" s="5" t="s">
        <v>905</v>
      </c>
      <c r="G760" s="5"/>
      <c r="H760" s="5" t="s">
        <v>335</v>
      </c>
      <c r="I760" s="17">
        <v>7.4940932327317504E+18</v>
      </c>
      <c r="J760" s="5"/>
      <c r="K760" s="5"/>
      <c r="L760" s="5"/>
      <c r="M760" s="5" t="s">
        <v>1276</v>
      </c>
    </row>
    <row r="761" spans="3:13" x14ac:dyDescent="0.35">
      <c r="C761" s="5"/>
      <c r="D761" s="5" t="s">
        <v>778</v>
      </c>
      <c r="E761" s="5">
        <v>1600848660</v>
      </c>
      <c r="F761" s="5" t="s">
        <v>903</v>
      </c>
      <c r="G761" s="5"/>
      <c r="H761" s="5"/>
      <c r="I761" s="17"/>
      <c r="J761" s="5"/>
      <c r="K761" s="5"/>
      <c r="L761" s="5"/>
      <c r="M761" s="5" t="s">
        <v>1276</v>
      </c>
    </row>
    <row r="762" spans="3:13" x14ac:dyDescent="0.35">
      <c r="C762" s="5"/>
      <c r="D762" s="5" t="s">
        <v>779</v>
      </c>
      <c r="E762" s="5">
        <v>1603854026</v>
      </c>
      <c r="F762" s="5" t="s">
        <v>904</v>
      </c>
      <c r="G762" s="5"/>
      <c r="H762" s="5" t="s">
        <v>779</v>
      </c>
      <c r="I762" s="17">
        <v>7.4963167647788902E+18</v>
      </c>
      <c r="J762" s="5" t="s">
        <v>913</v>
      </c>
      <c r="K762" s="5"/>
      <c r="L762" s="5"/>
      <c r="M762" s="5" t="s">
        <v>1276</v>
      </c>
    </row>
    <row r="763" spans="3:13" x14ac:dyDescent="0.35">
      <c r="C763" s="5"/>
      <c r="D763" s="5" t="s">
        <v>780</v>
      </c>
      <c r="E763" s="5">
        <v>1615209975</v>
      </c>
      <c r="F763" s="5" t="s">
        <v>906</v>
      </c>
      <c r="G763" s="5"/>
      <c r="H763" s="5" t="s">
        <v>780</v>
      </c>
      <c r="I763" s="17">
        <v>7.4941284632876401E+18</v>
      </c>
      <c r="J763" s="5" t="s">
        <v>911</v>
      </c>
      <c r="K763" s="5"/>
      <c r="L763" s="5" t="s">
        <v>1266</v>
      </c>
      <c r="M763" s="5" t="s">
        <v>1276</v>
      </c>
    </row>
    <row r="764" spans="3:13" x14ac:dyDescent="0.35">
      <c r="C764" s="5"/>
      <c r="D764" s="5" t="s">
        <v>781</v>
      </c>
      <c r="E764" s="5">
        <v>1649593273</v>
      </c>
      <c r="F764" s="5" t="s">
        <v>906</v>
      </c>
      <c r="G764" s="5"/>
      <c r="H764" s="5" t="s">
        <v>781</v>
      </c>
      <c r="I764" s="17">
        <v>7.4961623008435497E+18</v>
      </c>
      <c r="J764" s="5" t="s">
        <v>926</v>
      </c>
      <c r="K764" s="5"/>
      <c r="L764" s="5" t="s">
        <v>1267</v>
      </c>
      <c r="M764" s="5" t="s">
        <v>1276</v>
      </c>
    </row>
    <row r="765" spans="3:13" x14ac:dyDescent="0.35">
      <c r="C765" s="5"/>
      <c r="D765" s="5" t="s">
        <v>358</v>
      </c>
      <c r="E765" s="5">
        <v>254374331</v>
      </c>
      <c r="F765" s="5" t="s">
        <v>905</v>
      </c>
      <c r="G765" s="5"/>
      <c r="H765" s="5" t="s">
        <v>358</v>
      </c>
      <c r="I765" s="17">
        <v>7.4941014030618798E+18</v>
      </c>
      <c r="J765" s="5" t="s">
        <v>926</v>
      </c>
      <c r="K765" s="5"/>
      <c r="L765" s="5" t="s">
        <v>1075</v>
      </c>
      <c r="M765" s="5" t="s">
        <v>1276</v>
      </c>
    </row>
    <row r="766" spans="3:13" x14ac:dyDescent="0.35">
      <c r="C766" s="5"/>
      <c r="D766" s="5" t="s">
        <v>369</v>
      </c>
      <c r="E766" s="5">
        <v>284901819</v>
      </c>
      <c r="F766" s="5" t="s">
        <v>903</v>
      </c>
      <c r="G766" s="5"/>
      <c r="H766" s="5" t="s">
        <v>369</v>
      </c>
      <c r="I766" s="17">
        <v>7.49620383353553E+18</v>
      </c>
      <c r="J766" s="5"/>
      <c r="K766" s="5"/>
      <c r="L766" s="5"/>
      <c r="M766" s="5" t="s">
        <v>1276</v>
      </c>
    </row>
    <row r="767" spans="3:13" x14ac:dyDescent="0.35">
      <c r="C767" s="5"/>
      <c r="D767" s="5" t="s">
        <v>372</v>
      </c>
      <c r="E767" s="5">
        <v>288586412</v>
      </c>
      <c r="F767" s="5" t="s">
        <v>906</v>
      </c>
      <c r="G767" s="5"/>
      <c r="H767" s="5" t="s">
        <v>372</v>
      </c>
      <c r="I767" s="17">
        <v>7.4960279127068795E+18</v>
      </c>
      <c r="J767" s="5" t="s">
        <v>911</v>
      </c>
      <c r="K767" s="5"/>
      <c r="L767" s="5" t="s">
        <v>1082</v>
      </c>
      <c r="M767" s="5" t="s">
        <v>1276</v>
      </c>
    </row>
    <row r="768" spans="3:13" x14ac:dyDescent="0.35">
      <c r="C768" s="5"/>
      <c r="D768" s="5" t="s">
        <v>782</v>
      </c>
      <c r="E768" s="5">
        <v>291565617</v>
      </c>
      <c r="F768" s="5" t="s">
        <v>905</v>
      </c>
      <c r="G768" s="5"/>
      <c r="H768" s="5"/>
      <c r="I768" s="17"/>
      <c r="J768" s="5"/>
      <c r="K768" s="5"/>
      <c r="L768" s="5"/>
      <c r="M768" s="5" t="s">
        <v>1276</v>
      </c>
    </row>
    <row r="769" spans="3:13" x14ac:dyDescent="0.35">
      <c r="C769" s="5"/>
      <c r="D769" s="5" t="s">
        <v>381</v>
      </c>
      <c r="E769" s="5">
        <v>293435711</v>
      </c>
      <c r="F769" s="5" t="s">
        <v>904</v>
      </c>
      <c r="G769" s="5"/>
      <c r="H769" s="5" t="s">
        <v>381</v>
      </c>
      <c r="I769" s="17">
        <v>7.4961820802946499E+18</v>
      </c>
      <c r="J769" s="5"/>
      <c r="K769" s="5"/>
      <c r="L769" s="5"/>
      <c r="M769" s="5" t="s">
        <v>1276</v>
      </c>
    </row>
    <row r="770" spans="3:13" x14ac:dyDescent="0.35">
      <c r="C770" s="5"/>
      <c r="D770" s="5" t="s">
        <v>410</v>
      </c>
      <c r="E770" s="5">
        <v>316450419</v>
      </c>
      <c r="F770" s="5" t="s">
        <v>905</v>
      </c>
      <c r="G770" s="5"/>
      <c r="H770" s="5" t="s">
        <v>410</v>
      </c>
      <c r="I770" s="17">
        <v>7.4961832954967798E+18</v>
      </c>
      <c r="J770" s="5" t="s">
        <v>933</v>
      </c>
      <c r="K770" s="5"/>
      <c r="L770" s="5" t="s">
        <v>1099</v>
      </c>
      <c r="M770" s="5" t="s">
        <v>1276</v>
      </c>
    </row>
    <row r="771" spans="3:13" x14ac:dyDescent="0.35">
      <c r="C771" s="5"/>
      <c r="D771" s="5" t="s">
        <v>413</v>
      </c>
      <c r="E771" s="5">
        <v>318011913</v>
      </c>
      <c r="F771" s="5" t="s">
        <v>905</v>
      </c>
      <c r="G771" s="5"/>
      <c r="H771" s="5" t="s">
        <v>413</v>
      </c>
      <c r="I771" s="17">
        <v>7.4961823657985597E+18</v>
      </c>
      <c r="J771" s="5" t="s">
        <v>908</v>
      </c>
      <c r="K771" s="5"/>
      <c r="L771" s="5" t="s">
        <v>1101</v>
      </c>
      <c r="M771" s="5" t="s">
        <v>1276</v>
      </c>
    </row>
    <row r="772" spans="3:13" x14ac:dyDescent="0.35">
      <c r="C772" s="5"/>
      <c r="D772" s="5" t="s">
        <v>429</v>
      </c>
      <c r="E772" s="5">
        <v>328666563</v>
      </c>
      <c r="F772" s="5" t="s">
        <v>906</v>
      </c>
      <c r="G772" s="5"/>
      <c r="H772" s="5" t="s">
        <v>429</v>
      </c>
      <c r="I772" s="17">
        <v>7.4961464312699597E+18</v>
      </c>
      <c r="J772" s="5" t="s">
        <v>908</v>
      </c>
      <c r="K772" s="5"/>
      <c r="L772" s="5" t="s">
        <v>1108</v>
      </c>
      <c r="M772" s="5" t="s">
        <v>1276</v>
      </c>
    </row>
    <row r="773" spans="3:13" x14ac:dyDescent="0.35">
      <c r="C773" s="5"/>
      <c r="D773" s="5" t="s">
        <v>436</v>
      </c>
      <c r="E773" s="5">
        <v>331517678</v>
      </c>
      <c r="F773" s="5" t="s">
        <v>906</v>
      </c>
      <c r="G773" s="5"/>
      <c r="H773" s="5"/>
      <c r="I773" s="17"/>
      <c r="J773" s="5"/>
      <c r="K773" s="5"/>
      <c r="L773" s="5"/>
      <c r="M773" s="5" t="s">
        <v>1276</v>
      </c>
    </row>
    <row r="774" spans="3:13" x14ac:dyDescent="0.35">
      <c r="C774" s="5"/>
      <c r="D774" s="5" t="s">
        <v>783</v>
      </c>
      <c r="E774" s="5">
        <v>336293864</v>
      </c>
      <c r="F774" s="5" t="s">
        <v>905</v>
      </c>
      <c r="G774" s="5"/>
      <c r="H774" s="5" t="s">
        <v>783</v>
      </c>
      <c r="I774" s="17">
        <v>7.4961604100701901E+18</v>
      </c>
      <c r="J774" s="5" t="s">
        <v>908</v>
      </c>
      <c r="K774" s="5"/>
      <c r="L774" s="5"/>
      <c r="M774" s="5" t="s">
        <v>1276</v>
      </c>
    </row>
    <row r="775" spans="3:13" x14ac:dyDescent="0.35">
      <c r="C775" s="5"/>
      <c r="D775" s="5" t="s">
        <v>459</v>
      </c>
      <c r="E775" s="5">
        <v>349602064</v>
      </c>
      <c r="F775" s="5" t="s">
        <v>905</v>
      </c>
      <c r="G775" s="5"/>
      <c r="H775" s="5" t="s">
        <v>459</v>
      </c>
      <c r="I775" s="17">
        <v>7.4961880135646198E+18</v>
      </c>
      <c r="J775" s="5" t="s">
        <v>924</v>
      </c>
      <c r="K775" s="5"/>
      <c r="L775" s="5" t="s">
        <v>1121</v>
      </c>
      <c r="M775" s="5" t="s">
        <v>1276</v>
      </c>
    </row>
    <row r="776" spans="3:13" x14ac:dyDescent="0.35">
      <c r="C776" s="5"/>
      <c r="D776" s="5" t="s">
        <v>460</v>
      </c>
      <c r="E776" s="5">
        <v>352674932</v>
      </c>
      <c r="F776" s="5" t="s">
        <v>906</v>
      </c>
      <c r="G776" s="5"/>
      <c r="H776" s="5" t="s">
        <v>460</v>
      </c>
      <c r="I776" s="17">
        <v>7.49616343596083E+18</v>
      </c>
      <c r="J776" s="5"/>
      <c r="K776" s="5"/>
      <c r="L776" s="5"/>
      <c r="M776" s="5" t="s">
        <v>1276</v>
      </c>
    </row>
    <row r="777" spans="3:13" x14ac:dyDescent="0.35">
      <c r="C777" s="5"/>
      <c r="D777" s="5" t="s">
        <v>475</v>
      </c>
      <c r="E777" s="5">
        <v>367519053</v>
      </c>
      <c r="F777" s="5" t="s">
        <v>906</v>
      </c>
      <c r="G777" s="5"/>
      <c r="H777" s="5" t="s">
        <v>475</v>
      </c>
      <c r="I777" s="17">
        <v>7.4961635799313603E+18</v>
      </c>
      <c r="J777" s="5" t="s">
        <v>933</v>
      </c>
      <c r="K777" s="5"/>
      <c r="L777" s="5"/>
      <c r="M777" s="5" t="s">
        <v>1276</v>
      </c>
    </row>
    <row r="778" spans="3:13" x14ac:dyDescent="0.35">
      <c r="C778" s="5"/>
      <c r="D778" s="5" t="s">
        <v>784</v>
      </c>
      <c r="E778" s="5">
        <v>386105161</v>
      </c>
      <c r="F778" s="5" t="s">
        <v>904</v>
      </c>
      <c r="G778" s="5"/>
      <c r="H778" s="5" t="s">
        <v>784</v>
      </c>
      <c r="I778" s="17">
        <v>7.4962825975630705E+18</v>
      </c>
      <c r="J778" s="5" t="s">
        <v>933</v>
      </c>
      <c r="K778" s="5"/>
      <c r="L778" s="5" t="s">
        <v>1268</v>
      </c>
      <c r="M778" s="5" t="s">
        <v>1276</v>
      </c>
    </row>
    <row r="779" spans="3:13" x14ac:dyDescent="0.35">
      <c r="C779" s="5"/>
      <c r="D779" s="5" t="s">
        <v>539</v>
      </c>
      <c r="E779" s="5">
        <v>406182835</v>
      </c>
      <c r="F779" s="5" t="s">
        <v>903</v>
      </c>
      <c r="G779" s="5"/>
      <c r="H779" s="5" t="s">
        <v>539</v>
      </c>
      <c r="I779" s="17">
        <v>7.4962871762823096E+18</v>
      </c>
      <c r="J779" s="5" t="s">
        <v>942</v>
      </c>
      <c r="K779" s="5"/>
      <c r="L779" s="5" t="s">
        <v>1158</v>
      </c>
      <c r="M779" s="5" t="s">
        <v>1276</v>
      </c>
    </row>
    <row r="780" spans="3:13" x14ac:dyDescent="0.35">
      <c r="C780" s="5"/>
      <c r="D780" s="5" t="s">
        <v>558</v>
      </c>
      <c r="E780" s="5">
        <v>422764082</v>
      </c>
      <c r="F780" s="5" t="s">
        <v>906</v>
      </c>
      <c r="G780" s="5"/>
      <c r="H780" s="5"/>
      <c r="I780" s="17"/>
      <c r="J780" s="5"/>
      <c r="K780" s="5"/>
      <c r="L780" s="5"/>
      <c r="M780" s="5" t="s">
        <v>1276</v>
      </c>
    </row>
    <row r="781" spans="3:13" x14ac:dyDescent="0.35">
      <c r="C781" s="5"/>
      <c r="D781" s="5" t="s">
        <v>611</v>
      </c>
      <c r="E781" s="5">
        <v>504894896</v>
      </c>
      <c r="F781" s="5" t="s">
        <v>905</v>
      </c>
      <c r="G781" s="5"/>
      <c r="H781" s="5" t="s">
        <v>611</v>
      </c>
      <c r="I781" s="17">
        <v>7.4961862859874304E+18</v>
      </c>
      <c r="J781" s="5"/>
      <c r="K781" s="5"/>
      <c r="L781" s="5"/>
      <c r="M781" s="5" t="s">
        <v>1276</v>
      </c>
    </row>
    <row r="782" spans="3:13" x14ac:dyDescent="0.35">
      <c r="C782" s="5"/>
      <c r="D782" s="5" t="s">
        <v>785</v>
      </c>
      <c r="E782" s="5">
        <v>584539117</v>
      </c>
      <c r="F782" s="5" t="s">
        <v>903</v>
      </c>
      <c r="G782" s="5"/>
      <c r="H782" s="5" t="s">
        <v>785</v>
      </c>
      <c r="I782" s="17">
        <v>7.4963161667468298E+18</v>
      </c>
      <c r="J782" s="5" t="s">
        <v>933</v>
      </c>
      <c r="K782" s="5"/>
      <c r="L782" s="5" t="s">
        <v>1269</v>
      </c>
      <c r="M782" s="5" t="s">
        <v>1276</v>
      </c>
    </row>
    <row r="783" spans="3:13" x14ac:dyDescent="0.35">
      <c r="C783" s="5"/>
      <c r="D783" s="5" t="s">
        <v>642</v>
      </c>
      <c r="E783" s="5">
        <v>587458726</v>
      </c>
      <c r="F783" s="5" t="s">
        <v>906</v>
      </c>
      <c r="G783" s="5"/>
      <c r="H783" s="5" t="s">
        <v>642</v>
      </c>
      <c r="I783" s="17">
        <v>7.4961865478047304E+18</v>
      </c>
      <c r="J783" s="5" t="s">
        <v>926</v>
      </c>
      <c r="K783" s="5"/>
      <c r="L783" s="5"/>
      <c r="M783" s="5" t="s">
        <v>1276</v>
      </c>
    </row>
    <row r="784" spans="3:13" x14ac:dyDescent="0.35">
      <c r="C784" s="5"/>
      <c r="D784" s="5" t="s">
        <v>786</v>
      </c>
      <c r="E784" s="5">
        <v>592573820</v>
      </c>
      <c r="F784" s="5" t="s">
        <v>906</v>
      </c>
      <c r="G784" s="5"/>
      <c r="H784" s="5" t="s">
        <v>786</v>
      </c>
      <c r="I784" s="17">
        <v>7.4961819357964196E+18</v>
      </c>
      <c r="J784" s="5" t="s">
        <v>910</v>
      </c>
      <c r="K784" s="5"/>
      <c r="L784" s="5"/>
      <c r="M784" s="5" t="s">
        <v>1276</v>
      </c>
    </row>
    <row r="785" spans="3:13" x14ac:dyDescent="0.35">
      <c r="C785" s="5"/>
      <c r="D785" s="5" t="s">
        <v>656</v>
      </c>
      <c r="E785" s="5">
        <v>643719371</v>
      </c>
      <c r="F785" s="5" t="s">
        <v>903</v>
      </c>
      <c r="G785" s="5"/>
      <c r="H785" s="5" t="s">
        <v>656</v>
      </c>
      <c r="I785" s="17">
        <v>7.4961840319018701E+18</v>
      </c>
      <c r="J785" s="5"/>
      <c r="K785" s="5"/>
      <c r="L785" s="5"/>
      <c r="M785" s="5" t="s">
        <v>1276</v>
      </c>
    </row>
    <row r="786" spans="3:13" x14ac:dyDescent="0.35">
      <c r="C786" s="5"/>
      <c r="D786" s="5" t="s">
        <v>787</v>
      </c>
      <c r="E786" s="5">
        <v>693551101</v>
      </c>
      <c r="F786" s="5" t="s">
        <v>903</v>
      </c>
      <c r="G786" s="5"/>
      <c r="H786" s="5" t="s">
        <v>787</v>
      </c>
      <c r="I786" s="17">
        <v>7.4941100277762304E+18</v>
      </c>
      <c r="J786" s="5" t="s">
        <v>926</v>
      </c>
      <c r="K786" s="5"/>
      <c r="L786" s="5" t="s">
        <v>1270</v>
      </c>
      <c r="M786" s="5" t="s">
        <v>1276</v>
      </c>
    </row>
    <row r="787" spans="3:13" x14ac:dyDescent="0.35">
      <c r="C787" s="5"/>
      <c r="D787" s="5" t="s">
        <v>682</v>
      </c>
      <c r="E787" s="5">
        <v>712951767</v>
      </c>
      <c r="F787" s="5" t="s">
        <v>906</v>
      </c>
      <c r="G787" s="5"/>
      <c r="H787" s="5" t="s">
        <v>682</v>
      </c>
      <c r="I787" s="17">
        <v>7.4962749155849298E+18</v>
      </c>
      <c r="J787" s="5" t="s">
        <v>908</v>
      </c>
      <c r="K787" s="5"/>
      <c r="L787" s="5"/>
      <c r="M787" s="5" t="s">
        <v>1276</v>
      </c>
    </row>
    <row r="788" spans="3:13" x14ac:dyDescent="0.35">
      <c r="C788" s="5"/>
      <c r="D788" s="5" t="s">
        <v>689</v>
      </c>
      <c r="E788" s="5">
        <v>728534865</v>
      </c>
      <c r="F788" s="5" t="s">
        <v>905</v>
      </c>
      <c r="G788" s="5"/>
      <c r="H788" s="5" t="s">
        <v>689</v>
      </c>
      <c r="I788" s="17">
        <v>7.4961616634959903E+18</v>
      </c>
      <c r="J788" s="5" t="s">
        <v>942</v>
      </c>
      <c r="K788" s="5"/>
      <c r="L788" s="5" t="s">
        <v>1225</v>
      </c>
      <c r="M788" s="5" t="s">
        <v>1276</v>
      </c>
    </row>
    <row r="789" spans="3:13" x14ac:dyDescent="0.35">
      <c r="C789" s="5"/>
      <c r="D789" s="5" t="s">
        <v>690</v>
      </c>
      <c r="E789" s="5">
        <v>731022940</v>
      </c>
      <c r="F789" s="5" t="s">
        <v>905</v>
      </c>
      <c r="G789" s="5"/>
      <c r="H789" s="5" t="s">
        <v>690</v>
      </c>
      <c r="I789" s="17">
        <v>7.49620405654208E+18</v>
      </c>
      <c r="J789" s="5" t="s">
        <v>913</v>
      </c>
      <c r="K789" s="5"/>
      <c r="L789" s="5"/>
      <c r="M789" s="5" t="s">
        <v>1276</v>
      </c>
    </row>
    <row r="790" spans="3:13" x14ac:dyDescent="0.35">
      <c r="C790" s="5"/>
      <c r="D790" s="5" t="s">
        <v>695</v>
      </c>
      <c r="E790" s="5">
        <v>748594490</v>
      </c>
      <c r="F790" s="5" t="s">
        <v>906</v>
      </c>
      <c r="G790" s="5"/>
      <c r="H790" s="5" t="s">
        <v>695</v>
      </c>
      <c r="I790" s="17">
        <v>7.4961895511502705E+18</v>
      </c>
      <c r="J790" s="5" t="s">
        <v>908</v>
      </c>
      <c r="K790" s="5"/>
      <c r="L790" s="5" t="s">
        <v>1228</v>
      </c>
      <c r="M790" s="5" t="s">
        <v>1276</v>
      </c>
    </row>
    <row r="791" spans="3:13" x14ac:dyDescent="0.35">
      <c r="C791" s="5"/>
      <c r="D791" s="5" t="s">
        <v>732</v>
      </c>
      <c r="E791" s="5">
        <v>845996343</v>
      </c>
      <c r="F791" s="5" t="s">
        <v>905</v>
      </c>
      <c r="G791" s="5"/>
      <c r="H791" s="5" t="s">
        <v>732</v>
      </c>
      <c r="I791" s="17">
        <v>7.4962177346133996E+18</v>
      </c>
      <c r="J791" s="5"/>
      <c r="K791" s="5"/>
      <c r="L791" s="5"/>
      <c r="M791" s="5" t="s">
        <v>1276</v>
      </c>
    </row>
    <row r="792" spans="3:13" x14ac:dyDescent="0.35">
      <c r="C792" s="5"/>
      <c r="D792" s="5" t="s">
        <v>738</v>
      </c>
      <c r="E792" s="5">
        <v>872424585</v>
      </c>
      <c r="F792" s="5" t="s">
        <v>904</v>
      </c>
      <c r="G792" s="5"/>
      <c r="H792" s="5" t="s">
        <v>738</v>
      </c>
      <c r="I792" s="17">
        <v>7.4961817379542405E+18</v>
      </c>
      <c r="J792" s="5" t="s">
        <v>918</v>
      </c>
      <c r="K792" s="5"/>
      <c r="L792" s="5"/>
      <c r="M792" s="5" t="s">
        <v>1276</v>
      </c>
    </row>
    <row r="793" spans="3:13" x14ac:dyDescent="0.35">
      <c r="C793" s="5"/>
      <c r="D793" s="5" t="s">
        <v>746</v>
      </c>
      <c r="E793" s="5">
        <v>909400500</v>
      </c>
      <c r="F793" s="5" t="s">
        <v>904</v>
      </c>
      <c r="G793" s="5"/>
      <c r="H793" s="5"/>
      <c r="I793" s="17"/>
      <c r="J793" s="5"/>
      <c r="K793" s="5"/>
      <c r="L793" s="5"/>
      <c r="M793" s="5" t="s">
        <v>1276</v>
      </c>
    </row>
    <row r="794" spans="3:13" x14ac:dyDescent="0.35">
      <c r="C794" s="5"/>
      <c r="D794" s="5" t="s">
        <v>67</v>
      </c>
      <c r="E794" s="5">
        <v>1036672206</v>
      </c>
      <c r="F794" s="5" t="s">
        <v>905</v>
      </c>
      <c r="G794" s="5"/>
      <c r="H794" s="5" t="s">
        <v>67</v>
      </c>
      <c r="I794" s="17">
        <v>7.4961633803139502E+18</v>
      </c>
      <c r="J794" s="5" t="s">
        <v>926</v>
      </c>
      <c r="K794" s="5"/>
      <c r="L794" s="5"/>
      <c r="M794" s="5" t="s">
        <v>1276</v>
      </c>
    </row>
    <row r="795" spans="3:13" x14ac:dyDescent="0.35">
      <c r="C795" s="5"/>
      <c r="D795" s="5" t="s">
        <v>76</v>
      </c>
      <c r="E795" s="5">
        <v>1049559471</v>
      </c>
      <c r="F795" s="5" t="s">
        <v>905</v>
      </c>
      <c r="G795" s="5"/>
      <c r="H795" s="5" t="s">
        <v>76</v>
      </c>
      <c r="I795" s="17">
        <v>7.4941580601455002E+18</v>
      </c>
      <c r="J795" s="5"/>
      <c r="K795" s="5"/>
      <c r="L795" s="5"/>
      <c r="M795" s="5" t="s">
        <v>1276</v>
      </c>
    </row>
    <row r="796" spans="3:13" x14ac:dyDescent="0.35">
      <c r="C796" s="5"/>
      <c r="D796" s="5" t="s">
        <v>80</v>
      </c>
      <c r="E796" s="5">
        <v>1054638758</v>
      </c>
      <c r="F796" s="5" t="s">
        <v>905</v>
      </c>
      <c r="G796" s="5"/>
      <c r="H796" s="5"/>
      <c r="I796" s="17"/>
      <c r="J796" s="5"/>
      <c r="K796" s="5"/>
      <c r="L796" s="5"/>
      <c r="M796" s="5" t="s">
        <v>1276</v>
      </c>
    </row>
    <row r="797" spans="3:13" x14ac:dyDescent="0.35">
      <c r="C797" s="5"/>
      <c r="D797" s="5" t="s">
        <v>82</v>
      </c>
      <c r="E797" s="5">
        <v>1057319077</v>
      </c>
      <c r="F797" s="5" t="s">
        <v>906</v>
      </c>
      <c r="G797" s="5"/>
      <c r="H797" s="5" t="s">
        <v>82</v>
      </c>
      <c r="I797" s="17">
        <v>7.49630477114543E+18</v>
      </c>
      <c r="J797" s="5"/>
      <c r="K797" s="5"/>
      <c r="L797" s="5"/>
      <c r="M797" s="5" t="s">
        <v>1276</v>
      </c>
    </row>
    <row r="798" spans="3:13" x14ac:dyDescent="0.35">
      <c r="C798" s="5"/>
      <c r="D798" s="5" t="s">
        <v>93</v>
      </c>
      <c r="E798" s="5">
        <v>1072776754</v>
      </c>
      <c r="F798" s="5" t="s">
        <v>905</v>
      </c>
      <c r="G798" s="5"/>
      <c r="H798" s="5" t="s">
        <v>93</v>
      </c>
      <c r="I798" s="17">
        <v>7.4961448051308298E+18</v>
      </c>
      <c r="J798" s="5" t="s">
        <v>916</v>
      </c>
      <c r="K798" s="5"/>
      <c r="L798" s="5"/>
      <c r="M798" s="5" t="s">
        <v>1276</v>
      </c>
    </row>
    <row r="799" spans="3:13" x14ac:dyDescent="0.35">
      <c r="C799" s="5"/>
      <c r="D799" s="5" t="s">
        <v>134</v>
      </c>
      <c r="E799" s="5">
        <v>1168668910</v>
      </c>
      <c r="F799" s="5" t="s">
        <v>905</v>
      </c>
      <c r="G799" s="5"/>
      <c r="H799" s="5" t="s">
        <v>134</v>
      </c>
      <c r="I799" s="17">
        <v>7.4961819247029402E+18</v>
      </c>
      <c r="J799" s="5" t="s">
        <v>911</v>
      </c>
      <c r="K799" s="5"/>
      <c r="L799" s="5"/>
      <c r="M799" s="5" t="s">
        <v>1276</v>
      </c>
    </row>
    <row r="800" spans="3:13" x14ac:dyDescent="0.35">
      <c r="C800" s="5"/>
      <c r="D800" s="5" t="s">
        <v>159</v>
      </c>
      <c r="E800" s="5">
        <v>1224304136</v>
      </c>
      <c r="F800" s="5" t="s">
        <v>905</v>
      </c>
      <c r="G800" s="5"/>
      <c r="H800" s="5" t="s">
        <v>159</v>
      </c>
      <c r="I800" s="17">
        <v>7.4961634149951396E+18</v>
      </c>
      <c r="J800" s="5" t="s">
        <v>926</v>
      </c>
      <c r="K800" s="5"/>
      <c r="L800" s="5" t="s">
        <v>978</v>
      </c>
      <c r="M800" s="5" t="s">
        <v>1276</v>
      </c>
    </row>
    <row r="801" spans="3:13" x14ac:dyDescent="0.35">
      <c r="C801" s="5"/>
      <c r="D801" s="5" t="s">
        <v>168</v>
      </c>
      <c r="E801" s="5">
        <v>1249020836</v>
      </c>
      <c r="F801" s="5" t="s">
        <v>906</v>
      </c>
      <c r="G801" s="5"/>
      <c r="H801" s="5" t="s">
        <v>168</v>
      </c>
      <c r="I801" s="17">
        <v>7.4962011502996695E+18</v>
      </c>
      <c r="J801" s="5" t="s">
        <v>922</v>
      </c>
      <c r="K801" s="5"/>
      <c r="L801" s="5" t="s">
        <v>983</v>
      </c>
      <c r="M801" s="5" t="s">
        <v>1276</v>
      </c>
    </row>
    <row r="802" spans="3:13" x14ac:dyDescent="0.35">
      <c r="C802" s="5"/>
      <c r="D802" s="5" t="s">
        <v>169</v>
      </c>
      <c r="E802" s="5">
        <v>1249391293</v>
      </c>
      <c r="F802" s="5" t="s">
        <v>905</v>
      </c>
      <c r="G802" s="5"/>
      <c r="H802" s="5" t="s">
        <v>169</v>
      </c>
      <c r="I802" s="17">
        <v>7.4962216138850601E+18</v>
      </c>
      <c r="J802" s="5"/>
      <c r="K802" s="5"/>
      <c r="L802" s="5"/>
      <c r="M802" s="5" t="s">
        <v>1276</v>
      </c>
    </row>
    <row r="803" spans="3:13" x14ac:dyDescent="0.35">
      <c r="C803" s="5"/>
      <c r="D803" s="5" t="s">
        <v>194</v>
      </c>
      <c r="E803" s="5">
        <v>1295890416</v>
      </c>
      <c r="F803" s="5" t="s">
        <v>905</v>
      </c>
      <c r="G803" s="5"/>
      <c r="H803" s="5"/>
      <c r="I803" s="17"/>
      <c r="J803" s="5"/>
      <c r="K803" s="5"/>
      <c r="L803" s="5"/>
      <c r="M803" s="5" t="s">
        <v>1276</v>
      </c>
    </row>
    <row r="804" spans="3:13" x14ac:dyDescent="0.35">
      <c r="C804" s="5"/>
      <c r="D804" s="5" t="s">
        <v>788</v>
      </c>
      <c r="E804" s="5">
        <v>1323177924</v>
      </c>
      <c r="F804" s="5" t="s">
        <v>903</v>
      </c>
      <c r="G804" s="5"/>
      <c r="H804" s="5" t="s">
        <v>788</v>
      </c>
      <c r="I804" s="17">
        <v>7.4961874424031795E+18</v>
      </c>
      <c r="J804" s="5" t="s">
        <v>913</v>
      </c>
      <c r="K804" s="5"/>
      <c r="L804" s="5"/>
      <c r="M804" s="5" t="s">
        <v>1276</v>
      </c>
    </row>
    <row r="805" spans="3:13" x14ac:dyDescent="0.35">
      <c r="C805" s="5"/>
      <c r="D805" s="5" t="s">
        <v>789</v>
      </c>
      <c r="E805" s="5">
        <v>1354472693</v>
      </c>
      <c r="F805" s="5" t="s">
        <v>906</v>
      </c>
      <c r="G805" s="5"/>
      <c r="H805" s="5"/>
      <c r="I805" s="17"/>
      <c r="J805" s="5"/>
      <c r="K805" s="5"/>
      <c r="L805" s="5"/>
      <c r="M805" s="5" t="s">
        <v>1276</v>
      </c>
    </row>
    <row r="806" spans="3:13" x14ac:dyDescent="0.35">
      <c r="C806" s="5"/>
      <c r="D806" s="5" t="s">
        <v>222</v>
      </c>
      <c r="E806" s="5">
        <v>1371808882</v>
      </c>
      <c r="F806" s="5" t="s">
        <v>904</v>
      </c>
      <c r="G806" s="5"/>
      <c r="H806" s="5"/>
      <c r="I806" s="17"/>
      <c r="J806" s="5"/>
      <c r="K806" s="5"/>
      <c r="L806" s="5"/>
      <c r="M806" s="5" t="s">
        <v>1276</v>
      </c>
    </row>
    <row r="807" spans="3:13" x14ac:dyDescent="0.35">
      <c r="C807" s="5"/>
      <c r="D807" s="5" t="s">
        <v>226</v>
      </c>
      <c r="E807" s="5">
        <v>1377846021</v>
      </c>
      <c r="F807" s="5" t="s">
        <v>903</v>
      </c>
      <c r="G807" s="5"/>
      <c r="H807" s="5" t="s">
        <v>226</v>
      </c>
      <c r="I807" s="17">
        <v>7.4961906281899305E+18</v>
      </c>
      <c r="J807" s="5" t="s">
        <v>916</v>
      </c>
      <c r="K807" s="5"/>
      <c r="L807" s="5"/>
      <c r="M807" s="5" t="s">
        <v>1276</v>
      </c>
    </row>
    <row r="808" spans="3:13" x14ac:dyDescent="0.35">
      <c r="C808" s="5"/>
      <c r="D808" s="5" t="s">
        <v>246</v>
      </c>
      <c r="E808" s="5">
        <v>1398610040</v>
      </c>
      <c r="F808" s="5" t="s">
        <v>905</v>
      </c>
      <c r="G808" s="5"/>
      <c r="H808" s="5" t="s">
        <v>246</v>
      </c>
      <c r="I808" s="17">
        <v>7.4961828108994099E+18</v>
      </c>
      <c r="J808" s="5" t="s">
        <v>924</v>
      </c>
      <c r="K808" s="5"/>
      <c r="L808" s="5" t="s">
        <v>1016</v>
      </c>
      <c r="M808" s="5" t="s">
        <v>1276</v>
      </c>
    </row>
    <row r="809" spans="3:13" x14ac:dyDescent="0.35">
      <c r="C809" s="5"/>
      <c r="D809" s="5" t="s">
        <v>252</v>
      </c>
      <c r="E809" s="5">
        <v>1414334654</v>
      </c>
      <c r="F809" s="5" t="s">
        <v>905</v>
      </c>
      <c r="G809" s="5"/>
      <c r="H809" s="5" t="s">
        <v>252</v>
      </c>
      <c r="I809" s="17">
        <v>7.4963008926076396E+18</v>
      </c>
      <c r="J809" s="5" t="s">
        <v>924</v>
      </c>
      <c r="K809" s="5"/>
      <c r="L809" s="5" t="s">
        <v>1019</v>
      </c>
      <c r="M809" s="5" t="s">
        <v>1276</v>
      </c>
    </row>
    <row r="810" spans="3:13" x14ac:dyDescent="0.35">
      <c r="C810" s="5"/>
      <c r="D810" s="5" t="s">
        <v>255</v>
      </c>
      <c r="E810" s="5">
        <v>1421328925</v>
      </c>
      <c r="F810" s="5" t="s">
        <v>905</v>
      </c>
      <c r="G810" s="5"/>
      <c r="H810" s="5" t="s">
        <v>255</v>
      </c>
      <c r="I810" s="17">
        <v>7.4961823104068096E+18</v>
      </c>
      <c r="J810" s="5" t="s">
        <v>924</v>
      </c>
      <c r="K810" s="5"/>
      <c r="L810" s="5" t="s">
        <v>1021</v>
      </c>
      <c r="M810" s="5" t="s">
        <v>1276</v>
      </c>
    </row>
    <row r="811" spans="3:13" x14ac:dyDescent="0.35">
      <c r="C811" s="5"/>
      <c r="D811" s="5" t="s">
        <v>790</v>
      </c>
      <c r="E811" s="5">
        <v>1462689779</v>
      </c>
      <c r="F811" s="5" t="s">
        <v>906</v>
      </c>
      <c r="G811" s="5"/>
      <c r="H811" s="5" t="s">
        <v>790</v>
      </c>
      <c r="I811" s="17">
        <v>7.4961531212682004E+18</v>
      </c>
      <c r="J811" s="5" t="s">
        <v>908</v>
      </c>
      <c r="K811" s="5"/>
      <c r="L811" s="5" t="s">
        <v>1271</v>
      </c>
      <c r="M811" s="5" t="s">
        <v>1276</v>
      </c>
    </row>
    <row r="812" spans="3:13" x14ac:dyDescent="0.35">
      <c r="C812" s="5"/>
      <c r="D812" s="5" t="s">
        <v>276</v>
      </c>
      <c r="E812" s="5">
        <v>1479109146</v>
      </c>
      <c r="F812" s="5" t="s">
        <v>905</v>
      </c>
      <c r="G812" s="5"/>
      <c r="H812" s="5" t="s">
        <v>276</v>
      </c>
      <c r="I812" s="17">
        <v>7.4961831987853701E+18</v>
      </c>
      <c r="J812" s="5" t="s">
        <v>924</v>
      </c>
      <c r="K812" s="5"/>
      <c r="L812" s="5" t="s">
        <v>1032</v>
      </c>
      <c r="M812" s="5" t="s">
        <v>1276</v>
      </c>
    </row>
    <row r="813" spans="3:13" x14ac:dyDescent="0.35">
      <c r="C813" s="5"/>
      <c r="D813" s="5" t="s">
        <v>318</v>
      </c>
      <c r="E813" s="5">
        <v>1553736756</v>
      </c>
      <c r="F813" s="5" t="s">
        <v>905</v>
      </c>
      <c r="G813" s="5"/>
      <c r="H813" s="5" t="s">
        <v>318</v>
      </c>
      <c r="I813" s="17">
        <v>7.4962439492078397E+18</v>
      </c>
      <c r="J813" s="5" t="s">
        <v>916</v>
      </c>
      <c r="K813" s="5"/>
      <c r="L813" s="5" t="s">
        <v>1056</v>
      </c>
      <c r="M813" s="5" t="s">
        <v>1276</v>
      </c>
    </row>
    <row r="814" spans="3:13" x14ac:dyDescent="0.35">
      <c r="C814" s="5"/>
      <c r="D814" s="5" t="s">
        <v>338</v>
      </c>
      <c r="E814" s="5">
        <v>1605157446</v>
      </c>
      <c r="F814" s="5" t="s">
        <v>906</v>
      </c>
      <c r="G814" s="5"/>
      <c r="H814" s="5" t="s">
        <v>338</v>
      </c>
      <c r="I814" s="17">
        <v>7.49630484494899E+18</v>
      </c>
      <c r="J814" s="5" t="s">
        <v>942</v>
      </c>
      <c r="K814" s="5"/>
      <c r="L814" s="5"/>
      <c r="M814" s="5" t="s">
        <v>1276</v>
      </c>
    </row>
    <row r="815" spans="3:13" x14ac:dyDescent="0.35">
      <c r="C815" s="5"/>
      <c r="D815" s="5" t="s">
        <v>791</v>
      </c>
      <c r="E815" s="5">
        <v>1609769712</v>
      </c>
      <c r="F815" s="5" t="s">
        <v>906</v>
      </c>
      <c r="G815" s="5"/>
      <c r="H815" s="5" t="s">
        <v>791</v>
      </c>
      <c r="I815" s="17">
        <v>7.4961549946034196E+18</v>
      </c>
      <c r="J815" s="5" t="s">
        <v>908</v>
      </c>
      <c r="K815" s="5"/>
      <c r="L815" s="5" t="s">
        <v>1272</v>
      </c>
      <c r="M815" s="5" t="s">
        <v>1276</v>
      </c>
    </row>
    <row r="816" spans="3:13" x14ac:dyDescent="0.35">
      <c r="C816" s="5"/>
      <c r="D816" s="5" t="s">
        <v>780</v>
      </c>
      <c r="E816" s="5">
        <v>1615209975</v>
      </c>
      <c r="F816" s="5" t="s">
        <v>905</v>
      </c>
      <c r="G816" s="5"/>
      <c r="H816" s="5" t="s">
        <v>780</v>
      </c>
      <c r="I816" s="17">
        <v>7.4941284632876401E+18</v>
      </c>
      <c r="J816" s="5" t="s">
        <v>911</v>
      </c>
      <c r="K816" s="5"/>
      <c r="L816" s="5" t="s">
        <v>1266</v>
      </c>
      <c r="M816" s="5" t="s">
        <v>1276</v>
      </c>
    </row>
    <row r="817" spans="3:13" x14ac:dyDescent="0.35">
      <c r="C817" s="5"/>
      <c r="D817" s="5" t="s">
        <v>781</v>
      </c>
      <c r="E817" s="5">
        <v>1649593273</v>
      </c>
      <c r="F817" s="5" t="s">
        <v>905</v>
      </c>
      <c r="G817" s="5"/>
      <c r="H817" s="5" t="s">
        <v>781</v>
      </c>
      <c r="I817" s="17">
        <v>7.4961623008435497E+18</v>
      </c>
      <c r="J817" s="5" t="s">
        <v>926</v>
      </c>
      <c r="K817" s="5"/>
      <c r="L817" s="5" t="s">
        <v>1267</v>
      </c>
      <c r="M817" s="5" t="s">
        <v>1276</v>
      </c>
    </row>
    <row r="818" spans="3:13" x14ac:dyDescent="0.35">
      <c r="C818" s="5"/>
      <c r="D818" s="5" t="s">
        <v>369</v>
      </c>
      <c r="E818" s="5">
        <v>284901819</v>
      </c>
      <c r="F818" s="5" t="s">
        <v>905</v>
      </c>
      <c r="G818" s="5"/>
      <c r="H818" s="5" t="s">
        <v>369</v>
      </c>
      <c r="I818" s="17">
        <v>7.49620383353553E+18</v>
      </c>
      <c r="J818" s="5"/>
      <c r="K818" s="5"/>
      <c r="L818" s="5"/>
      <c r="M818" s="5" t="s">
        <v>1276</v>
      </c>
    </row>
    <row r="819" spans="3:13" x14ac:dyDescent="0.35">
      <c r="C819" s="5"/>
      <c r="D819" s="5" t="s">
        <v>379</v>
      </c>
      <c r="E819" s="5">
        <v>291174073</v>
      </c>
      <c r="F819" s="5" t="s">
        <v>906</v>
      </c>
      <c r="G819" s="5"/>
      <c r="H819" s="5" t="s">
        <v>379</v>
      </c>
      <c r="I819" s="17">
        <v>7.4961635129468201E+18</v>
      </c>
      <c r="J819" s="5" t="s">
        <v>926</v>
      </c>
      <c r="K819" s="5"/>
      <c r="L819" s="5" t="s">
        <v>1085</v>
      </c>
      <c r="M819" s="5" t="s">
        <v>1276</v>
      </c>
    </row>
    <row r="820" spans="3:13" x14ac:dyDescent="0.35">
      <c r="C820" s="5"/>
      <c r="D820" s="5" t="s">
        <v>381</v>
      </c>
      <c r="E820" s="5">
        <v>293435711</v>
      </c>
      <c r="F820" s="5" t="s">
        <v>905</v>
      </c>
      <c r="G820" s="5"/>
      <c r="H820" s="5" t="s">
        <v>381</v>
      </c>
      <c r="I820" s="17">
        <v>7.4961820802946499E+18</v>
      </c>
      <c r="J820" s="5"/>
      <c r="K820" s="5"/>
      <c r="L820" s="5"/>
      <c r="M820" s="5" t="s">
        <v>1276</v>
      </c>
    </row>
    <row r="821" spans="3:13" x14ac:dyDescent="0.35">
      <c r="C821" s="5"/>
      <c r="D821" s="5" t="s">
        <v>388</v>
      </c>
      <c r="E821" s="5">
        <v>299222557</v>
      </c>
      <c r="F821" s="5" t="s">
        <v>905</v>
      </c>
      <c r="G821" s="5"/>
      <c r="H821" s="5" t="s">
        <v>388</v>
      </c>
      <c r="I821" s="17">
        <v>7.4961791508234496E+18</v>
      </c>
      <c r="J821" s="5" t="s">
        <v>908</v>
      </c>
      <c r="K821" s="5"/>
      <c r="L821" s="5" t="s">
        <v>1088</v>
      </c>
      <c r="M821" s="5" t="s">
        <v>1276</v>
      </c>
    </row>
    <row r="822" spans="3:13" x14ac:dyDescent="0.35">
      <c r="C822" s="5"/>
      <c r="D822" s="5" t="s">
        <v>395</v>
      </c>
      <c r="E822" s="5">
        <v>305201598</v>
      </c>
      <c r="F822" s="5" t="s">
        <v>906</v>
      </c>
      <c r="G822" s="5"/>
      <c r="H822" s="5" t="s">
        <v>395</v>
      </c>
      <c r="I822" s="17">
        <v>7.4961809014760704E+18</v>
      </c>
      <c r="J822" s="5"/>
      <c r="K822" s="5"/>
      <c r="L822" s="5"/>
      <c r="M822" s="5" t="s">
        <v>1276</v>
      </c>
    </row>
    <row r="823" spans="3:13" x14ac:dyDescent="0.35">
      <c r="C823" s="5"/>
      <c r="D823" s="5" t="s">
        <v>436</v>
      </c>
      <c r="E823" s="5">
        <v>331517678</v>
      </c>
      <c r="F823" s="5" t="s">
        <v>905</v>
      </c>
      <c r="G823" s="5"/>
      <c r="H823" s="5"/>
      <c r="I823" s="17"/>
      <c r="J823" s="5"/>
      <c r="K823" s="5"/>
      <c r="L823" s="5"/>
      <c r="M823" s="5" t="s">
        <v>1276</v>
      </c>
    </row>
    <row r="824" spans="3:13" x14ac:dyDescent="0.35">
      <c r="C824" s="5"/>
      <c r="D824" s="5" t="s">
        <v>792</v>
      </c>
      <c r="E824" s="5">
        <v>370895652</v>
      </c>
      <c r="F824" s="5" t="s">
        <v>904</v>
      </c>
      <c r="G824" s="5"/>
      <c r="H824" s="5" t="s">
        <v>792</v>
      </c>
      <c r="I824" s="17">
        <v>7.4962720515471698E+18</v>
      </c>
      <c r="J824" s="5" t="s">
        <v>911</v>
      </c>
      <c r="K824" s="5"/>
      <c r="L824" s="5" t="s">
        <v>1273</v>
      </c>
      <c r="M824" s="5" t="s">
        <v>1276</v>
      </c>
    </row>
    <row r="825" spans="3:13" x14ac:dyDescent="0.35">
      <c r="C825" s="5"/>
      <c r="D825" s="5" t="s">
        <v>497</v>
      </c>
      <c r="E825" s="5">
        <v>379994163</v>
      </c>
      <c r="F825" s="5" t="s">
        <v>905</v>
      </c>
      <c r="G825" s="5"/>
      <c r="H825" s="5" t="s">
        <v>497</v>
      </c>
      <c r="I825" s="17">
        <v>7.4961622817423698E+18</v>
      </c>
      <c r="J825" s="5" t="s">
        <v>933</v>
      </c>
      <c r="K825" s="5"/>
      <c r="L825" s="5" t="s">
        <v>1137</v>
      </c>
      <c r="M825" s="5" t="s">
        <v>1276</v>
      </c>
    </row>
    <row r="826" spans="3:13" x14ac:dyDescent="0.35">
      <c r="C826" s="5"/>
      <c r="D826" s="5" t="s">
        <v>510</v>
      </c>
      <c r="E826" s="5">
        <v>389806204</v>
      </c>
      <c r="F826" s="5" t="s">
        <v>905</v>
      </c>
      <c r="G826" s="5"/>
      <c r="H826" s="5" t="s">
        <v>510</v>
      </c>
      <c r="I826" s="17">
        <v>7.4942531326721004E+18</v>
      </c>
      <c r="J826" s="5"/>
      <c r="K826" s="5"/>
      <c r="L826" s="5"/>
      <c r="M826" s="5" t="s">
        <v>1276</v>
      </c>
    </row>
    <row r="827" spans="3:13" x14ac:dyDescent="0.35">
      <c r="C827" s="5"/>
      <c r="D827" s="5" t="s">
        <v>513</v>
      </c>
      <c r="E827" s="5">
        <v>390331081</v>
      </c>
      <c r="F827" s="5" t="s">
        <v>903</v>
      </c>
      <c r="G827" s="5"/>
      <c r="H827" s="5" t="s">
        <v>513</v>
      </c>
      <c r="I827" s="17">
        <v>7.4962224394861599E+18</v>
      </c>
      <c r="J827" s="5" t="s">
        <v>936</v>
      </c>
      <c r="K827" s="5"/>
      <c r="L827" s="5"/>
      <c r="M827" s="5" t="s">
        <v>1276</v>
      </c>
    </row>
    <row r="828" spans="3:13" x14ac:dyDescent="0.35">
      <c r="C828" s="5"/>
      <c r="D828" s="5" t="s">
        <v>514</v>
      </c>
      <c r="E828" s="5">
        <v>390353399</v>
      </c>
      <c r="F828" s="5" t="s">
        <v>906</v>
      </c>
      <c r="G828" s="5"/>
      <c r="H828" s="5" t="s">
        <v>514</v>
      </c>
      <c r="I828" s="17">
        <v>7.4961635996833905E+18</v>
      </c>
      <c r="J828" s="5" t="s">
        <v>984</v>
      </c>
      <c r="K828" s="5"/>
      <c r="L828" s="5" t="s">
        <v>1146</v>
      </c>
      <c r="M828" s="5" t="s">
        <v>1276</v>
      </c>
    </row>
    <row r="829" spans="3:13" x14ac:dyDescent="0.35">
      <c r="C829" s="5"/>
      <c r="D829" s="5" t="s">
        <v>526</v>
      </c>
      <c r="E829" s="5">
        <v>396949918</v>
      </c>
      <c r="F829" s="5" t="s">
        <v>903</v>
      </c>
      <c r="G829" s="5"/>
      <c r="H829" s="5" t="s">
        <v>526</v>
      </c>
      <c r="I829" s="17">
        <v>7.4961844841185597E+18</v>
      </c>
      <c r="J829" s="5" t="s">
        <v>908</v>
      </c>
      <c r="K829" s="5"/>
      <c r="L829" s="5" t="s">
        <v>1152</v>
      </c>
      <c r="M829" s="5" t="s">
        <v>1276</v>
      </c>
    </row>
    <row r="830" spans="3:13" x14ac:dyDescent="0.35">
      <c r="C830" s="5"/>
      <c r="D830" s="5" t="s">
        <v>546</v>
      </c>
      <c r="E830" s="5">
        <v>410610397</v>
      </c>
      <c r="F830" s="5" t="s">
        <v>905</v>
      </c>
      <c r="G830" s="5"/>
      <c r="H830" s="5" t="s">
        <v>546</v>
      </c>
      <c r="I830" s="17">
        <v>7.4961820420247695E+18</v>
      </c>
      <c r="J830" s="5"/>
      <c r="K830" s="5"/>
      <c r="L830" s="5"/>
      <c r="M830" s="5" t="s">
        <v>1276</v>
      </c>
    </row>
    <row r="831" spans="3:13" x14ac:dyDescent="0.35">
      <c r="C831" s="5"/>
      <c r="D831" s="5" t="s">
        <v>553</v>
      </c>
      <c r="E831" s="5">
        <v>415175805</v>
      </c>
      <c r="F831" s="5" t="s">
        <v>906</v>
      </c>
      <c r="G831" s="5"/>
      <c r="H831" s="5" t="s">
        <v>553</v>
      </c>
      <c r="I831" s="17">
        <v>7.4961617045187103E+18</v>
      </c>
      <c r="J831" s="5" t="s">
        <v>908</v>
      </c>
      <c r="K831" s="5"/>
      <c r="L831" s="5" t="s">
        <v>1164</v>
      </c>
      <c r="M831" s="5" t="s">
        <v>1276</v>
      </c>
    </row>
    <row r="832" spans="3:13" x14ac:dyDescent="0.35">
      <c r="C832" s="5"/>
      <c r="D832" s="5" t="s">
        <v>580</v>
      </c>
      <c r="E832" s="5">
        <v>449088913</v>
      </c>
      <c r="F832" s="5" t="s">
        <v>906</v>
      </c>
      <c r="G832" s="5"/>
      <c r="H832" s="5"/>
      <c r="I832" s="17"/>
      <c r="J832" s="5"/>
      <c r="K832" s="5"/>
      <c r="L832" s="5"/>
      <c r="M832" s="5" t="s">
        <v>1276</v>
      </c>
    </row>
    <row r="833" spans="3:13" x14ac:dyDescent="0.35">
      <c r="C833" s="5"/>
      <c r="D833" s="5" t="s">
        <v>627</v>
      </c>
      <c r="E833" s="5">
        <v>539941264</v>
      </c>
      <c r="F833" s="5" t="s">
        <v>906</v>
      </c>
      <c r="G833" s="5"/>
      <c r="H833" s="5" t="s">
        <v>627</v>
      </c>
      <c r="I833" s="17">
        <v>7.4961818990207601E+18</v>
      </c>
      <c r="J833" s="5"/>
      <c r="K833" s="5"/>
      <c r="L833" s="5"/>
      <c r="M833" s="5" t="s">
        <v>1276</v>
      </c>
    </row>
    <row r="834" spans="3:13" x14ac:dyDescent="0.35">
      <c r="C834" s="5"/>
      <c r="D834" s="5" t="s">
        <v>629</v>
      </c>
      <c r="E834" s="5">
        <v>542974007</v>
      </c>
      <c r="F834" s="5" t="s">
        <v>906</v>
      </c>
      <c r="G834" s="5"/>
      <c r="H834" s="5" t="s">
        <v>629</v>
      </c>
      <c r="I834" s="17">
        <v>7.4961608419157903E+18</v>
      </c>
      <c r="J834" s="5"/>
      <c r="K834" s="5"/>
      <c r="L834" s="5"/>
      <c r="M834" s="5" t="s">
        <v>1276</v>
      </c>
    </row>
    <row r="835" spans="3:13" x14ac:dyDescent="0.35">
      <c r="C835" s="5"/>
      <c r="D835" s="5" t="s">
        <v>638</v>
      </c>
      <c r="E835" s="5">
        <v>563103782</v>
      </c>
      <c r="F835" s="5" t="s">
        <v>905</v>
      </c>
      <c r="G835" s="5"/>
      <c r="H835" s="5" t="s">
        <v>638</v>
      </c>
      <c r="I835" s="17">
        <v>7.4961822353332296E+18</v>
      </c>
      <c r="J835" s="5" t="s">
        <v>928</v>
      </c>
      <c r="K835" s="5"/>
      <c r="L835" s="5" t="s">
        <v>1203</v>
      </c>
      <c r="M835" s="5" t="s">
        <v>1276</v>
      </c>
    </row>
    <row r="836" spans="3:13" x14ac:dyDescent="0.35">
      <c r="C836" s="5"/>
      <c r="D836" s="5" t="s">
        <v>690</v>
      </c>
      <c r="E836" s="5">
        <v>731022940</v>
      </c>
      <c r="F836" s="5" t="s">
        <v>903</v>
      </c>
      <c r="G836" s="5"/>
      <c r="H836" s="5" t="s">
        <v>690</v>
      </c>
      <c r="I836" s="17">
        <v>7.49620405654208E+18</v>
      </c>
      <c r="J836" s="5" t="s">
        <v>913</v>
      </c>
      <c r="K836" s="5"/>
      <c r="L836" s="5"/>
      <c r="M836" s="5" t="s">
        <v>1276</v>
      </c>
    </row>
    <row r="837" spans="3:13" x14ac:dyDescent="0.35">
      <c r="C837" s="5"/>
      <c r="D837" s="5" t="s">
        <v>736</v>
      </c>
      <c r="E837" s="5">
        <v>859540579</v>
      </c>
      <c r="F837" s="5" t="s">
        <v>905</v>
      </c>
      <c r="G837" s="5"/>
      <c r="H837" s="5" t="s">
        <v>736</v>
      </c>
      <c r="I837" s="17">
        <v>7.4961828519343903E+18</v>
      </c>
      <c r="J837" s="5" t="s">
        <v>926</v>
      </c>
      <c r="K837" s="5"/>
      <c r="L837" s="5"/>
      <c r="M837" s="5" t="s">
        <v>1276</v>
      </c>
    </row>
    <row r="838" spans="3:13" x14ac:dyDescent="0.35">
      <c r="C838" s="5"/>
      <c r="D838" s="5" t="s">
        <v>738</v>
      </c>
      <c r="E838" s="5">
        <v>872424585</v>
      </c>
      <c r="F838" s="5" t="s">
        <v>905</v>
      </c>
      <c r="G838" s="5"/>
      <c r="H838" s="5" t="s">
        <v>738</v>
      </c>
      <c r="I838" s="17">
        <v>7.4961817379542405E+18</v>
      </c>
      <c r="J838" s="5" t="s">
        <v>918</v>
      </c>
      <c r="K838" s="5"/>
      <c r="L838" s="5"/>
      <c r="M838" s="5" t="s">
        <v>1276</v>
      </c>
    </row>
    <row r="839" spans="3:13" x14ac:dyDescent="0.35">
      <c r="C839" s="5"/>
      <c r="D839" s="5" t="s">
        <v>793</v>
      </c>
      <c r="E839" s="5">
        <v>906473022</v>
      </c>
      <c r="F839" s="5" t="s">
        <v>906</v>
      </c>
      <c r="G839" s="5"/>
      <c r="H839" s="5" t="s">
        <v>793</v>
      </c>
      <c r="I839" s="17">
        <v>7.4941341788754002E+18</v>
      </c>
      <c r="J839" s="5" t="s">
        <v>941</v>
      </c>
      <c r="K839" s="5"/>
      <c r="L839" s="5" t="s">
        <v>1274</v>
      </c>
      <c r="M839" s="5" t="s">
        <v>1276</v>
      </c>
    </row>
    <row r="840" spans="3:13" x14ac:dyDescent="0.35">
      <c r="C840" s="5"/>
      <c r="D840" s="5" t="s">
        <v>755</v>
      </c>
      <c r="E840" s="5">
        <v>943293692</v>
      </c>
      <c r="F840" s="5" t="s">
        <v>905</v>
      </c>
      <c r="G840" s="5"/>
      <c r="H840" s="5" t="s">
        <v>755</v>
      </c>
      <c r="I840" s="17">
        <v>7.4962722271514798E+18</v>
      </c>
      <c r="J840" s="5" t="s">
        <v>911</v>
      </c>
      <c r="K840" s="5"/>
      <c r="L840" s="5" t="s">
        <v>1254</v>
      </c>
      <c r="M840" s="5" t="s">
        <v>1276</v>
      </c>
    </row>
    <row r="841" spans="3:13" x14ac:dyDescent="0.35">
      <c r="C841" s="5"/>
      <c r="D841" s="5" t="s">
        <v>761</v>
      </c>
      <c r="E841" s="5">
        <v>961638733</v>
      </c>
      <c r="F841" s="5" t="s">
        <v>905</v>
      </c>
      <c r="G841" s="5"/>
      <c r="H841" s="5" t="s">
        <v>761</v>
      </c>
      <c r="I841" s="17">
        <v>7.4961820935382897E+18</v>
      </c>
      <c r="J841" s="5"/>
      <c r="K841" s="5"/>
      <c r="L841" s="5"/>
      <c r="M841" s="5" t="s">
        <v>1276</v>
      </c>
    </row>
    <row r="842" spans="3:13" x14ac:dyDescent="0.35">
      <c r="C842" s="5"/>
      <c r="D842" s="5" t="s">
        <v>762</v>
      </c>
      <c r="E842" s="5">
        <v>962458284</v>
      </c>
      <c r="F842" s="5" t="s">
        <v>905</v>
      </c>
      <c r="G842" s="5"/>
      <c r="H842" s="5" t="s">
        <v>762</v>
      </c>
      <c r="I842" s="17">
        <v>7.49618289368226E+18</v>
      </c>
      <c r="J842" s="5" t="s">
        <v>926</v>
      </c>
      <c r="K842" s="5"/>
      <c r="L842" s="5"/>
      <c r="M842" s="5" t="s">
        <v>1276</v>
      </c>
    </row>
    <row r="843" spans="3:13" x14ac:dyDescent="0.35">
      <c r="C843" s="5"/>
      <c r="D843" s="5" t="s">
        <v>56</v>
      </c>
      <c r="E843" s="5">
        <v>1023687587</v>
      </c>
      <c r="F843" s="5" t="s">
        <v>904</v>
      </c>
      <c r="G843" s="5"/>
      <c r="H843" s="5"/>
      <c r="I843" s="17"/>
      <c r="J843" s="5"/>
      <c r="K843" s="5"/>
      <c r="L843" s="5"/>
      <c r="M843" s="5" t="s">
        <v>1276</v>
      </c>
    </row>
    <row r="844" spans="3:13" x14ac:dyDescent="0.35">
      <c r="C844" s="5"/>
      <c r="D844" s="5" t="s">
        <v>114</v>
      </c>
      <c r="E844" s="5">
        <v>1103263145</v>
      </c>
      <c r="F844" s="5" t="s">
        <v>905</v>
      </c>
      <c r="G844" s="5"/>
      <c r="H844" s="5" t="s">
        <v>114</v>
      </c>
      <c r="I844" s="17">
        <v>7.4961572413733898E+18</v>
      </c>
      <c r="J844" s="5" t="s">
        <v>911</v>
      </c>
      <c r="K844" s="5"/>
      <c r="L844" s="5" t="s">
        <v>954</v>
      </c>
      <c r="M844" s="5" t="s">
        <v>1276</v>
      </c>
    </row>
    <row r="845" spans="3:13" x14ac:dyDescent="0.35">
      <c r="C845" s="5"/>
      <c r="D845" s="5" t="s">
        <v>135</v>
      </c>
      <c r="E845" s="5">
        <v>1170622375</v>
      </c>
      <c r="F845" s="5" t="s">
        <v>904</v>
      </c>
      <c r="G845" s="5"/>
      <c r="H845" s="5" t="s">
        <v>135</v>
      </c>
      <c r="I845" s="17">
        <v>7.4941576476083804E+18</v>
      </c>
      <c r="J845" s="5"/>
      <c r="K845" s="5"/>
      <c r="L845" s="5"/>
      <c r="M845" s="5" t="s">
        <v>1276</v>
      </c>
    </row>
    <row r="846" spans="3:13" x14ac:dyDescent="0.35">
      <c r="C846" s="5"/>
      <c r="D846" s="5" t="s">
        <v>154</v>
      </c>
      <c r="E846" s="5">
        <v>1220163366</v>
      </c>
      <c r="F846" s="5" t="s">
        <v>905</v>
      </c>
      <c r="G846" s="5"/>
      <c r="H846" s="5" t="s">
        <v>154</v>
      </c>
      <c r="I846" s="17">
        <v>7.4961799266974095E+18</v>
      </c>
      <c r="J846" s="5" t="s">
        <v>975</v>
      </c>
      <c r="K846" s="5"/>
      <c r="L846" s="5" t="s">
        <v>976</v>
      </c>
      <c r="M846" s="5" t="s">
        <v>1276</v>
      </c>
    </row>
    <row r="847" spans="3:13" x14ac:dyDescent="0.35">
      <c r="C847" s="5"/>
      <c r="D847" s="5" t="s">
        <v>155</v>
      </c>
      <c r="E847" s="5">
        <v>1220163366</v>
      </c>
      <c r="F847" s="5" t="s">
        <v>905</v>
      </c>
      <c r="G847" s="5"/>
      <c r="H847" s="5" t="s">
        <v>154</v>
      </c>
      <c r="I847" s="17">
        <v>7.4961799266974095E+18</v>
      </c>
      <c r="J847" s="5" t="s">
        <v>975</v>
      </c>
      <c r="K847" s="5"/>
      <c r="L847" s="5" t="s">
        <v>976</v>
      </c>
      <c r="M847" s="5" t="s">
        <v>1276</v>
      </c>
    </row>
    <row r="848" spans="3:13" x14ac:dyDescent="0.35">
      <c r="C848" s="5"/>
      <c r="D848" s="5" t="s">
        <v>163</v>
      </c>
      <c r="E848" s="5">
        <v>1237944001</v>
      </c>
      <c r="F848" s="5" t="s">
        <v>905</v>
      </c>
      <c r="G848" s="5"/>
      <c r="H848" s="5" t="s">
        <v>163</v>
      </c>
      <c r="I848" s="17">
        <v>7.4961824811166904E+18</v>
      </c>
      <c r="J848" s="5" t="s">
        <v>941</v>
      </c>
      <c r="K848" s="5"/>
      <c r="L848" s="5"/>
      <c r="M848" s="5" t="s">
        <v>1276</v>
      </c>
    </row>
    <row r="849" spans="3:13" x14ac:dyDescent="0.35">
      <c r="C849" s="5"/>
      <c r="D849" s="5" t="s">
        <v>188</v>
      </c>
      <c r="E849" s="5">
        <v>1271907467</v>
      </c>
      <c r="F849" s="5" t="s">
        <v>907</v>
      </c>
      <c r="G849" s="5"/>
      <c r="H849" s="5"/>
      <c r="I849" s="17"/>
      <c r="J849" s="5"/>
      <c r="K849" s="5"/>
      <c r="L849" s="5"/>
      <c r="M849" s="5" t="s">
        <v>1276</v>
      </c>
    </row>
    <row r="850" spans="3:13" x14ac:dyDescent="0.35">
      <c r="C850" s="5"/>
      <c r="D850" s="5" t="s">
        <v>210</v>
      </c>
      <c r="E850" s="5">
        <v>1338579049</v>
      </c>
      <c r="F850" s="5" t="s">
        <v>906</v>
      </c>
      <c r="G850" s="5"/>
      <c r="H850" s="5"/>
      <c r="I850" s="17"/>
      <c r="J850" s="5"/>
      <c r="K850" s="5"/>
      <c r="L850" s="5"/>
      <c r="M850" s="5" t="s">
        <v>1276</v>
      </c>
    </row>
    <row r="851" spans="3:13" x14ac:dyDescent="0.35">
      <c r="C851" s="5"/>
      <c r="D851" s="5" t="s">
        <v>259</v>
      </c>
      <c r="E851" s="5">
        <v>1432734429</v>
      </c>
      <c r="F851" s="5" t="s">
        <v>905</v>
      </c>
      <c r="G851" s="5"/>
      <c r="H851" s="5"/>
      <c r="I851" s="17"/>
      <c r="J851" s="5"/>
      <c r="K851" s="5"/>
      <c r="L851" s="5"/>
      <c r="M851" s="5" t="s">
        <v>1276</v>
      </c>
    </row>
    <row r="852" spans="3:13" x14ac:dyDescent="0.35">
      <c r="C852" s="5"/>
      <c r="D852" s="5" t="s">
        <v>261</v>
      </c>
      <c r="E852" s="5">
        <v>1439190466</v>
      </c>
      <c r="F852" s="5" t="s">
        <v>903</v>
      </c>
      <c r="G852" s="5"/>
      <c r="H852" s="5" t="s">
        <v>261</v>
      </c>
      <c r="I852" s="17">
        <v>7.4962068287130501E+18</v>
      </c>
      <c r="J852" s="5" t="s">
        <v>941</v>
      </c>
      <c r="K852" s="5"/>
      <c r="L852" s="5"/>
      <c r="M852" s="5" t="s">
        <v>1276</v>
      </c>
    </row>
    <row r="853" spans="3:13" x14ac:dyDescent="0.35">
      <c r="C853" s="5"/>
      <c r="D853" s="5" t="s">
        <v>274</v>
      </c>
      <c r="E853" s="5">
        <v>1464719932</v>
      </c>
      <c r="F853" s="5" t="s">
        <v>906</v>
      </c>
      <c r="G853" s="5"/>
      <c r="H853" s="5" t="s">
        <v>274</v>
      </c>
      <c r="I853" s="17">
        <v>7.4962138698511503E+18</v>
      </c>
      <c r="J853" s="5" t="s">
        <v>1030</v>
      </c>
      <c r="K853" s="5"/>
      <c r="L853" s="5" t="s">
        <v>1031</v>
      </c>
      <c r="M853" s="5" t="s">
        <v>1276</v>
      </c>
    </row>
    <row r="854" spans="3:13" x14ac:dyDescent="0.35">
      <c r="C854" s="5"/>
      <c r="D854" s="5" t="s">
        <v>283</v>
      </c>
      <c r="E854" s="5">
        <v>1490920199</v>
      </c>
      <c r="F854" s="5" t="s">
        <v>904</v>
      </c>
      <c r="G854" s="5"/>
      <c r="H854" s="5" t="s">
        <v>283</v>
      </c>
      <c r="I854" s="17">
        <v>7.4961999659113196E+18</v>
      </c>
      <c r="J854" s="5" t="s">
        <v>916</v>
      </c>
      <c r="K854" s="5"/>
      <c r="L854" s="5" t="s">
        <v>1035</v>
      </c>
      <c r="M854" s="5" t="s">
        <v>1276</v>
      </c>
    </row>
    <row r="855" spans="3:13" x14ac:dyDescent="0.35">
      <c r="C855" s="5"/>
      <c r="D855" s="5" t="s">
        <v>326</v>
      </c>
      <c r="E855" s="5">
        <v>1573559034</v>
      </c>
      <c r="F855" s="5" t="s">
        <v>905</v>
      </c>
      <c r="G855" s="5"/>
      <c r="H855" s="5" t="s">
        <v>326</v>
      </c>
      <c r="I855" s="17">
        <v>7.4963197250919803E+18</v>
      </c>
      <c r="J855" s="5" t="s">
        <v>942</v>
      </c>
      <c r="K855" s="5"/>
      <c r="L855" s="5"/>
      <c r="M855" s="5" t="s">
        <v>1276</v>
      </c>
    </row>
    <row r="856" spans="3:13" x14ac:dyDescent="0.35">
      <c r="C856" s="5"/>
      <c r="D856" s="5" t="s">
        <v>339</v>
      </c>
      <c r="E856" s="5">
        <v>1607457575</v>
      </c>
      <c r="F856" s="5" t="s">
        <v>905</v>
      </c>
      <c r="G856" s="5"/>
      <c r="H856" s="5" t="s">
        <v>339</v>
      </c>
      <c r="I856" s="17">
        <v>7.4941024042603899E+18</v>
      </c>
      <c r="J856" s="5" t="s">
        <v>924</v>
      </c>
      <c r="K856" s="5"/>
      <c r="L856" s="5" t="s">
        <v>1064</v>
      </c>
      <c r="M856" s="5" t="s">
        <v>1276</v>
      </c>
    </row>
    <row r="857" spans="3:13" x14ac:dyDescent="0.35">
      <c r="C857" s="5"/>
      <c r="D857" s="5" t="s">
        <v>781</v>
      </c>
      <c r="E857" s="5">
        <v>1649593273</v>
      </c>
      <c r="F857" s="5" t="s">
        <v>904</v>
      </c>
      <c r="G857" s="5"/>
      <c r="H857" s="5" t="s">
        <v>781</v>
      </c>
      <c r="I857" s="17">
        <v>7.4961623008435497E+18</v>
      </c>
      <c r="J857" s="5" t="s">
        <v>926</v>
      </c>
      <c r="K857" s="5"/>
      <c r="L857" s="5" t="s">
        <v>1267</v>
      </c>
      <c r="M857" s="5" t="s">
        <v>1276</v>
      </c>
    </row>
    <row r="858" spans="3:13" x14ac:dyDescent="0.35">
      <c r="C858" s="5"/>
      <c r="D858" s="5" t="s">
        <v>387</v>
      </c>
      <c r="E858" s="5">
        <v>298953477</v>
      </c>
      <c r="F858" s="5" t="s">
        <v>903</v>
      </c>
      <c r="G858" s="5"/>
      <c r="H858" s="5" t="s">
        <v>387</v>
      </c>
      <c r="I858" s="17">
        <v>7.4961872797722501E+18</v>
      </c>
      <c r="J858" s="5"/>
      <c r="K858" s="5"/>
      <c r="L858" s="5"/>
      <c r="M858" s="5" t="s">
        <v>1276</v>
      </c>
    </row>
    <row r="859" spans="3:13" x14ac:dyDescent="0.35">
      <c r="C859" s="5"/>
      <c r="D859" s="5" t="s">
        <v>443</v>
      </c>
      <c r="E859" s="5">
        <v>337958318</v>
      </c>
      <c r="F859" s="5" t="s">
        <v>906</v>
      </c>
      <c r="G859" s="5"/>
      <c r="H859" s="5" t="s">
        <v>443</v>
      </c>
      <c r="I859" s="17">
        <v>7.4962025174801705E+18</v>
      </c>
      <c r="J859" s="5" t="s">
        <v>910</v>
      </c>
      <c r="K859" s="5"/>
      <c r="L859" s="5" t="s">
        <v>1113</v>
      </c>
      <c r="M859" s="5" t="s">
        <v>1276</v>
      </c>
    </row>
    <row r="860" spans="3:13" x14ac:dyDescent="0.35">
      <c r="C860" s="5"/>
      <c r="D860" s="5" t="s">
        <v>492</v>
      </c>
      <c r="E860" s="5">
        <v>378180727</v>
      </c>
      <c r="F860" s="5" t="s">
        <v>903</v>
      </c>
      <c r="G860" s="5"/>
      <c r="H860" s="5" t="s">
        <v>492</v>
      </c>
      <c r="I860" s="17">
        <v>7.4962470054601298E+18</v>
      </c>
      <c r="J860" s="5" t="s">
        <v>918</v>
      </c>
      <c r="K860" s="5"/>
      <c r="L860" s="5"/>
      <c r="M860" s="5" t="s">
        <v>1276</v>
      </c>
    </row>
    <row r="861" spans="3:13" x14ac:dyDescent="0.35">
      <c r="C861" s="5"/>
      <c r="D861" s="5" t="s">
        <v>503</v>
      </c>
      <c r="E861" s="5">
        <v>384529520</v>
      </c>
      <c r="F861" s="5" t="s">
        <v>906</v>
      </c>
      <c r="G861" s="5"/>
      <c r="H861" s="5" t="s">
        <v>503</v>
      </c>
      <c r="I861" s="17">
        <v>7.4961818676962601E+18</v>
      </c>
      <c r="J861" s="5"/>
      <c r="K861" s="5"/>
      <c r="L861" s="5"/>
      <c r="M861" s="5" t="s">
        <v>1276</v>
      </c>
    </row>
    <row r="862" spans="3:13" x14ac:dyDescent="0.35">
      <c r="C862" s="5"/>
      <c r="D862" s="5" t="s">
        <v>784</v>
      </c>
      <c r="E862" s="5">
        <v>386105161</v>
      </c>
      <c r="F862" s="5" t="s">
        <v>905</v>
      </c>
      <c r="G862" s="5"/>
      <c r="H862" s="5" t="s">
        <v>784</v>
      </c>
      <c r="I862" s="17">
        <v>7.4962825975630705E+18</v>
      </c>
      <c r="J862" s="5" t="s">
        <v>933</v>
      </c>
      <c r="K862" s="5"/>
      <c r="L862" s="5" t="s">
        <v>1268</v>
      </c>
      <c r="M862" s="5" t="s">
        <v>1276</v>
      </c>
    </row>
    <row r="863" spans="3:13" x14ac:dyDescent="0.35">
      <c r="C863" s="5"/>
      <c r="D863" s="5" t="s">
        <v>509</v>
      </c>
      <c r="E863" s="5">
        <v>389800143</v>
      </c>
      <c r="F863" s="5" t="s">
        <v>904</v>
      </c>
      <c r="G863" s="5"/>
      <c r="H863" s="5" t="s">
        <v>509</v>
      </c>
      <c r="I863" s="17">
        <v>7.4961473838256896E+18</v>
      </c>
      <c r="J863" s="5" t="s">
        <v>942</v>
      </c>
      <c r="K863" s="5"/>
      <c r="L863" s="5" t="s">
        <v>1144</v>
      </c>
      <c r="M863" s="5" t="s">
        <v>1276</v>
      </c>
    </row>
    <row r="864" spans="3:13" x14ac:dyDescent="0.35">
      <c r="C864" s="5"/>
      <c r="D864" s="5" t="s">
        <v>513</v>
      </c>
      <c r="E864" s="5">
        <v>390331081</v>
      </c>
      <c r="F864" s="5" t="s">
        <v>904</v>
      </c>
      <c r="G864" s="5"/>
      <c r="H864" s="5" t="s">
        <v>513</v>
      </c>
      <c r="I864" s="17">
        <v>7.4962224394861599E+18</v>
      </c>
      <c r="J864" s="5" t="s">
        <v>936</v>
      </c>
      <c r="K864" s="5"/>
      <c r="L864" s="5"/>
      <c r="M864" s="5" t="s">
        <v>1276</v>
      </c>
    </row>
    <row r="865" spans="3:13" x14ac:dyDescent="0.35">
      <c r="C865" s="5"/>
      <c r="D865" s="5" t="s">
        <v>786</v>
      </c>
      <c r="E865" s="5">
        <v>592573820</v>
      </c>
      <c r="F865" s="5" t="s">
        <v>903</v>
      </c>
      <c r="G865" s="5"/>
      <c r="H865" s="5" t="s">
        <v>786</v>
      </c>
      <c r="I865" s="17">
        <v>7.4961819357964196E+18</v>
      </c>
      <c r="J865" s="5" t="s">
        <v>910</v>
      </c>
      <c r="K865" s="5"/>
      <c r="L865" s="5"/>
      <c r="M865" s="5" t="s">
        <v>1276</v>
      </c>
    </row>
    <row r="866" spans="3:13" x14ac:dyDescent="0.35">
      <c r="C866" s="5"/>
      <c r="D866" s="5" t="s">
        <v>658</v>
      </c>
      <c r="E866" s="5">
        <v>645740365</v>
      </c>
      <c r="F866" s="5" t="s">
        <v>907</v>
      </c>
      <c r="G866" s="5"/>
      <c r="H866" s="5"/>
      <c r="I866" s="17"/>
      <c r="J866" s="5"/>
      <c r="K866" s="5"/>
      <c r="L866" s="5"/>
      <c r="M866" s="5" t="s">
        <v>1276</v>
      </c>
    </row>
    <row r="867" spans="3:13" x14ac:dyDescent="0.35">
      <c r="C867" s="5"/>
      <c r="D867" s="5" t="s">
        <v>689</v>
      </c>
      <c r="E867" s="5">
        <v>728534865</v>
      </c>
      <c r="F867" s="5" t="s">
        <v>907</v>
      </c>
      <c r="G867" s="5"/>
      <c r="H867" s="5" t="s">
        <v>689</v>
      </c>
      <c r="I867" s="17">
        <v>7.4961616634959903E+18</v>
      </c>
      <c r="J867" s="5" t="s">
        <v>942</v>
      </c>
      <c r="K867" s="5"/>
      <c r="L867" s="5" t="s">
        <v>1225</v>
      </c>
      <c r="M867" s="5" t="s">
        <v>1276</v>
      </c>
    </row>
    <row r="868" spans="3:13" x14ac:dyDescent="0.35">
      <c r="C868" s="5"/>
      <c r="D868" s="5" t="s">
        <v>82</v>
      </c>
      <c r="E868" s="5">
        <v>874603044</v>
      </c>
      <c r="F868" s="5" t="s">
        <v>904</v>
      </c>
      <c r="G868" s="5"/>
      <c r="H868" s="5" t="s">
        <v>739</v>
      </c>
      <c r="I868" s="17">
        <v>7.4962295230647204E+18</v>
      </c>
      <c r="J868" s="5" t="s">
        <v>926</v>
      </c>
      <c r="K868" s="5"/>
      <c r="L868" s="5" t="s">
        <v>1245</v>
      </c>
      <c r="M868" s="5" t="s">
        <v>1276</v>
      </c>
    </row>
    <row r="869" spans="3:13" x14ac:dyDescent="0.35">
      <c r="C869" s="5"/>
      <c r="D869" s="5" t="s">
        <v>739</v>
      </c>
      <c r="E869" s="5">
        <v>874603044</v>
      </c>
      <c r="F869" s="5" t="s">
        <v>904</v>
      </c>
      <c r="G869" s="5"/>
      <c r="H869" s="5" t="s">
        <v>739</v>
      </c>
      <c r="I869" s="17">
        <v>7.4962295230647204E+18</v>
      </c>
      <c r="J869" s="5" t="s">
        <v>926</v>
      </c>
      <c r="K869" s="5"/>
      <c r="L869" s="5" t="s">
        <v>1245</v>
      </c>
      <c r="M869" s="5" t="s">
        <v>1276</v>
      </c>
    </row>
    <row r="870" spans="3:13" x14ac:dyDescent="0.35">
      <c r="C870" s="5"/>
      <c r="D870" s="5" t="s">
        <v>756</v>
      </c>
      <c r="E870" s="5">
        <v>944725778</v>
      </c>
      <c r="F870" s="5" t="s">
        <v>906</v>
      </c>
      <c r="G870" s="5"/>
      <c r="H870" s="5" t="s">
        <v>756</v>
      </c>
      <c r="I870" s="17">
        <v>7.4961617031852503E+18</v>
      </c>
      <c r="J870" s="5" t="s">
        <v>918</v>
      </c>
      <c r="K870" s="5"/>
      <c r="L870" s="5" t="s">
        <v>1255</v>
      </c>
      <c r="M870" s="5" t="s">
        <v>1276</v>
      </c>
    </row>
    <row r="871" spans="3:13" x14ac:dyDescent="0.35">
      <c r="C871" s="5"/>
      <c r="D871" s="5" t="s">
        <v>50</v>
      </c>
      <c r="E871" s="5">
        <v>1006863047</v>
      </c>
      <c r="F871" s="5" t="s">
        <v>906</v>
      </c>
      <c r="G871" s="5"/>
      <c r="H871" s="5" t="s">
        <v>50</v>
      </c>
      <c r="I871" s="17">
        <v>7.4962673501888502E+18</v>
      </c>
      <c r="J871" s="5" t="s">
        <v>910</v>
      </c>
      <c r="K871" s="5"/>
      <c r="L871" s="5"/>
      <c r="M871" s="5" t="s">
        <v>1276</v>
      </c>
    </row>
    <row r="872" spans="3:13" x14ac:dyDescent="0.35">
      <c r="C872" s="5"/>
      <c r="D872" s="5" t="s">
        <v>70</v>
      </c>
      <c r="E872" s="5">
        <v>1044608462</v>
      </c>
      <c r="F872" s="5" t="s">
        <v>906</v>
      </c>
      <c r="G872" s="5"/>
      <c r="H872" s="5" t="s">
        <v>70</v>
      </c>
      <c r="I872" s="17">
        <v>7.4961820512254996E+18</v>
      </c>
      <c r="J872" s="5"/>
      <c r="K872" s="5"/>
      <c r="L872" s="5"/>
      <c r="M872" s="5" t="s">
        <v>1276</v>
      </c>
    </row>
    <row r="873" spans="3:13" x14ac:dyDescent="0.35">
      <c r="C873" s="5"/>
      <c r="D873" s="5" t="s">
        <v>127</v>
      </c>
      <c r="E873" s="5">
        <v>1146998712</v>
      </c>
      <c r="F873" s="5" t="s">
        <v>906</v>
      </c>
      <c r="G873" s="5"/>
      <c r="H873" s="5" t="s">
        <v>127</v>
      </c>
      <c r="I873" s="17">
        <v>7.4961819163707597E+18</v>
      </c>
      <c r="J873" s="5" t="s">
        <v>918</v>
      </c>
      <c r="K873" s="5"/>
      <c r="L873" s="5"/>
      <c r="M873" s="5" t="s">
        <v>1276</v>
      </c>
    </row>
    <row r="874" spans="3:13" x14ac:dyDescent="0.35">
      <c r="C874" s="5"/>
      <c r="D874" s="5" t="s">
        <v>137</v>
      </c>
      <c r="E874" s="5">
        <v>1171941844</v>
      </c>
      <c r="F874" s="5" t="s">
        <v>905</v>
      </c>
      <c r="G874" s="5"/>
      <c r="H874" s="5" t="s">
        <v>137</v>
      </c>
      <c r="I874" s="17">
        <v>7.4961873486265395E+18</v>
      </c>
      <c r="J874" s="5" t="s">
        <v>936</v>
      </c>
      <c r="K874" s="5"/>
      <c r="L874" s="5" t="s">
        <v>966</v>
      </c>
      <c r="M874" s="5" t="s">
        <v>1276</v>
      </c>
    </row>
    <row r="875" spans="3:13" x14ac:dyDescent="0.35">
      <c r="C875" s="5"/>
      <c r="D875" s="5" t="s">
        <v>144</v>
      </c>
      <c r="E875" s="5">
        <v>1187524480</v>
      </c>
      <c r="F875" s="5" t="s">
        <v>903</v>
      </c>
      <c r="G875" s="5"/>
      <c r="H875" s="5"/>
      <c r="I875" s="17"/>
      <c r="J875" s="5"/>
      <c r="K875" s="5"/>
      <c r="L875" s="5" t="s">
        <v>919</v>
      </c>
      <c r="M875" s="5" t="s">
        <v>1276</v>
      </c>
    </row>
    <row r="876" spans="3:13" x14ac:dyDescent="0.35">
      <c r="C876" s="5"/>
      <c r="D876" s="5" t="s">
        <v>149</v>
      </c>
      <c r="E876" s="5">
        <v>1198407784</v>
      </c>
      <c r="F876" s="5" t="s">
        <v>903</v>
      </c>
      <c r="G876" s="5"/>
      <c r="H876" s="5" t="s">
        <v>149</v>
      </c>
      <c r="I876" s="17">
        <v>7.4961811324892303E+18</v>
      </c>
      <c r="J876" s="5" t="s">
        <v>916</v>
      </c>
      <c r="K876" s="5"/>
      <c r="L876" s="5" t="s">
        <v>973</v>
      </c>
      <c r="M876" s="5" t="s">
        <v>1276</v>
      </c>
    </row>
    <row r="877" spans="3:13" x14ac:dyDescent="0.35">
      <c r="C877" s="5"/>
      <c r="D877" s="5" t="s">
        <v>182</v>
      </c>
      <c r="E877" s="5">
        <v>1265443235</v>
      </c>
      <c r="F877" s="5" t="s">
        <v>905</v>
      </c>
      <c r="G877" s="5"/>
      <c r="H877" s="5" t="s">
        <v>182</v>
      </c>
      <c r="I877" s="17">
        <v>7.4961867000717896E+18</v>
      </c>
      <c r="J877" s="5"/>
      <c r="K877" s="5"/>
      <c r="L877" s="5"/>
      <c r="M877" s="5" t="s">
        <v>1276</v>
      </c>
    </row>
    <row r="878" spans="3:13" x14ac:dyDescent="0.35">
      <c r="C878" s="5"/>
      <c r="D878" s="5" t="s">
        <v>203</v>
      </c>
      <c r="E878" s="5">
        <v>1315716433</v>
      </c>
      <c r="F878" s="5" t="s">
        <v>904</v>
      </c>
      <c r="G878" s="5"/>
      <c r="H878" s="5" t="s">
        <v>203</v>
      </c>
      <c r="I878" s="17">
        <v>7.4961677662382602E+18</v>
      </c>
      <c r="J878" s="5" t="s">
        <v>984</v>
      </c>
      <c r="K878" s="5"/>
      <c r="L878" s="5" t="s">
        <v>1000</v>
      </c>
      <c r="M878" s="5" t="s">
        <v>1276</v>
      </c>
    </row>
    <row r="879" spans="3:13" x14ac:dyDescent="0.35">
      <c r="C879" s="5"/>
      <c r="D879" s="5" t="s">
        <v>215</v>
      </c>
      <c r="E879" s="5">
        <v>1360752092</v>
      </c>
      <c r="F879" s="5" t="s">
        <v>903</v>
      </c>
      <c r="G879" s="5"/>
      <c r="H879" s="5"/>
      <c r="I879" s="17"/>
      <c r="J879" s="5"/>
      <c r="K879" s="5"/>
      <c r="L879" s="5"/>
      <c r="M879" s="5" t="s">
        <v>1276</v>
      </c>
    </row>
    <row r="880" spans="3:13" x14ac:dyDescent="0.35">
      <c r="C880" s="5"/>
      <c r="D880" s="5" t="s">
        <v>218</v>
      </c>
      <c r="E880" s="5">
        <v>1362271096</v>
      </c>
      <c r="F880" s="5" t="s">
        <v>906</v>
      </c>
      <c r="G880" s="5"/>
      <c r="H880" s="5"/>
      <c r="I880" s="17"/>
      <c r="J880" s="5"/>
      <c r="K880" s="5"/>
      <c r="L880" s="5"/>
      <c r="M880" s="5" t="s">
        <v>1276</v>
      </c>
    </row>
    <row r="881" spans="3:13" x14ac:dyDescent="0.35">
      <c r="C881" s="5"/>
      <c r="D881" s="5" t="s">
        <v>270</v>
      </c>
      <c r="E881" s="5">
        <v>1457230584</v>
      </c>
      <c r="F881" s="5" t="s">
        <v>905</v>
      </c>
      <c r="G881" s="5"/>
      <c r="H881" s="5" t="s">
        <v>270</v>
      </c>
      <c r="I881" s="17">
        <v>7.49630100347712E+18</v>
      </c>
      <c r="J881" s="5" t="s">
        <v>916</v>
      </c>
      <c r="K881" s="5"/>
      <c r="L881" s="5" t="s">
        <v>1028</v>
      </c>
      <c r="M881" s="5" t="s">
        <v>1276</v>
      </c>
    </row>
    <row r="882" spans="3:13" x14ac:dyDescent="0.35">
      <c r="C882" s="5"/>
      <c r="D882" s="5" t="s">
        <v>298</v>
      </c>
      <c r="E882" s="5">
        <v>1515050102</v>
      </c>
      <c r="F882" s="5" t="s">
        <v>904</v>
      </c>
      <c r="G882" s="5"/>
      <c r="H882" s="5"/>
      <c r="I882" s="17"/>
      <c r="J882" s="5"/>
      <c r="K882" s="5"/>
      <c r="L882" s="5"/>
      <c r="M882" s="5" t="s">
        <v>1276</v>
      </c>
    </row>
    <row r="883" spans="3:13" x14ac:dyDescent="0.35">
      <c r="C883" s="5"/>
      <c r="D883" s="5" t="s">
        <v>307</v>
      </c>
      <c r="E883" s="5">
        <v>1541927562</v>
      </c>
      <c r="F883" s="5" t="s">
        <v>903</v>
      </c>
      <c r="G883" s="5"/>
      <c r="H883" s="5" t="s">
        <v>307</v>
      </c>
      <c r="I883" s="17">
        <v>7.4963107548595098E+18</v>
      </c>
      <c r="J883" s="5"/>
      <c r="K883" s="5"/>
      <c r="L883" s="5"/>
      <c r="M883" s="5" t="s">
        <v>1276</v>
      </c>
    </row>
    <row r="884" spans="3:13" x14ac:dyDescent="0.35">
      <c r="C884" s="5"/>
      <c r="D884" s="5" t="s">
        <v>361</v>
      </c>
      <c r="E884" s="5">
        <v>260445053</v>
      </c>
      <c r="F884" s="5" t="s">
        <v>906</v>
      </c>
      <c r="G884" s="5"/>
      <c r="H884" s="5" t="s">
        <v>361</v>
      </c>
      <c r="I884" s="17">
        <v>7.49616850526191E+18</v>
      </c>
      <c r="J884" s="5" t="s">
        <v>908</v>
      </c>
      <c r="K884" s="5"/>
      <c r="L884" s="5" t="s">
        <v>1078</v>
      </c>
      <c r="M884" s="5" t="s">
        <v>1276</v>
      </c>
    </row>
    <row r="885" spans="3:13" x14ac:dyDescent="0.35">
      <c r="C885" s="5"/>
      <c r="D885" s="5" t="s">
        <v>378</v>
      </c>
      <c r="E885" s="5">
        <v>290948553</v>
      </c>
      <c r="F885" s="5" t="s">
        <v>903</v>
      </c>
      <c r="G885" s="5"/>
      <c r="H885" s="5" t="s">
        <v>378</v>
      </c>
      <c r="I885" s="17">
        <v>7.4961614704382095E+18</v>
      </c>
      <c r="J885" s="5" t="s">
        <v>926</v>
      </c>
      <c r="K885" s="5"/>
      <c r="L885" s="5"/>
      <c r="M885" s="5" t="s">
        <v>1276</v>
      </c>
    </row>
    <row r="886" spans="3:13" x14ac:dyDescent="0.35">
      <c r="C886" s="5"/>
      <c r="D886" s="5" t="s">
        <v>509</v>
      </c>
      <c r="E886" s="5">
        <v>389800143</v>
      </c>
      <c r="F886" s="5" t="s">
        <v>905</v>
      </c>
      <c r="G886" s="5"/>
      <c r="H886" s="5" t="s">
        <v>509</v>
      </c>
      <c r="I886" s="17">
        <v>7.4961473838256896E+18</v>
      </c>
      <c r="J886" s="5" t="s">
        <v>942</v>
      </c>
      <c r="K886" s="5"/>
      <c r="L886" s="5" t="s">
        <v>1144</v>
      </c>
      <c r="M886" s="5" t="s">
        <v>1276</v>
      </c>
    </row>
    <row r="887" spans="3:13" x14ac:dyDescent="0.35">
      <c r="C887" s="5"/>
      <c r="D887" s="5" t="s">
        <v>510</v>
      </c>
      <c r="E887" s="5">
        <v>389806204</v>
      </c>
      <c r="F887" s="5" t="s">
        <v>904</v>
      </c>
      <c r="G887" s="5"/>
      <c r="H887" s="5" t="s">
        <v>510</v>
      </c>
      <c r="I887" s="17">
        <v>7.4942531326721004E+18</v>
      </c>
      <c r="J887" s="5"/>
      <c r="K887" s="5"/>
      <c r="L887" s="5"/>
      <c r="M887" s="5" t="s">
        <v>1276</v>
      </c>
    </row>
    <row r="888" spans="3:13" x14ac:dyDescent="0.35">
      <c r="C888" s="5"/>
      <c r="D888" s="5" t="s">
        <v>522</v>
      </c>
      <c r="E888" s="5">
        <v>393887125</v>
      </c>
      <c r="F888" s="5" t="s">
        <v>903</v>
      </c>
      <c r="G888" s="5"/>
      <c r="H888" s="5" t="s">
        <v>522</v>
      </c>
      <c r="I888" s="17">
        <v>7.4962515521691003E+18</v>
      </c>
      <c r="J888" s="5"/>
      <c r="K888" s="5"/>
      <c r="L888" s="5"/>
      <c r="M888" s="5" t="s">
        <v>1276</v>
      </c>
    </row>
    <row r="889" spans="3:13" x14ac:dyDescent="0.35">
      <c r="C889" s="5"/>
      <c r="D889" s="5" t="s">
        <v>526</v>
      </c>
      <c r="E889" s="5">
        <v>396949918</v>
      </c>
      <c r="F889" s="5" t="s">
        <v>905</v>
      </c>
      <c r="G889" s="5"/>
      <c r="H889" s="5" t="s">
        <v>526</v>
      </c>
      <c r="I889" s="17">
        <v>7.4961844841185597E+18</v>
      </c>
      <c r="J889" s="5" t="s">
        <v>908</v>
      </c>
      <c r="K889" s="5"/>
      <c r="L889" s="5" t="s">
        <v>1152</v>
      </c>
      <c r="M889" s="5" t="s">
        <v>1276</v>
      </c>
    </row>
    <row r="890" spans="3:13" x14ac:dyDescent="0.35">
      <c r="C890" s="5"/>
      <c r="D890" s="5" t="s">
        <v>546</v>
      </c>
      <c r="E890" s="5">
        <v>410610397</v>
      </c>
      <c r="F890" s="5" t="s">
        <v>904</v>
      </c>
      <c r="G890" s="5"/>
      <c r="H890" s="5" t="s">
        <v>546</v>
      </c>
      <c r="I890" s="17">
        <v>7.4961820420247695E+18</v>
      </c>
      <c r="J890" s="5"/>
      <c r="K890" s="5"/>
      <c r="L890" s="5"/>
      <c r="M890" s="5" t="s">
        <v>1276</v>
      </c>
    </row>
    <row r="891" spans="3:13" x14ac:dyDescent="0.35">
      <c r="C891" s="5"/>
      <c r="D891" s="5" t="s">
        <v>572</v>
      </c>
      <c r="E891" s="5">
        <v>436723291</v>
      </c>
      <c r="F891" s="5" t="s">
        <v>906</v>
      </c>
      <c r="G891" s="5"/>
      <c r="H891" s="5" t="s">
        <v>572</v>
      </c>
      <c r="I891" s="17">
        <v>7.4961819526650604E+18</v>
      </c>
      <c r="J891" s="5"/>
      <c r="K891" s="5"/>
      <c r="L891" s="5"/>
      <c r="M891" s="5" t="s">
        <v>1276</v>
      </c>
    </row>
    <row r="892" spans="3:13" x14ac:dyDescent="0.35">
      <c r="C892" s="5"/>
      <c r="D892" s="5" t="s">
        <v>603</v>
      </c>
      <c r="E892" s="5">
        <v>489158876</v>
      </c>
      <c r="F892" s="5" t="s">
        <v>904</v>
      </c>
      <c r="G892" s="5"/>
      <c r="H892" s="5" t="s">
        <v>603</v>
      </c>
      <c r="I892" s="17">
        <v>7.4961875257200804E+18</v>
      </c>
      <c r="J892" s="5" t="s">
        <v>916</v>
      </c>
      <c r="K892" s="5"/>
      <c r="L892" s="5" t="s">
        <v>1187</v>
      </c>
      <c r="M892" s="5" t="s">
        <v>1276</v>
      </c>
    </row>
    <row r="893" spans="3:13" x14ac:dyDescent="0.35">
      <c r="C893" s="5"/>
      <c r="D893" s="5" t="s">
        <v>619</v>
      </c>
      <c r="E893" s="5">
        <v>526615488</v>
      </c>
      <c r="F893" s="5" t="s">
        <v>903</v>
      </c>
      <c r="G893" s="5"/>
      <c r="H893" s="5" t="s">
        <v>619</v>
      </c>
      <c r="I893" s="17">
        <v>7.4962211813104302E+18</v>
      </c>
      <c r="J893" s="5"/>
      <c r="K893" s="5"/>
      <c r="L893" s="5"/>
      <c r="M893" s="5" t="s">
        <v>1276</v>
      </c>
    </row>
    <row r="894" spans="3:13" x14ac:dyDescent="0.35">
      <c r="C894" s="5"/>
      <c r="D894" s="5" t="s">
        <v>674</v>
      </c>
      <c r="E894" s="5">
        <v>683952730</v>
      </c>
      <c r="F894" s="5" t="s">
        <v>905</v>
      </c>
      <c r="G894" s="5"/>
      <c r="H894" s="5" t="s">
        <v>674</v>
      </c>
      <c r="I894" s="17">
        <v>7.4961829867068099E+18</v>
      </c>
      <c r="J894" s="5" t="s">
        <v>911</v>
      </c>
      <c r="K894" s="5"/>
      <c r="L894" s="5"/>
      <c r="M894" s="5" t="s">
        <v>1276</v>
      </c>
    </row>
    <row r="895" spans="3:13" x14ac:dyDescent="0.35">
      <c r="C895" s="5"/>
      <c r="D895" s="5" t="s">
        <v>750</v>
      </c>
      <c r="E895" s="5">
        <v>932796296</v>
      </c>
      <c r="F895" s="5" t="s">
        <v>906</v>
      </c>
      <c r="G895" s="5"/>
      <c r="H895" s="5" t="s">
        <v>750</v>
      </c>
      <c r="I895" s="17">
        <v>7.4961819424250604E+18</v>
      </c>
      <c r="J895" s="5" t="s">
        <v>941</v>
      </c>
      <c r="K895" s="5"/>
      <c r="L895" s="5" t="s">
        <v>1251</v>
      </c>
      <c r="M895" s="5" t="s">
        <v>1276</v>
      </c>
    </row>
    <row r="896" spans="3:13" x14ac:dyDescent="0.35">
      <c r="C896" s="5"/>
      <c r="D896" s="5" t="s">
        <v>515</v>
      </c>
      <c r="E896" s="5">
        <v>391739739</v>
      </c>
      <c r="F896" s="5"/>
      <c r="G896" s="5"/>
      <c r="H896" s="5" t="s">
        <v>515</v>
      </c>
      <c r="I896" s="17">
        <v>7.4961475059922698E+18</v>
      </c>
      <c r="J896" s="5" t="s">
        <v>941</v>
      </c>
      <c r="K896" s="5"/>
      <c r="L896" s="5" t="s">
        <v>1147</v>
      </c>
      <c r="M896" s="5" t="s">
        <v>1276</v>
      </c>
    </row>
    <row r="897" spans="3:13" x14ac:dyDescent="0.35">
      <c r="C897" s="5"/>
      <c r="D897" s="5" t="s">
        <v>651</v>
      </c>
      <c r="E897" s="5">
        <v>616222685</v>
      </c>
      <c r="F897" s="5"/>
      <c r="G897" s="5"/>
      <c r="H897" s="5" t="s">
        <v>651</v>
      </c>
      <c r="I897" s="17">
        <v>7.4961530302271601E+18</v>
      </c>
      <c r="J897" s="5" t="s">
        <v>908</v>
      </c>
      <c r="K897" s="5"/>
      <c r="L897" s="5" t="s">
        <v>1209</v>
      </c>
      <c r="M897" s="5" t="s">
        <v>1276</v>
      </c>
    </row>
    <row r="898" spans="3:13" x14ac:dyDescent="0.35">
      <c r="C898" s="5"/>
      <c r="D898" s="5" t="s">
        <v>794</v>
      </c>
      <c r="E898" s="5">
        <v>974102638</v>
      </c>
      <c r="F898" s="5"/>
      <c r="G898" s="5"/>
      <c r="H898" s="5" t="s">
        <v>794</v>
      </c>
      <c r="I898" s="17">
        <v>7.4962622491652598E+18</v>
      </c>
      <c r="J898" s="5" t="s">
        <v>913</v>
      </c>
      <c r="K898" s="5"/>
      <c r="L898" s="5"/>
      <c r="M898" s="5" t="s">
        <v>1276</v>
      </c>
    </row>
    <row r="899" spans="3:13" x14ac:dyDescent="0.35">
      <c r="C899" s="5"/>
      <c r="D899" s="5" t="s">
        <v>739</v>
      </c>
      <c r="E899" s="5">
        <v>874603044</v>
      </c>
      <c r="F899" s="5"/>
      <c r="G899" s="5"/>
      <c r="H899" s="5" t="s">
        <v>739</v>
      </c>
      <c r="I899" s="17">
        <v>7.4962295230647204E+18</v>
      </c>
      <c r="J899" s="5" t="s">
        <v>926</v>
      </c>
      <c r="K899" s="5"/>
      <c r="L899" s="5" t="s">
        <v>1245</v>
      </c>
      <c r="M899" s="5" t="s">
        <v>1276</v>
      </c>
    </row>
    <row r="900" spans="3:13" x14ac:dyDescent="0.35">
      <c r="C900" s="5"/>
      <c r="D900" s="5" t="s">
        <v>597</v>
      </c>
      <c r="E900" s="5">
        <v>482840775</v>
      </c>
      <c r="F900" s="5"/>
      <c r="G900" s="5"/>
      <c r="H900" s="5" t="s">
        <v>597</v>
      </c>
      <c r="I900" s="17">
        <v>7.49625409808128E+18</v>
      </c>
      <c r="J900" s="5" t="s">
        <v>1037</v>
      </c>
      <c r="K900" s="5"/>
      <c r="L900" s="5" t="s">
        <v>1184</v>
      </c>
      <c r="M900" s="5" t="s">
        <v>1276</v>
      </c>
    </row>
    <row r="901" spans="3:13" x14ac:dyDescent="0.35">
      <c r="C901" s="5"/>
      <c r="D901" s="5" t="s">
        <v>140</v>
      </c>
      <c r="E901" s="5">
        <v>1177903362</v>
      </c>
      <c r="F901" s="5"/>
      <c r="G901" s="5"/>
      <c r="H901" s="5" t="s">
        <v>140</v>
      </c>
      <c r="I901" s="17">
        <v>7.4961519207800801E+18</v>
      </c>
      <c r="J901" s="5" t="s">
        <v>911</v>
      </c>
      <c r="K901" s="5"/>
      <c r="L901" s="5" t="s">
        <v>968</v>
      </c>
      <c r="M901" s="5" t="s">
        <v>1276</v>
      </c>
    </row>
    <row r="902" spans="3:13" x14ac:dyDescent="0.35">
      <c r="C902" s="5"/>
      <c r="D902" s="5" t="s">
        <v>391</v>
      </c>
      <c r="E902" s="5">
        <v>300779622</v>
      </c>
      <c r="F902" s="5"/>
      <c r="G902" s="5"/>
      <c r="H902" s="5" t="s">
        <v>391</v>
      </c>
      <c r="I902" s="17">
        <v>7.49620233730893E+18</v>
      </c>
      <c r="J902" s="5" t="s">
        <v>928</v>
      </c>
      <c r="K902" s="5"/>
      <c r="L902" s="5"/>
      <c r="M902" s="5" t="s">
        <v>1276</v>
      </c>
    </row>
    <row r="903" spans="3:13" x14ac:dyDescent="0.35">
      <c r="C903" s="5"/>
      <c r="D903" s="5" t="s">
        <v>429</v>
      </c>
      <c r="E903" s="5">
        <v>328666563</v>
      </c>
      <c r="F903" s="5"/>
      <c r="G903" s="5"/>
      <c r="H903" s="5" t="s">
        <v>429</v>
      </c>
      <c r="I903" s="17">
        <v>7.4961464312699597E+18</v>
      </c>
      <c r="J903" s="5" t="s">
        <v>908</v>
      </c>
      <c r="K903" s="5"/>
      <c r="L903" s="5" t="s">
        <v>1108</v>
      </c>
      <c r="M903" s="5" t="s">
        <v>1276</v>
      </c>
    </row>
    <row r="904" spans="3:13" x14ac:dyDescent="0.35">
      <c r="C904" s="5"/>
      <c r="D904" s="5" t="s">
        <v>139</v>
      </c>
      <c r="E904" s="5">
        <v>1177319319</v>
      </c>
      <c r="F904" s="5"/>
      <c r="G904" s="5"/>
      <c r="H904" s="5" t="s">
        <v>139</v>
      </c>
      <c r="I904" s="17">
        <v>7.4961626035106898E+18</v>
      </c>
      <c r="J904" s="5" t="s">
        <v>936</v>
      </c>
      <c r="K904" s="5"/>
      <c r="L904" s="5" t="s">
        <v>967</v>
      </c>
      <c r="M904" s="5" t="s">
        <v>1276</v>
      </c>
    </row>
    <row r="905" spans="3:13" x14ac:dyDescent="0.35">
      <c r="C905" s="5"/>
      <c r="D905" s="5" t="s">
        <v>388</v>
      </c>
      <c r="E905" s="5">
        <v>299222557</v>
      </c>
      <c r="F905" s="5"/>
      <c r="G905" s="5"/>
      <c r="H905" s="5" t="s">
        <v>388</v>
      </c>
      <c r="I905" s="17">
        <v>7.4961791508234496E+18</v>
      </c>
      <c r="J905" s="5" t="s">
        <v>908</v>
      </c>
      <c r="K905" s="5"/>
      <c r="L905" s="5" t="s">
        <v>1088</v>
      </c>
      <c r="M905" s="5" t="s">
        <v>1276</v>
      </c>
    </row>
    <row r="906" spans="3:13" x14ac:dyDescent="0.35">
      <c r="C906" s="5"/>
      <c r="D906" s="5" t="s">
        <v>482</v>
      </c>
      <c r="E906" s="5">
        <v>373261329</v>
      </c>
      <c r="F906" s="5"/>
      <c r="G906" s="5"/>
      <c r="H906" s="5" t="s">
        <v>482</v>
      </c>
      <c r="I906" s="17">
        <v>7.4961538833578998E+18</v>
      </c>
      <c r="J906" s="5" t="s">
        <v>908</v>
      </c>
      <c r="K906" s="5"/>
      <c r="L906" s="5" t="s">
        <v>1131</v>
      </c>
      <c r="M906" s="5" t="s">
        <v>1276</v>
      </c>
    </row>
    <row r="907" spans="3:13" x14ac:dyDescent="0.35">
      <c r="C907" s="5"/>
      <c r="D907" s="5" t="s">
        <v>405</v>
      </c>
      <c r="E907" s="5">
        <v>313984108</v>
      </c>
      <c r="F907" s="5"/>
      <c r="G907" s="5"/>
      <c r="H907" s="5" t="s">
        <v>405</v>
      </c>
      <c r="I907" s="17">
        <v>7.4940883144375296E+18</v>
      </c>
      <c r="J907" s="5" t="s">
        <v>928</v>
      </c>
      <c r="K907" s="5"/>
      <c r="L907" s="5" t="s">
        <v>1094</v>
      </c>
      <c r="M907" s="5" t="s">
        <v>1276</v>
      </c>
    </row>
    <row r="908" spans="3:13" x14ac:dyDescent="0.35">
      <c r="C908" s="5"/>
      <c r="D908" s="5" t="s">
        <v>545</v>
      </c>
      <c r="E908" s="5">
        <v>409164022</v>
      </c>
      <c r="F908" s="5"/>
      <c r="G908" s="5"/>
      <c r="H908" s="5" t="s">
        <v>545</v>
      </c>
      <c r="I908" s="17">
        <v>7.4961531651682796E+18</v>
      </c>
      <c r="J908" s="5" t="s">
        <v>911</v>
      </c>
      <c r="K908" s="5"/>
      <c r="L908" s="5" t="s">
        <v>1160</v>
      </c>
      <c r="M908" s="5" t="s">
        <v>1276</v>
      </c>
    </row>
    <row r="909" spans="3:13" x14ac:dyDescent="0.35">
      <c r="C909" s="5"/>
      <c r="D909" s="5" t="s">
        <v>741</v>
      </c>
      <c r="E909" s="5">
        <v>883941882</v>
      </c>
      <c r="F909" s="5"/>
      <c r="G909" s="5"/>
      <c r="H909" s="5" t="s">
        <v>741</v>
      </c>
      <c r="I909" s="17">
        <v>7.4962036523100703E+18</v>
      </c>
      <c r="J909" s="5" t="s">
        <v>926</v>
      </c>
      <c r="K909" s="5"/>
      <c r="L909" s="5" t="s">
        <v>1246</v>
      </c>
      <c r="M909" s="5" t="s">
        <v>1276</v>
      </c>
    </row>
    <row r="910" spans="3:13" x14ac:dyDescent="0.35">
      <c r="C910" s="5"/>
      <c r="D910" s="5" t="s">
        <v>553</v>
      </c>
      <c r="E910" s="5">
        <v>415175805</v>
      </c>
      <c r="F910" s="5"/>
      <c r="G910" s="5"/>
      <c r="H910" s="5" t="s">
        <v>553</v>
      </c>
      <c r="I910" s="17">
        <v>7.4961617045187103E+18</v>
      </c>
      <c r="J910" s="5" t="s">
        <v>908</v>
      </c>
      <c r="K910" s="5"/>
      <c r="L910" s="5" t="s">
        <v>1164</v>
      </c>
      <c r="M910" s="5" t="s">
        <v>1276</v>
      </c>
    </row>
    <row r="911" spans="3:13" x14ac:dyDescent="0.35">
      <c r="C911" s="5"/>
      <c r="D911" s="5" t="s">
        <v>771</v>
      </c>
      <c r="E911" s="5">
        <v>995022276</v>
      </c>
      <c r="F911" s="5"/>
      <c r="G911" s="5"/>
      <c r="H911" s="5" t="s">
        <v>771</v>
      </c>
      <c r="I911" s="17">
        <v>7.4961622281287404E+18</v>
      </c>
      <c r="J911" s="5" t="s">
        <v>918</v>
      </c>
      <c r="K911" s="5"/>
      <c r="L911" s="5" t="s">
        <v>1262</v>
      </c>
      <c r="M911" s="5" t="s">
        <v>1276</v>
      </c>
    </row>
    <row r="912" spans="3:13" x14ac:dyDescent="0.35">
      <c r="C912" s="5"/>
      <c r="D912" s="5" t="s">
        <v>512</v>
      </c>
      <c r="E912" s="5">
        <v>390307022</v>
      </c>
      <c r="F912" s="5"/>
      <c r="G912" s="5"/>
      <c r="H912" s="5" t="s">
        <v>512</v>
      </c>
      <c r="I912" s="17">
        <v>7.4961634719360901E+18</v>
      </c>
      <c r="J912" s="5" t="s">
        <v>926</v>
      </c>
      <c r="K912" s="5"/>
      <c r="L912" s="5" t="s">
        <v>1145</v>
      </c>
      <c r="M912" s="5" t="s">
        <v>1276</v>
      </c>
    </row>
    <row r="913" spans="3:13" x14ac:dyDescent="0.35">
      <c r="C913" s="5"/>
      <c r="D913" s="5" t="s">
        <v>383</v>
      </c>
      <c r="E913" s="5">
        <v>296363855</v>
      </c>
      <c r="F913" s="5"/>
      <c r="G913" s="5"/>
      <c r="H913" s="5" t="s">
        <v>383</v>
      </c>
      <c r="I913" s="17">
        <v>7.4955619343641805E+18</v>
      </c>
      <c r="J913" s="5" t="s">
        <v>928</v>
      </c>
      <c r="K913" s="5"/>
      <c r="L913" s="5" t="s">
        <v>1086</v>
      </c>
      <c r="M913" s="5" t="s">
        <v>1276</v>
      </c>
    </row>
    <row r="914" spans="3:13" x14ac:dyDescent="0.35">
      <c r="C914" s="5"/>
      <c r="D914" s="5" t="s">
        <v>602</v>
      </c>
      <c r="E914" s="5">
        <v>489001115</v>
      </c>
      <c r="F914" s="5"/>
      <c r="G914" s="5"/>
      <c r="H914" s="5" t="s">
        <v>602</v>
      </c>
      <c r="I914" s="17">
        <v>7.4961625408964198E+18</v>
      </c>
      <c r="J914" s="5" t="s">
        <v>918</v>
      </c>
      <c r="K914" s="5"/>
      <c r="L914" s="5" t="s">
        <v>1186</v>
      </c>
      <c r="M914" s="5" t="s">
        <v>1276</v>
      </c>
    </row>
    <row r="915" spans="3:13" x14ac:dyDescent="0.35">
      <c r="C915" s="5"/>
      <c r="D915" s="5" t="s">
        <v>488</v>
      </c>
      <c r="E915" s="5">
        <v>377126536</v>
      </c>
      <c r="F915" s="5"/>
      <c r="G915" s="5"/>
      <c r="H915" s="5" t="s">
        <v>488</v>
      </c>
      <c r="I915" s="17">
        <v>7.4961536508881398E+18</v>
      </c>
      <c r="J915" s="5" t="s">
        <v>941</v>
      </c>
      <c r="K915" s="5"/>
      <c r="L915" s="5" t="s">
        <v>1134</v>
      </c>
      <c r="M915" s="5" t="s">
        <v>1276</v>
      </c>
    </row>
    <row r="916" spans="3:13" x14ac:dyDescent="0.35">
      <c r="C916" s="5"/>
      <c r="D916" s="5" t="s">
        <v>689</v>
      </c>
      <c r="E916" s="5">
        <v>728534865</v>
      </c>
      <c r="F916" s="5"/>
      <c r="G916" s="5"/>
      <c r="H916" s="5" t="s">
        <v>689</v>
      </c>
      <c r="I916" s="17">
        <v>7.4961616634959903E+18</v>
      </c>
      <c r="J916" s="5" t="s">
        <v>942</v>
      </c>
      <c r="K916" s="5"/>
      <c r="L916" s="5" t="s">
        <v>1225</v>
      </c>
      <c r="M916" s="5" t="s">
        <v>1276</v>
      </c>
    </row>
    <row r="917" spans="3:13" x14ac:dyDescent="0.35">
      <c r="C917" s="5"/>
      <c r="D917" s="5" t="s">
        <v>456</v>
      </c>
      <c r="E917" s="5">
        <v>346235717</v>
      </c>
      <c r="F917" s="5"/>
      <c r="G917" s="5"/>
      <c r="H917" s="5" t="s">
        <v>456</v>
      </c>
      <c r="I917" s="17">
        <v>7.4962835538517299E+18</v>
      </c>
      <c r="J917" s="5" t="s">
        <v>928</v>
      </c>
      <c r="K917" s="5"/>
      <c r="L917" s="5" t="s">
        <v>1118</v>
      </c>
      <c r="M917" s="5" t="s">
        <v>1276</v>
      </c>
    </row>
    <row r="918" spans="3:13" x14ac:dyDescent="0.35">
      <c r="C918" s="5"/>
      <c r="D918" s="5" t="s">
        <v>684</v>
      </c>
      <c r="E918" s="5">
        <v>717396632</v>
      </c>
      <c r="F918" s="5"/>
      <c r="G918" s="5"/>
      <c r="H918" s="5" t="s">
        <v>684</v>
      </c>
      <c r="I918" s="17">
        <v>7.4961531613890796E+18</v>
      </c>
      <c r="J918" s="5" t="s">
        <v>926</v>
      </c>
      <c r="K918" s="5"/>
      <c r="L918" s="5" t="s">
        <v>1221</v>
      </c>
      <c r="M918" s="5" t="s">
        <v>1276</v>
      </c>
    </row>
    <row r="919" spans="3:13" x14ac:dyDescent="0.35">
      <c r="C919" s="5"/>
      <c r="D919" s="5" t="s">
        <v>795</v>
      </c>
      <c r="E919" s="5">
        <v>1041517511</v>
      </c>
      <c r="F919" s="5"/>
      <c r="G919" s="5"/>
      <c r="H919" s="5" t="s">
        <v>795</v>
      </c>
      <c r="I919" s="17">
        <v>7.4961600543763599E+18</v>
      </c>
      <c r="J919" s="5" t="s">
        <v>916</v>
      </c>
      <c r="K919" s="5"/>
      <c r="L919" s="5"/>
      <c r="M919" s="5" t="s">
        <v>1276</v>
      </c>
    </row>
    <row r="920" spans="3:13" x14ac:dyDescent="0.35">
      <c r="C920" s="5"/>
      <c r="D920" s="5" t="s">
        <v>512</v>
      </c>
      <c r="E920" s="5">
        <v>291174073</v>
      </c>
      <c r="F920" s="5"/>
      <c r="G920" s="5"/>
      <c r="H920" s="5" t="s">
        <v>512</v>
      </c>
      <c r="I920" s="17">
        <v>7.4961634719360901E+18</v>
      </c>
      <c r="J920" s="5" t="s">
        <v>926</v>
      </c>
      <c r="K920" s="5"/>
      <c r="L920" s="5" t="s">
        <v>1145</v>
      </c>
      <c r="M920" s="5" t="s">
        <v>1276</v>
      </c>
    </row>
    <row r="921" spans="3:13" x14ac:dyDescent="0.35">
      <c r="C921" s="5"/>
      <c r="D921" s="5" t="s">
        <v>507</v>
      </c>
      <c r="E921" s="5">
        <v>387348115</v>
      </c>
      <c r="F921" s="5"/>
      <c r="G921" s="5"/>
      <c r="H921" s="5" t="s">
        <v>507</v>
      </c>
      <c r="I921" s="17">
        <v>7.4961604315664497E+18</v>
      </c>
      <c r="J921" s="5" t="s">
        <v>969</v>
      </c>
      <c r="K921" s="5"/>
      <c r="L921" s="5" t="s">
        <v>1142</v>
      </c>
      <c r="M921" s="5" t="s">
        <v>1276</v>
      </c>
    </row>
    <row r="922" spans="3:13" x14ac:dyDescent="0.35">
      <c r="C922" s="5"/>
      <c r="D922" s="5" t="s">
        <v>464</v>
      </c>
      <c r="E922" s="5">
        <v>359168917</v>
      </c>
      <c r="F922" s="5"/>
      <c r="G922" s="5"/>
      <c r="H922" s="5" t="s">
        <v>464</v>
      </c>
      <c r="I922" s="17">
        <v>7.4961603685124301E+18</v>
      </c>
      <c r="J922" s="5" t="s">
        <v>918</v>
      </c>
      <c r="K922" s="5"/>
      <c r="L922" s="5" t="s">
        <v>1122</v>
      </c>
      <c r="M922" s="5" t="s">
        <v>1276</v>
      </c>
    </row>
    <row r="923" spans="3:13" x14ac:dyDescent="0.35">
      <c r="C923" s="5"/>
      <c r="D923" s="5" t="s">
        <v>481</v>
      </c>
      <c r="E923" s="5">
        <v>371728614</v>
      </c>
      <c r="F923" s="5"/>
      <c r="G923" s="5"/>
      <c r="H923" s="5" t="s">
        <v>481</v>
      </c>
      <c r="I923" s="17">
        <v>7.4961675134245601E+18</v>
      </c>
      <c r="J923" s="5" t="s">
        <v>913</v>
      </c>
      <c r="K923" s="5"/>
      <c r="L923" s="5" t="s">
        <v>1130</v>
      </c>
      <c r="M923" s="5" t="s">
        <v>1276</v>
      </c>
    </row>
    <row r="924" spans="3:13" x14ac:dyDescent="0.35">
      <c r="C924" s="5"/>
      <c r="D924" s="5" t="s">
        <v>474</v>
      </c>
      <c r="E924" s="5">
        <v>367507085</v>
      </c>
      <c r="F924" s="5"/>
      <c r="G924" s="5"/>
      <c r="H924" s="5" t="s">
        <v>474</v>
      </c>
      <c r="I924" s="17">
        <v>7.4961540713888102E+18</v>
      </c>
      <c r="J924" s="5" t="s">
        <v>969</v>
      </c>
      <c r="K924" s="5"/>
      <c r="L924" s="5" t="s">
        <v>1126</v>
      </c>
      <c r="M924" s="5" t="s">
        <v>1276</v>
      </c>
    </row>
    <row r="925" spans="3:13" x14ac:dyDescent="0.35">
      <c r="C925" s="5"/>
      <c r="D925" s="5" t="s">
        <v>66</v>
      </c>
      <c r="E925" s="5">
        <v>1033215079</v>
      </c>
      <c r="F925" s="5"/>
      <c r="G925" s="5"/>
      <c r="H925" s="5" t="s">
        <v>66</v>
      </c>
      <c r="I925" s="17">
        <v>7.4961622046494904E+18</v>
      </c>
      <c r="J925" s="5" t="s">
        <v>926</v>
      </c>
      <c r="K925" s="5"/>
      <c r="L925" s="5" t="s">
        <v>927</v>
      </c>
      <c r="M925" s="5" t="s">
        <v>1276</v>
      </c>
    </row>
    <row r="926" spans="3:13" x14ac:dyDescent="0.35">
      <c r="C926" s="5"/>
      <c r="D926" s="5" t="s">
        <v>796</v>
      </c>
      <c r="E926" s="5">
        <v>570502401</v>
      </c>
      <c r="F926" s="5"/>
      <c r="G926" s="5"/>
      <c r="H926" s="5" t="s">
        <v>796</v>
      </c>
      <c r="I926" s="17">
        <v>7.4942185226994596E+18</v>
      </c>
      <c r="J926" s="5" t="s">
        <v>928</v>
      </c>
      <c r="K926" s="5"/>
      <c r="L926" s="5"/>
      <c r="M926" s="5" t="s">
        <v>1276</v>
      </c>
    </row>
    <row r="927" spans="3:13" x14ac:dyDescent="0.35">
      <c r="C927" s="5"/>
      <c r="D927" s="5" t="s">
        <v>797</v>
      </c>
      <c r="E927" s="5">
        <v>323760756</v>
      </c>
      <c r="F927" s="5"/>
      <c r="G927" s="5"/>
      <c r="H927" s="5" t="s">
        <v>797</v>
      </c>
      <c r="I927" s="17">
        <v>7.4961612707008E+18</v>
      </c>
      <c r="J927" s="5" t="s">
        <v>924</v>
      </c>
      <c r="K927" s="5"/>
      <c r="L927" s="5"/>
      <c r="M927" s="5" t="s">
        <v>1276</v>
      </c>
    </row>
    <row r="928" spans="3:13" x14ac:dyDescent="0.35">
      <c r="C928" s="5"/>
      <c r="D928" s="5" t="s">
        <v>671</v>
      </c>
      <c r="E928" s="5">
        <v>676651970</v>
      </c>
      <c r="F928" s="5"/>
      <c r="G928" s="5"/>
      <c r="H928" s="5" t="s">
        <v>671</v>
      </c>
      <c r="I928" s="17">
        <v>7.49618320062831E+18</v>
      </c>
      <c r="J928" s="5" t="s">
        <v>1275</v>
      </c>
      <c r="K928" s="5"/>
      <c r="L928" s="5"/>
      <c r="M928" s="5" t="s">
        <v>1276</v>
      </c>
    </row>
    <row r="929" spans="3:13" x14ac:dyDescent="0.35">
      <c r="C929" s="5"/>
      <c r="D929" s="5" t="s">
        <v>798</v>
      </c>
      <c r="E929" s="5">
        <v>338558924</v>
      </c>
      <c r="F929" s="5"/>
      <c r="G929" s="5"/>
      <c r="H929" s="5" t="s">
        <v>798</v>
      </c>
      <c r="I929" s="17">
        <v>7.4962223508266998E+18</v>
      </c>
      <c r="J929" s="5" t="s">
        <v>910</v>
      </c>
      <c r="K929" s="5"/>
      <c r="L929" s="5"/>
      <c r="M929" s="5" t="s">
        <v>1276</v>
      </c>
    </row>
    <row r="930" spans="3:13" x14ac:dyDescent="0.35">
      <c r="C930" s="5"/>
      <c r="D930" s="5" t="s">
        <v>535</v>
      </c>
      <c r="E930" s="5">
        <v>403640709</v>
      </c>
      <c r="F930" s="5"/>
      <c r="G930" s="5"/>
      <c r="H930" s="5" t="s">
        <v>535</v>
      </c>
      <c r="I930" s="17">
        <v>7.49618198292945E+18</v>
      </c>
      <c r="J930" s="5" t="s">
        <v>911</v>
      </c>
      <c r="K930" s="5"/>
      <c r="L930" s="5" t="s">
        <v>1155</v>
      </c>
      <c r="M930" s="5" t="s">
        <v>1276</v>
      </c>
    </row>
    <row r="931" spans="3:13" x14ac:dyDescent="0.35">
      <c r="C931" s="5"/>
      <c r="D931" s="5" t="s">
        <v>799</v>
      </c>
      <c r="E931" s="5">
        <v>790605924</v>
      </c>
      <c r="F931" s="5"/>
      <c r="G931" s="5"/>
      <c r="H931" s="5" t="s">
        <v>799</v>
      </c>
      <c r="I931" s="17">
        <v>7.4963009151073997E+18</v>
      </c>
      <c r="J931" s="5" t="s">
        <v>908</v>
      </c>
      <c r="K931" s="5"/>
      <c r="L931" s="5"/>
      <c r="M931" s="5" t="s">
        <v>1276</v>
      </c>
    </row>
    <row r="932" spans="3:13" x14ac:dyDescent="0.35">
      <c r="C932" s="5"/>
      <c r="D932" s="5" t="s">
        <v>166</v>
      </c>
      <c r="E932" s="5">
        <v>1242044379</v>
      </c>
      <c r="F932" s="5"/>
      <c r="G932" s="5"/>
      <c r="H932" s="5" t="s">
        <v>166</v>
      </c>
      <c r="I932" s="17">
        <v>7.4950922247513395E+18</v>
      </c>
      <c r="J932" s="5" t="s">
        <v>939</v>
      </c>
      <c r="K932" s="5"/>
      <c r="L932" s="5" t="s">
        <v>981</v>
      </c>
      <c r="M932" s="5" t="s">
        <v>1276</v>
      </c>
    </row>
    <row r="933" spans="3:13" x14ac:dyDescent="0.35">
      <c r="C933" s="5"/>
      <c r="D933" s="5" t="s">
        <v>73</v>
      </c>
      <c r="E933" s="5">
        <v>1046470373</v>
      </c>
      <c r="F933" s="5"/>
      <c r="G933" s="5"/>
      <c r="H933" s="5" t="s">
        <v>73</v>
      </c>
      <c r="I933" s="17">
        <v>7.4961791581104005E+18</v>
      </c>
      <c r="J933" s="5" t="s">
        <v>918</v>
      </c>
      <c r="K933" s="5"/>
      <c r="L933" s="5" t="s">
        <v>932</v>
      </c>
      <c r="M933" s="5" t="s">
        <v>1276</v>
      </c>
    </row>
    <row r="934" spans="3:13" x14ac:dyDescent="0.35">
      <c r="C934" s="5"/>
      <c r="D934" s="5" t="s">
        <v>181</v>
      </c>
      <c r="E934" s="5">
        <v>1264631014</v>
      </c>
      <c r="F934" s="5"/>
      <c r="G934" s="5"/>
      <c r="H934" s="5" t="s">
        <v>181</v>
      </c>
      <c r="I934" s="17">
        <v>7.4961616106136197E+18</v>
      </c>
      <c r="J934" s="5" t="s">
        <v>941</v>
      </c>
      <c r="K934" s="5"/>
      <c r="L934" s="5" t="s">
        <v>990</v>
      </c>
      <c r="M934" s="5" t="s">
        <v>1276</v>
      </c>
    </row>
    <row r="935" spans="3:13" x14ac:dyDescent="0.35">
      <c r="C935" s="5"/>
      <c r="D935" s="5" t="s">
        <v>800</v>
      </c>
      <c r="E935" s="5">
        <v>300863563</v>
      </c>
      <c r="F935" s="5"/>
      <c r="G935" s="5"/>
      <c r="H935" s="5" t="s">
        <v>800</v>
      </c>
      <c r="I935" s="17">
        <v>7.4961816175501302E+18</v>
      </c>
      <c r="J935" s="5" t="s">
        <v>911</v>
      </c>
      <c r="K935" s="5"/>
      <c r="L935" s="5"/>
      <c r="M935" s="5" t="s">
        <v>1276</v>
      </c>
    </row>
    <row r="936" spans="3:13" x14ac:dyDescent="0.35">
      <c r="C936" s="5"/>
      <c r="D936" s="5" t="s">
        <v>801</v>
      </c>
      <c r="E936" s="5">
        <v>710045240</v>
      </c>
      <c r="F936" s="5"/>
      <c r="G936" s="5"/>
      <c r="H936" s="5" t="s">
        <v>801</v>
      </c>
      <c r="I936" s="17">
        <v>7.49631209462114E+18</v>
      </c>
      <c r="J936" s="5" t="s">
        <v>908</v>
      </c>
      <c r="K936" s="5"/>
      <c r="L936" s="5"/>
      <c r="M936" s="5" t="s">
        <v>1276</v>
      </c>
    </row>
    <row r="937" spans="3:13" x14ac:dyDescent="0.35">
      <c r="C937" s="5"/>
      <c r="D937" s="5" t="s">
        <v>802</v>
      </c>
      <c r="E937" s="5">
        <v>1049584869</v>
      </c>
      <c r="F937" s="5"/>
      <c r="G937" s="5"/>
      <c r="H937" s="5" t="s">
        <v>802</v>
      </c>
      <c r="I937" s="17">
        <v>7.4961549850134702E+18</v>
      </c>
      <c r="J937" s="5" t="s">
        <v>910</v>
      </c>
      <c r="K937" s="5"/>
      <c r="L937" s="5"/>
      <c r="M937" s="5" t="s">
        <v>1276</v>
      </c>
    </row>
    <row r="938" spans="3:13" x14ac:dyDescent="0.35">
      <c r="C938" s="5"/>
      <c r="D938" s="5" t="s">
        <v>483</v>
      </c>
      <c r="E938" s="5">
        <v>373745451</v>
      </c>
      <c r="F938" s="5"/>
      <c r="G938" s="5"/>
      <c r="H938" s="5" t="s">
        <v>483</v>
      </c>
      <c r="I938" s="17">
        <v>7.4961741309414902E+18</v>
      </c>
      <c r="J938" s="5" t="s">
        <v>926</v>
      </c>
      <c r="K938" s="5"/>
      <c r="L938" s="5" t="s">
        <v>1132</v>
      </c>
      <c r="M938" s="5" t="s">
        <v>1276</v>
      </c>
    </row>
    <row r="939" spans="3:13" x14ac:dyDescent="0.35">
      <c r="C939" s="5"/>
      <c r="D939" s="5" t="s">
        <v>803</v>
      </c>
      <c r="E939" s="5">
        <v>427289175</v>
      </c>
      <c r="F939" s="5"/>
      <c r="G939" s="5"/>
      <c r="H939" s="5" t="s">
        <v>803</v>
      </c>
      <c r="I939" s="17">
        <v>7.4962925231117701E+18</v>
      </c>
      <c r="J939" s="5" t="s">
        <v>916</v>
      </c>
      <c r="K939" s="5"/>
      <c r="L939" s="5"/>
      <c r="M939" s="5" t="s">
        <v>1276</v>
      </c>
    </row>
    <row r="940" spans="3:13" x14ac:dyDescent="0.35">
      <c r="C940" s="5"/>
      <c r="D940" s="5" t="s">
        <v>804</v>
      </c>
      <c r="E940" s="5">
        <v>357239640</v>
      </c>
      <c r="F940" s="5"/>
      <c r="G940" s="5"/>
      <c r="H940" s="5" t="s">
        <v>804</v>
      </c>
      <c r="I940" s="17">
        <v>7.4961633473773199E+18</v>
      </c>
      <c r="J940" s="5" t="s">
        <v>908</v>
      </c>
      <c r="K940" s="5"/>
      <c r="L940" s="5"/>
      <c r="M940" s="5" t="s">
        <v>1276</v>
      </c>
    </row>
    <row r="941" spans="3:13" x14ac:dyDescent="0.35">
      <c r="C941" s="5"/>
      <c r="D941" s="5" t="s">
        <v>805</v>
      </c>
      <c r="E941" s="5">
        <v>1051446617</v>
      </c>
      <c r="F941" s="5"/>
      <c r="G941" s="5"/>
      <c r="H941" s="5" t="s">
        <v>805</v>
      </c>
      <c r="I941" s="17">
        <v>7.4962494715944305E+18</v>
      </c>
      <c r="J941" s="5" t="s">
        <v>933</v>
      </c>
      <c r="K941" s="5"/>
      <c r="L941" s="5"/>
      <c r="M941" s="5" t="s">
        <v>1276</v>
      </c>
    </row>
    <row r="942" spans="3:13" x14ac:dyDescent="0.35">
      <c r="C942" s="5"/>
      <c r="D942" s="5" t="s">
        <v>806</v>
      </c>
      <c r="E942" s="5">
        <v>1175741090</v>
      </c>
      <c r="F942" s="5"/>
      <c r="G942" s="5"/>
      <c r="H942" s="5" t="s">
        <v>806</v>
      </c>
      <c r="I942" s="17">
        <v>7.4961784007143199E+18</v>
      </c>
      <c r="J942" s="5" t="s">
        <v>969</v>
      </c>
      <c r="K942" s="5"/>
      <c r="L942" s="5"/>
      <c r="M942" s="5" t="s">
        <v>1276</v>
      </c>
    </row>
    <row r="943" spans="3:13" x14ac:dyDescent="0.35">
      <c r="C943" s="5"/>
      <c r="D943" s="5" t="s">
        <v>807</v>
      </c>
      <c r="E943" s="5">
        <v>324536294</v>
      </c>
      <c r="F943" s="5"/>
      <c r="G943" s="5"/>
      <c r="H943" s="5" t="s">
        <v>807</v>
      </c>
      <c r="I943" s="17">
        <v>7.4961604248691999E+18</v>
      </c>
      <c r="J943" s="5" t="s">
        <v>933</v>
      </c>
      <c r="K943" s="5"/>
      <c r="L943" s="5"/>
      <c r="M943" s="5" t="s">
        <v>1276</v>
      </c>
    </row>
    <row r="944" spans="3:13" x14ac:dyDescent="0.35">
      <c r="C944" s="5"/>
      <c r="D944" s="5" t="s">
        <v>95</v>
      </c>
      <c r="E944" s="5">
        <v>1077139873</v>
      </c>
      <c r="F944" s="5"/>
      <c r="G944" s="5"/>
      <c r="H944" s="5" t="s">
        <v>95</v>
      </c>
      <c r="I944" s="17">
        <v>7.4941788074291702E+18</v>
      </c>
      <c r="J944" s="5" t="s">
        <v>913</v>
      </c>
      <c r="K944" s="5"/>
      <c r="L944" s="5" t="s">
        <v>948</v>
      </c>
      <c r="M944" s="5" t="s">
        <v>1276</v>
      </c>
    </row>
    <row r="945" spans="3:13" x14ac:dyDescent="0.35">
      <c r="C945" s="5"/>
      <c r="D945" s="5" t="s">
        <v>808</v>
      </c>
      <c r="E945" s="5">
        <v>393568956</v>
      </c>
      <c r="F945" s="5"/>
      <c r="G945" s="5"/>
      <c r="H945" s="5" t="s">
        <v>808</v>
      </c>
      <c r="I945" s="17">
        <v>7.4961528923877202E+18</v>
      </c>
      <c r="J945" s="5" t="s">
        <v>924</v>
      </c>
      <c r="K945" s="5"/>
      <c r="L945" s="5"/>
      <c r="M945" s="5" t="s">
        <v>1276</v>
      </c>
    </row>
    <row r="946" spans="3:13" x14ac:dyDescent="0.35">
      <c r="C946" s="5"/>
      <c r="D946" s="5" t="s">
        <v>809</v>
      </c>
      <c r="E946" s="5">
        <v>315676305</v>
      </c>
      <c r="F946" s="5"/>
      <c r="G946" s="5"/>
      <c r="H946" s="5" t="s">
        <v>809</v>
      </c>
      <c r="I946" s="17">
        <v>7.4961593050672302E+18</v>
      </c>
      <c r="J946" s="5" t="s">
        <v>913</v>
      </c>
      <c r="K946" s="5"/>
      <c r="L946" s="5"/>
      <c r="M946" s="5" t="s">
        <v>1276</v>
      </c>
    </row>
    <row r="947" spans="3:13" x14ac:dyDescent="0.35">
      <c r="C947" s="5"/>
      <c r="D947" s="5" t="s">
        <v>810</v>
      </c>
      <c r="E947" s="5">
        <v>473056271</v>
      </c>
      <c r="F947" s="5"/>
      <c r="G947" s="5"/>
      <c r="H947" s="5" t="s">
        <v>810</v>
      </c>
      <c r="I947" s="17">
        <v>7.49419199067183E+18</v>
      </c>
      <c r="J947" s="5" t="s">
        <v>924</v>
      </c>
      <c r="K947" s="5"/>
      <c r="L947" s="5"/>
      <c r="M947" s="5" t="s">
        <v>1276</v>
      </c>
    </row>
    <row r="948" spans="3:13" x14ac:dyDescent="0.35">
      <c r="C948" s="5"/>
      <c r="D948" s="5" t="s">
        <v>811</v>
      </c>
      <c r="E948" s="5">
        <v>1337527569</v>
      </c>
      <c r="F948" s="5"/>
      <c r="G948" s="5"/>
      <c r="H948" s="5" t="s">
        <v>811</v>
      </c>
      <c r="I948" s="17">
        <v>7.4963120835520399E+18</v>
      </c>
      <c r="J948" s="5" t="s">
        <v>911</v>
      </c>
      <c r="K948" s="5"/>
      <c r="L948" s="5"/>
      <c r="M948" s="5" t="s">
        <v>1276</v>
      </c>
    </row>
    <row r="949" spans="3:13" x14ac:dyDescent="0.35">
      <c r="C949" s="5"/>
      <c r="D949" s="5" t="s">
        <v>812</v>
      </c>
      <c r="E949" s="5">
        <v>1587699638</v>
      </c>
      <c r="F949" s="5"/>
      <c r="G949" s="5"/>
      <c r="H949" s="5" t="s">
        <v>812</v>
      </c>
      <c r="I949" s="17">
        <v>7.4941843693847501E+18</v>
      </c>
      <c r="J949" s="5" t="s">
        <v>984</v>
      </c>
      <c r="K949" s="5"/>
      <c r="L949" s="5"/>
      <c r="M949" s="5" t="s">
        <v>1276</v>
      </c>
    </row>
    <row r="950" spans="3:13" x14ac:dyDescent="0.35">
      <c r="C950" s="5"/>
      <c r="D950" s="5" t="s">
        <v>813</v>
      </c>
      <c r="E950" s="5">
        <v>464326997</v>
      </c>
      <c r="F950" s="5"/>
      <c r="G950" s="5"/>
      <c r="H950" s="5" t="s">
        <v>813</v>
      </c>
      <c r="I950" s="17">
        <v>7.4961531338960701E+18</v>
      </c>
      <c r="J950" s="5" t="s">
        <v>913</v>
      </c>
      <c r="K950" s="5"/>
      <c r="L950" s="5"/>
      <c r="M950" s="5" t="s">
        <v>1276</v>
      </c>
    </row>
    <row r="951" spans="3:13" x14ac:dyDescent="0.35">
      <c r="C951" s="5"/>
      <c r="D951" s="5" t="s">
        <v>814</v>
      </c>
      <c r="E951" s="5">
        <v>872473112</v>
      </c>
      <c r="F951" s="5"/>
      <c r="G951" s="5"/>
      <c r="H951" s="5" t="s">
        <v>814</v>
      </c>
      <c r="I951" s="17">
        <v>7.4960856645276396E+18</v>
      </c>
      <c r="J951" s="5" t="s">
        <v>908</v>
      </c>
      <c r="K951" s="5"/>
      <c r="L951" s="5"/>
      <c r="M951" s="5" t="s">
        <v>1276</v>
      </c>
    </row>
    <row r="952" spans="3:13" x14ac:dyDescent="0.35">
      <c r="C952" s="5"/>
      <c r="D952" s="5" t="s">
        <v>815</v>
      </c>
      <c r="E952" s="5">
        <v>1091963030</v>
      </c>
      <c r="F952" s="5"/>
      <c r="G952" s="5"/>
      <c r="H952" s="5" t="s">
        <v>814</v>
      </c>
      <c r="I952" s="17">
        <v>7.4960856645276396E+18</v>
      </c>
      <c r="J952" s="5" t="s">
        <v>908</v>
      </c>
      <c r="K952" s="5"/>
      <c r="L952" s="5"/>
      <c r="M952" s="5" t="s">
        <v>1276</v>
      </c>
    </row>
    <row r="953" spans="3:13" x14ac:dyDescent="0.35">
      <c r="C953" s="5"/>
      <c r="D953" s="5" t="s">
        <v>816</v>
      </c>
      <c r="E953" s="5">
        <v>322387387</v>
      </c>
      <c r="F953" s="5"/>
      <c r="G953" s="5"/>
      <c r="H953" s="5" t="s">
        <v>816</v>
      </c>
      <c r="I953" s="17">
        <v>7.4961785784754196E+18</v>
      </c>
      <c r="J953" s="5" t="s">
        <v>984</v>
      </c>
      <c r="K953" s="5"/>
      <c r="L953" s="5"/>
      <c r="M953" s="5" t="s">
        <v>1276</v>
      </c>
    </row>
    <row r="954" spans="3:13" x14ac:dyDescent="0.35">
      <c r="C954" s="5"/>
      <c r="D954" s="5" t="s">
        <v>167</v>
      </c>
      <c r="E954" s="5">
        <v>1340784948</v>
      </c>
      <c r="F954" s="5"/>
      <c r="G954" s="5"/>
      <c r="H954" s="5" t="s">
        <v>167</v>
      </c>
      <c r="I954" s="17">
        <v>7.4961549433356595E+18</v>
      </c>
      <c r="J954" s="5" t="s">
        <v>931</v>
      </c>
      <c r="K954" s="5"/>
      <c r="L954" s="5" t="s">
        <v>982</v>
      </c>
      <c r="M954" s="5" t="s">
        <v>1276</v>
      </c>
    </row>
    <row r="955" spans="3:13" x14ac:dyDescent="0.35">
      <c r="C955" s="5"/>
      <c r="D955" s="5" t="s">
        <v>817</v>
      </c>
      <c r="E955" s="5">
        <v>1060705182</v>
      </c>
      <c r="F955" s="5"/>
      <c r="G955" s="5"/>
      <c r="H955" s="5" t="s">
        <v>817</v>
      </c>
      <c r="I955" s="17">
        <v>7.49629218560209E+18</v>
      </c>
      <c r="J955" s="5" t="s">
        <v>926</v>
      </c>
      <c r="K955" s="5"/>
      <c r="L955" s="5"/>
      <c r="M955" s="5" t="s">
        <v>1276</v>
      </c>
    </row>
    <row r="956" spans="3:13" x14ac:dyDescent="0.35">
      <c r="C956" s="5"/>
      <c r="D956" s="5" t="s">
        <v>818</v>
      </c>
      <c r="E956" s="5">
        <v>400736454</v>
      </c>
      <c r="F956" s="5"/>
      <c r="G956" s="5"/>
      <c r="H956" s="5" t="s">
        <v>818</v>
      </c>
      <c r="I956" s="17">
        <v>7.4962051603946803E+18</v>
      </c>
      <c r="J956" s="5" t="s">
        <v>913</v>
      </c>
      <c r="K956" s="5"/>
      <c r="L956" s="5"/>
      <c r="M956" s="5" t="s">
        <v>1276</v>
      </c>
    </row>
    <row r="957" spans="3:13" x14ac:dyDescent="0.35">
      <c r="C957" s="5"/>
      <c r="D957" s="5" t="s">
        <v>236</v>
      </c>
      <c r="E957" s="5">
        <v>1386771889</v>
      </c>
      <c r="F957" s="5"/>
      <c r="G957" s="5"/>
      <c r="H957" s="5" t="s">
        <v>236</v>
      </c>
      <c r="I957" s="17">
        <v>7.4941128431652997E+18</v>
      </c>
      <c r="J957" s="5" t="s">
        <v>911</v>
      </c>
      <c r="K957" s="5"/>
      <c r="L957" s="5"/>
      <c r="M957" s="5" t="s">
        <v>1276</v>
      </c>
    </row>
    <row r="958" spans="3:13" x14ac:dyDescent="0.35">
      <c r="C958" s="5"/>
      <c r="D958" s="5" t="s">
        <v>819</v>
      </c>
      <c r="E958" s="5">
        <v>1139157240</v>
      </c>
      <c r="F958" s="5"/>
      <c r="G958" s="5"/>
      <c r="H958" s="5" t="s">
        <v>819</v>
      </c>
      <c r="I958" s="17">
        <v>7.4961905910150195E+18</v>
      </c>
      <c r="J958" s="5"/>
      <c r="K958" s="5"/>
      <c r="L958" s="5"/>
      <c r="M958" s="5" t="s">
        <v>1276</v>
      </c>
    </row>
    <row r="959" spans="3:13" x14ac:dyDescent="0.35">
      <c r="C959" s="5"/>
      <c r="D959" s="5" t="s">
        <v>67</v>
      </c>
      <c r="E959" s="5">
        <v>1036672206</v>
      </c>
      <c r="F959" s="5"/>
      <c r="G959" s="5"/>
      <c r="H959" s="5" t="s">
        <v>67</v>
      </c>
      <c r="I959" s="17">
        <v>7.4961633803139502E+18</v>
      </c>
      <c r="J959" s="5" t="s">
        <v>926</v>
      </c>
      <c r="K959" s="5"/>
      <c r="L959" s="5"/>
      <c r="M959" s="5" t="s">
        <v>1276</v>
      </c>
    </row>
    <row r="960" spans="3:13" x14ac:dyDescent="0.35">
      <c r="C960" s="5"/>
      <c r="D960" s="5" t="s">
        <v>767</v>
      </c>
      <c r="E960" s="5">
        <v>979730489</v>
      </c>
      <c r="F960" s="5"/>
      <c r="G960" s="5"/>
      <c r="H960" s="5" t="s">
        <v>767</v>
      </c>
      <c r="I960" s="17">
        <v>7.4961387013116703E+18</v>
      </c>
      <c r="J960" s="5" t="s">
        <v>984</v>
      </c>
      <c r="K960" s="5"/>
      <c r="L960" s="5" t="s">
        <v>1260</v>
      </c>
      <c r="M960" s="5" t="s">
        <v>1276</v>
      </c>
    </row>
    <row r="961" spans="3:13" x14ac:dyDescent="0.35">
      <c r="C961" s="5"/>
      <c r="D961" s="5" t="s">
        <v>820</v>
      </c>
      <c r="E961" s="5">
        <v>1223506816</v>
      </c>
      <c r="F961" s="5"/>
      <c r="G961" s="5"/>
      <c r="H961" s="5" t="s">
        <v>820</v>
      </c>
      <c r="I961" s="17">
        <v>7.4961799329748398E+18</v>
      </c>
      <c r="J961" s="5"/>
      <c r="K961" s="5"/>
      <c r="L961" s="5"/>
      <c r="M961" s="5" t="s">
        <v>1276</v>
      </c>
    </row>
    <row r="962" spans="3:13" x14ac:dyDescent="0.35">
      <c r="C962" s="5"/>
      <c r="D962" s="5" t="s">
        <v>821</v>
      </c>
      <c r="E962" s="5">
        <v>323761608</v>
      </c>
      <c r="F962" s="5"/>
      <c r="G962" s="5"/>
      <c r="H962" s="5" t="s">
        <v>821</v>
      </c>
      <c r="I962" s="17">
        <v>7.49618222484386E+18</v>
      </c>
      <c r="J962" s="5"/>
      <c r="K962" s="5"/>
      <c r="L962" s="5"/>
      <c r="M962" s="5" t="s">
        <v>1276</v>
      </c>
    </row>
    <row r="963" spans="3:13" x14ac:dyDescent="0.35">
      <c r="C963" s="5"/>
      <c r="D963" s="5" t="s">
        <v>822</v>
      </c>
      <c r="E963" s="5">
        <v>455758103</v>
      </c>
      <c r="F963" s="5"/>
      <c r="G963" s="5"/>
      <c r="H963" s="5" t="s">
        <v>822</v>
      </c>
      <c r="I963" s="17">
        <v>7.4961624963538299E+18</v>
      </c>
      <c r="J963" s="5"/>
      <c r="K963" s="5"/>
      <c r="L963" s="5"/>
      <c r="M963" s="5" t="s">
        <v>1276</v>
      </c>
    </row>
    <row r="964" spans="3:13" x14ac:dyDescent="0.35">
      <c r="C964" s="5"/>
      <c r="D964" s="5" t="s">
        <v>149</v>
      </c>
      <c r="E964" s="5">
        <v>1350045638</v>
      </c>
      <c r="F964" s="5"/>
      <c r="G964" s="5"/>
      <c r="H964" s="5" t="s">
        <v>149</v>
      </c>
      <c r="I964" s="17">
        <v>7.4961811324892303E+18</v>
      </c>
      <c r="J964" s="5" t="s">
        <v>916</v>
      </c>
      <c r="K964" s="5"/>
      <c r="L964" s="5" t="s">
        <v>973</v>
      </c>
      <c r="M964" s="5" t="s">
        <v>1276</v>
      </c>
    </row>
    <row r="965" spans="3:13" x14ac:dyDescent="0.35">
      <c r="C965" s="5"/>
      <c r="D965" s="5" t="s">
        <v>823</v>
      </c>
      <c r="E965" s="5">
        <v>1409837330</v>
      </c>
      <c r="F965" s="5"/>
      <c r="G965" s="5"/>
      <c r="H965" s="5" t="s">
        <v>823</v>
      </c>
      <c r="I965" s="17">
        <v>7.4961863312172298E+18</v>
      </c>
      <c r="J965" s="5"/>
      <c r="K965" s="5"/>
      <c r="L965" s="5"/>
      <c r="M965" s="5" t="s">
        <v>1276</v>
      </c>
    </row>
    <row r="966" spans="3:13" x14ac:dyDescent="0.35">
      <c r="C966" s="5"/>
      <c r="D966" s="5" t="s">
        <v>824</v>
      </c>
      <c r="E966" s="5">
        <v>448506781</v>
      </c>
      <c r="F966" s="5"/>
      <c r="G966" s="5"/>
      <c r="H966" s="5" t="s">
        <v>824</v>
      </c>
      <c r="I966" s="17">
        <v>7.4962624267646095E+18</v>
      </c>
      <c r="J966" s="5"/>
      <c r="K966" s="5"/>
      <c r="L966" s="5"/>
      <c r="M966" s="5" t="s">
        <v>1276</v>
      </c>
    </row>
    <row r="967" spans="3:13" x14ac:dyDescent="0.35">
      <c r="C967" s="5"/>
      <c r="D967" s="5" t="s">
        <v>159</v>
      </c>
      <c r="E967" s="5">
        <v>1043389652</v>
      </c>
      <c r="F967" s="5"/>
      <c r="G967" s="5"/>
      <c r="H967" s="5" t="s">
        <v>159</v>
      </c>
      <c r="I967" s="17">
        <v>7.4961634149951396E+18</v>
      </c>
      <c r="J967" s="5" t="s">
        <v>926</v>
      </c>
      <c r="K967" s="5"/>
      <c r="L967" s="5" t="s">
        <v>978</v>
      </c>
      <c r="M967" s="5" t="s">
        <v>1276</v>
      </c>
    </row>
    <row r="968" spans="3:13" x14ac:dyDescent="0.35">
      <c r="C968" s="5"/>
      <c r="D968" s="5" t="s">
        <v>825</v>
      </c>
      <c r="E968" s="5">
        <v>332130069</v>
      </c>
      <c r="F968" s="5"/>
      <c r="G968" s="5"/>
      <c r="H968" s="5" t="s">
        <v>825</v>
      </c>
      <c r="I968" s="17">
        <v>7.4942360734491904E+18</v>
      </c>
      <c r="J968" s="5"/>
      <c r="K968" s="5"/>
      <c r="L968" s="5"/>
      <c r="M968" s="5" t="s">
        <v>1276</v>
      </c>
    </row>
    <row r="969" spans="3:13" x14ac:dyDescent="0.35">
      <c r="C969" s="5"/>
      <c r="D969" s="5" t="s">
        <v>826</v>
      </c>
      <c r="E969" s="5">
        <v>349777793</v>
      </c>
      <c r="F969" s="5"/>
      <c r="G969" s="5"/>
      <c r="H969" s="5" t="s">
        <v>826</v>
      </c>
      <c r="I969" s="17">
        <v>7.4962137509559296E+18</v>
      </c>
      <c r="J969" s="5"/>
      <c r="K969" s="5"/>
      <c r="L969" s="5"/>
      <c r="M969" s="5" t="s">
        <v>1276</v>
      </c>
    </row>
    <row r="970" spans="3:13" x14ac:dyDescent="0.35">
      <c r="C970" s="5"/>
      <c r="D970" s="5" t="s">
        <v>827</v>
      </c>
      <c r="E970" s="5">
        <v>694125365</v>
      </c>
      <c r="F970" s="5"/>
      <c r="G970" s="5"/>
      <c r="H970" s="5" t="s">
        <v>827</v>
      </c>
      <c r="I970" s="17">
        <v>7.4962889006463396E+18</v>
      </c>
      <c r="J970" s="5"/>
      <c r="K970" s="5"/>
      <c r="L970" s="5"/>
      <c r="M970" s="5" t="s">
        <v>1276</v>
      </c>
    </row>
    <row r="971" spans="3:13" x14ac:dyDescent="0.35">
      <c r="C971" s="5"/>
      <c r="D971" s="5" t="s">
        <v>828</v>
      </c>
      <c r="E971" s="5">
        <v>1343492381</v>
      </c>
      <c r="F971" s="5"/>
      <c r="G971" s="5"/>
      <c r="H971" s="5" t="s">
        <v>828</v>
      </c>
      <c r="I971" s="17">
        <v>7.4941890127756298E+18</v>
      </c>
      <c r="J971" s="5"/>
      <c r="K971" s="5"/>
      <c r="L971" s="5"/>
      <c r="M971" s="5" t="s">
        <v>1276</v>
      </c>
    </row>
    <row r="972" spans="3:13" x14ac:dyDescent="0.35">
      <c r="C972" s="5"/>
      <c r="D972" s="5" t="s">
        <v>829</v>
      </c>
      <c r="E972" s="5">
        <v>532546866</v>
      </c>
      <c r="F972" s="5"/>
      <c r="G972" s="5"/>
      <c r="H972" s="5" t="s">
        <v>829</v>
      </c>
      <c r="I972" s="17">
        <v>7.4961928244388495E+18</v>
      </c>
      <c r="J972" s="5"/>
      <c r="K972" s="5"/>
      <c r="L972" s="5"/>
      <c r="M972" s="5" t="s">
        <v>1276</v>
      </c>
    </row>
    <row r="973" spans="3:13" x14ac:dyDescent="0.35">
      <c r="C973" s="5"/>
      <c r="D973" s="5" t="s">
        <v>525</v>
      </c>
      <c r="E973" s="5">
        <v>395166866</v>
      </c>
      <c r="F973" s="5"/>
      <c r="G973" s="5"/>
      <c r="H973" s="5" t="s">
        <v>525</v>
      </c>
      <c r="I973" s="17">
        <v>7.4962047435408998E+18</v>
      </c>
      <c r="J973" s="5" t="s">
        <v>908</v>
      </c>
      <c r="K973" s="5"/>
      <c r="L973" s="5" t="s">
        <v>1151</v>
      </c>
      <c r="M973" s="5" t="s">
        <v>1276</v>
      </c>
    </row>
    <row r="974" spans="3:13" x14ac:dyDescent="0.35">
      <c r="C974" s="5"/>
      <c r="D974" s="5" t="s">
        <v>830</v>
      </c>
      <c r="E974" s="5">
        <v>1348127025</v>
      </c>
      <c r="F974" s="5"/>
      <c r="G974" s="5"/>
      <c r="H974" s="5" t="s">
        <v>830</v>
      </c>
      <c r="I974" s="17">
        <v>7.4961549934307901E+18</v>
      </c>
      <c r="J974" s="5"/>
      <c r="K974" s="5"/>
      <c r="L974" s="5"/>
      <c r="M974" s="5" t="s">
        <v>1276</v>
      </c>
    </row>
    <row r="975" spans="3:13" x14ac:dyDescent="0.35">
      <c r="C975" s="5"/>
      <c r="D975" s="5" t="s">
        <v>831</v>
      </c>
      <c r="E975" s="5">
        <v>1062682969</v>
      </c>
      <c r="F975" s="5"/>
      <c r="G975" s="5"/>
      <c r="H975" s="5" t="s">
        <v>831</v>
      </c>
      <c r="I975" s="17">
        <v>7.4942286976672399E+18</v>
      </c>
      <c r="J975" s="5"/>
      <c r="K975" s="5"/>
      <c r="L975" s="5"/>
      <c r="M975" s="5" t="s">
        <v>1276</v>
      </c>
    </row>
    <row r="976" spans="3:13" x14ac:dyDescent="0.35">
      <c r="C976" s="5"/>
      <c r="D976" s="5" t="s">
        <v>832</v>
      </c>
      <c r="E976" s="5">
        <v>740101023</v>
      </c>
      <c r="F976" s="5"/>
      <c r="G976" s="5"/>
      <c r="H976" s="5" t="s">
        <v>832</v>
      </c>
      <c r="I976" s="17">
        <v>7.4962375565468897E+18</v>
      </c>
      <c r="J976" s="5"/>
      <c r="K976" s="5"/>
      <c r="L976" s="5"/>
      <c r="M976" s="5" t="s">
        <v>1276</v>
      </c>
    </row>
    <row r="977" spans="3:13" x14ac:dyDescent="0.35">
      <c r="C977" s="5"/>
      <c r="D977" s="5" t="s">
        <v>833</v>
      </c>
      <c r="E977" s="5">
        <v>1229047031</v>
      </c>
      <c r="F977" s="5"/>
      <c r="G977" s="5"/>
      <c r="H977" s="5" t="s">
        <v>833</v>
      </c>
      <c r="I977" s="17">
        <v>7.4961760417134295E+18</v>
      </c>
      <c r="J977" s="5"/>
      <c r="K977" s="5"/>
      <c r="L977" s="5"/>
      <c r="M977" s="5" t="s">
        <v>1276</v>
      </c>
    </row>
    <row r="978" spans="3:13" x14ac:dyDescent="0.35">
      <c r="C978" s="5"/>
      <c r="D978" s="5" t="s">
        <v>834</v>
      </c>
      <c r="E978" s="5">
        <v>481902588</v>
      </c>
      <c r="F978" s="5"/>
      <c r="G978" s="5"/>
      <c r="H978" s="5" t="s">
        <v>834</v>
      </c>
      <c r="I978" s="17">
        <v>7.4942258777510697E+18</v>
      </c>
      <c r="J978" s="5"/>
      <c r="K978" s="5"/>
      <c r="L978" s="5"/>
      <c r="M978" s="5" t="s">
        <v>1276</v>
      </c>
    </row>
    <row r="979" spans="3:13" x14ac:dyDescent="0.35">
      <c r="C979" s="5"/>
      <c r="D979" s="5" t="s">
        <v>835</v>
      </c>
      <c r="E979" s="5">
        <v>369057850</v>
      </c>
      <c r="F979" s="5"/>
      <c r="G979" s="5"/>
      <c r="H979" s="5" t="s">
        <v>835</v>
      </c>
      <c r="I979" s="17">
        <v>7.4962038548581202E+18</v>
      </c>
      <c r="J979" s="5"/>
      <c r="K979" s="5"/>
      <c r="L979" s="5"/>
      <c r="M979" s="5" t="s">
        <v>1276</v>
      </c>
    </row>
    <row r="980" spans="3:13" x14ac:dyDescent="0.35">
      <c r="C980" s="5"/>
      <c r="D980" s="5" t="s">
        <v>836</v>
      </c>
      <c r="E980" s="5">
        <v>1512108548</v>
      </c>
      <c r="F980" s="5"/>
      <c r="G980" s="5"/>
      <c r="H980" s="5" t="s">
        <v>836</v>
      </c>
      <c r="I980" s="17">
        <v>7.4962575892306596E+18</v>
      </c>
      <c r="J980" s="5"/>
      <c r="K980" s="5"/>
      <c r="L980" s="5"/>
      <c r="M980" s="5" t="s">
        <v>1276</v>
      </c>
    </row>
    <row r="981" spans="3:13" x14ac:dyDescent="0.35">
      <c r="C981" s="5"/>
      <c r="D981" s="5" t="s">
        <v>837</v>
      </c>
      <c r="E981" s="5">
        <v>747680766</v>
      </c>
      <c r="F981" s="5"/>
      <c r="G981" s="5"/>
      <c r="H981" s="5" t="s">
        <v>837</v>
      </c>
      <c r="I981" s="17">
        <v>7.4941890913478502E+18</v>
      </c>
      <c r="J981" s="5"/>
      <c r="K981" s="5"/>
      <c r="L981" s="5"/>
      <c r="M981" s="5" t="s">
        <v>1276</v>
      </c>
    </row>
    <row r="982" spans="3:13" x14ac:dyDescent="0.35">
      <c r="C982" s="5"/>
      <c r="D982" s="5" t="s">
        <v>95</v>
      </c>
      <c r="E982" s="5">
        <v>1217975484</v>
      </c>
      <c r="F982" s="5"/>
      <c r="G982" s="5"/>
      <c r="H982" s="5" t="s">
        <v>95</v>
      </c>
      <c r="I982" s="17">
        <v>7.4941788074291702E+18</v>
      </c>
      <c r="J982" s="5" t="s">
        <v>913</v>
      </c>
      <c r="K982" s="5"/>
      <c r="L982" s="5" t="s">
        <v>948</v>
      </c>
      <c r="M982" s="5" t="s">
        <v>1276</v>
      </c>
    </row>
    <row r="983" spans="3:13" x14ac:dyDescent="0.35">
      <c r="C983" s="5"/>
      <c r="D983" s="5" t="s">
        <v>838</v>
      </c>
      <c r="E983" s="5">
        <v>1083248588</v>
      </c>
      <c r="F983" s="5"/>
      <c r="G983" s="5"/>
      <c r="H983" s="5" t="s">
        <v>838</v>
      </c>
      <c r="I983" s="17">
        <v>7.4941255691693199E+18</v>
      </c>
      <c r="J983" s="5"/>
      <c r="K983" s="5"/>
      <c r="L983" s="5"/>
      <c r="M983" s="5" t="s">
        <v>1276</v>
      </c>
    </row>
    <row r="984" spans="3:13" x14ac:dyDescent="0.35">
      <c r="C984" s="5"/>
      <c r="D984" s="5" t="s">
        <v>839</v>
      </c>
      <c r="E984" s="5">
        <v>382010808</v>
      </c>
      <c r="F984" s="5"/>
      <c r="G984" s="5"/>
      <c r="H984" s="5" t="s">
        <v>839</v>
      </c>
      <c r="I984" s="17">
        <v>7.4940998683264604E+18</v>
      </c>
      <c r="J984" s="5"/>
      <c r="K984" s="5"/>
      <c r="L984" s="5"/>
      <c r="M984" s="5" t="s">
        <v>1276</v>
      </c>
    </row>
    <row r="985" spans="3:13" x14ac:dyDescent="0.35">
      <c r="C985" s="5"/>
      <c r="D985" s="5" t="s">
        <v>840</v>
      </c>
      <c r="E985" s="5">
        <v>1524383764</v>
      </c>
      <c r="F985" s="5"/>
      <c r="G985" s="5"/>
      <c r="H985" s="5" t="s">
        <v>840</v>
      </c>
      <c r="I985" s="17">
        <v>7.4961831930072596E+18</v>
      </c>
      <c r="J985" s="5"/>
      <c r="K985" s="5"/>
      <c r="L985" s="5"/>
      <c r="M985" s="5" t="s">
        <v>1276</v>
      </c>
    </row>
    <row r="986" spans="3:13" x14ac:dyDescent="0.35">
      <c r="C986" s="5"/>
      <c r="D986" s="5" t="s">
        <v>841</v>
      </c>
      <c r="E986" s="5">
        <v>778311024</v>
      </c>
      <c r="F986" s="5"/>
      <c r="G986" s="5"/>
      <c r="H986" s="5" t="s">
        <v>841</v>
      </c>
      <c r="I986" s="17">
        <v>7.4943178928212204E+18</v>
      </c>
      <c r="J986" s="5"/>
      <c r="K986" s="5"/>
      <c r="L986" s="5"/>
      <c r="M986" s="5" t="s">
        <v>1276</v>
      </c>
    </row>
    <row r="987" spans="3:13" x14ac:dyDescent="0.35">
      <c r="C987" s="5"/>
      <c r="D987" s="5" t="s">
        <v>842</v>
      </c>
      <c r="E987" s="5">
        <v>1009975506</v>
      </c>
      <c r="F987" s="5"/>
      <c r="G987" s="5"/>
      <c r="H987" s="5" t="s">
        <v>842</v>
      </c>
      <c r="I987" s="17">
        <v>7.4962536463567104E+18</v>
      </c>
      <c r="J987" s="5"/>
      <c r="K987" s="5"/>
      <c r="L987" s="5"/>
      <c r="M987" s="5" t="s">
        <v>1276</v>
      </c>
    </row>
    <row r="988" spans="3:13" x14ac:dyDescent="0.35">
      <c r="C988" s="5"/>
      <c r="D988" s="5" t="s">
        <v>843</v>
      </c>
      <c r="E988" s="5">
        <v>448717403</v>
      </c>
      <c r="F988" s="5"/>
      <c r="G988" s="5"/>
      <c r="H988" s="5" t="s">
        <v>843</v>
      </c>
      <c r="I988" s="17">
        <v>7.4961819787228303E+18</v>
      </c>
      <c r="J988" s="5"/>
      <c r="K988" s="5"/>
      <c r="L988" s="5"/>
      <c r="M988" s="5" t="s">
        <v>1276</v>
      </c>
    </row>
    <row r="989" spans="3:13" x14ac:dyDescent="0.35">
      <c r="C989" s="5"/>
      <c r="D989" s="5" t="s">
        <v>844</v>
      </c>
      <c r="E989" s="5">
        <v>1252832710</v>
      </c>
      <c r="F989" s="5"/>
      <c r="G989" s="5"/>
      <c r="H989" s="5" t="s">
        <v>844</v>
      </c>
      <c r="I989" s="17">
        <v>7.49414620601873E+18</v>
      </c>
      <c r="J989" s="5"/>
      <c r="K989" s="5"/>
      <c r="L989" s="5"/>
      <c r="M989" s="5" t="s">
        <v>1276</v>
      </c>
    </row>
    <row r="990" spans="3:13" x14ac:dyDescent="0.35">
      <c r="C990" s="5"/>
      <c r="D990" s="5" t="s">
        <v>845</v>
      </c>
      <c r="E990" s="5">
        <v>729422210</v>
      </c>
      <c r="F990" s="5"/>
      <c r="G990" s="5"/>
      <c r="H990" s="5" t="s">
        <v>845</v>
      </c>
      <c r="I990" s="17">
        <v>7.4941739688654602E+18</v>
      </c>
      <c r="J990" s="5"/>
      <c r="K990" s="5"/>
      <c r="L990" s="5"/>
      <c r="M990" s="5" t="s">
        <v>1276</v>
      </c>
    </row>
    <row r="991" spans="3:13" x14ac:dyDescent="0.35">
      <c r="C991" s="5"/>
      <c r="D991" s="5" t="s">
        <v>846</v>
      </c>
      <c r="E991" s="5">
        <v>1217744608</v>
      </c>
      <c r="F991" s="5"/>
      <c r="G991" s="5"/>
      <c r="H991" s="5" t="s">
        <v>846</v>
      </c>
      <c r="I991" s="17">
        <v>7.4941901616986501E+18</v>
      </c>
      <c r="J991" s="5"/>
      <c r="K991" s="5"/>
      <c r="L991" s="5"/>
      <c r="M991" s="5" t="s">
        <v>1276</v>
      </c>
    </row>
    <row r="992" spans="3:13" x14ac:dyDescent="0.35">
      <c r="C992" s="5"/>
      <c r="D992" s="5" t="s">
        <v>847</v>
      </c>
      <c r="E992" s="5">
        <v>1021246116</v>
      </c>
      <c r="F992" s="5"/>
      <c r="G992" s="5"/>
      <c r="H992" s="5" t="s">
        <v>847</v>
      </c>
      <c r="I992" s="17">
        <v>7.4942508158863596E+18</v>
      </c>
      <c r="J992" s="5"/>
      <c r="K992" s="5"/>
      <c r="L992" s="5"/>
      <c r="M992" s="5" t="s">
        <v>1276</v>
      </c>
    </row>
    <row r="993" spans="3:13" x14ac:dyDescent="0.35">
      <c r="C993" s="5"/>
      <c r="D993" s="5" t="s">
        <v>533</v>
      </c>
      <c r="E993" s="5">
        <v>401609924</v>
      </c>
      <c r="F993" s="5"/>
      <c r="G993" s="5"/>
      <c r="H993" s="5" t="s">
        <v>533</v>
      </c>
      <c r="I993" s="17">
        <v>7.4961822006128497E+18</v>
      </c>
      <c r="J993" s="5"/>
      <c r="K993" s="5"/>
      <c r="L993" s="5"/>
      <c r="M993" s="5" t="s">
        <v>1276</v>
      </c>
    </row>
    <row r="994" spans="3:13" x14ac:dyDescent="0.35">
      <c r="C994" s="5"/>
      <c r="D994" s="5" t="s">
        <v>848</v>
      </c>
      <c r="E994" s="5">
        <v>1310974876</v>
      </c>
      <c r="F994" s="5"/>
      <c r="G994" s="5"/>
      <c r="H994" s="5" t="s">
        <v>202</v>
      </c>
      <c r="I994" s="17">
        <v>7.4962051233426596E+18</v>
      </c>
      <c r="J994" s="5" t="s">
        <v>933</v>
      </c>
      <c r="K994" s="5"/>
      <c r="L994" s="5" t="s">
        <v>999</v>
      </c>
      <c r="M994" s="5" t="s">
        <v>1276</v>
      </c>
    </row>
    <row r="995" spans="3:13" x14ac:dyDescent="0.35">
      <c r="C995" s="5"/>
      <c r="D995" s="5" t="s">
        <v>849</v>
      </c>
      <c r="E995" s="5">
        <v>469995342</v>
      </c>
      <c r="F995" s="5"/>
      <c r="G995" s="5"/>
      <c r="H995" s="5" t="s">
        <v>849</v>
      </c>
      <c r="I995" s="17">
        <v>7.4941126196287498E+18</v>
      </c>
      <c r="J995" s="5"/>
      <c r="K995" s="5"/>
      <c r="L995" s="5"/>
      <c r="M995" s="5" t="s">
        <v>1276</v>
      </c>
    </row>
    <row r="996" spans="3:13" x14ac:dyDescent="0.35">
      <c r="C996" s="5"/>
      <c r="D996" s="5" t="s">
        <v>850</v>
      </c>
      <c r="E996" s="5">
        <v>288181836</v>
      </c>
      <c r="F996" s="5"/>
      <c r="G996" s="5"/>
      <c r="H996" s="5" t="s">
        <v>850</v>
      </c>
      <c r="I996" s="17">
        <v>7.4961820389373696E+18</v>
      </c>
      <c r="J996" s="5"/>
      <c r="K996" s="5"/>
      <c r="L996" s="5"/>
      <c r="M996" s="5" t="s">
        <v>1276</v>
      </c>
    </row>
    <row r="997" spans="3:13" x14ac:dyDescent="0.35">
      <c r="C997" s="5"/>
      <c r="D997" s="5" t="s">
        <v>851</v>
      </c>
      <c r="E997" s="5">
        <v>401498676</v>
      </c>
      <c r="F997" s="5"/>
      <c r="G997" s="5"/>
      <c r="H997" s="5" t="s">
        <v>851</v>
      </c>
      <c r="I997" s="17">
        <v>7.4963033840740198E+18</v>
      </c>
      <c r="J997" s="5"/>
      <c r="K997" s="5"/>
      <c r="L997" s="5"/>
      <c r="M997" s="5" t="s">
        <v>1276</v>
      </c>
    </row>
    <row r="998" spans="3:13" x14ac:dyDescent="0.35">
      <c r="C998" s="5"/>
      <c r="D998" s="5" t="s">
        <v>852</v>
      </c>
      <c r="E998" s="5">
        <v>1114645438</v>
      </c>
      <c r="F998" s="5"/>
      <c r="G998" s="5"/>
      <c r="H998" s="5" t="s">
        <v>852</v>
      </c>
      <c r="I998" s="17">
        <v>7.49419466673229E+18</v>
      </c>
      <c r="J998" s="5"/>
      <c r="K998" s="5"/>
      <c r="L998" s="5"/>
      <c r="M998" s="5" t="s">
        <v>1276</v>
      </c>
    </row>
    <row r="999" spans="3:13" x14ac:dyDescent="0.35">
      <c r="C999" s="5"/>
      <c r="D999" s="5" t="s">
        <v>853</v>
      </c>
      <c r="E999" s="5">
        <v>316082146</v>
      </c>
      <c r="F999" s="5"/>
      <c r="G999" s="5"/>
      <c r="H999" s="5" t="s">
        <v>853</v>
      </c>
      <c r="I999" s="17">
        <v>7.4942360840209295E+18</v>
      </c>
      <c r="J999" s="5"/>
      <c r="K999" s="5"/>
      <c r="L999" s="5"/>
      <c r="M999" s="5" t="s">
        <v>1276</v>
      </c>
    </row>
    <row r="1000" spans="3:13" x14ac:dyDescent="0.35">
      <c r="C1000" s="5"/>
      <c r="D1000" s="5" t="s">
        <v>854</v>
      </c>
      <c r="E1000" s="5">
        <v>1226196647</v>
      </c>
      <c r="F1000" s="5"/>
      <c r="G1000" s="5"/>
      <c r="H1000" s="5" t="s">
        <v>854</v>
      </c>
      <c r="I1000" s="17">
        <v>7.4941813792897403E+18</v>
      </c>
      <c r="J1000" s="5"/>
      <c r="K1000" s="5"/>
      <c r="L1000" s="5"/>
      <c r="M1000" s="5" t="s">
        <v>1276</v>
      </c>
    </row>
    <row r="1001" spans="3:13" x14ac:dyDescent="0.35">
      <c r="C1001" s="5"/>
      <c r="D1001" s="5" t="s">
        <v>855</v>
      </c>
      <c r="E1001" s="5">
        <v>1590180575</v>
      </c>
      <c r="F1001" s="5"/>
      <c r="G1001" s="5"/>
      <c r="H1001" s="5" t="s">
        <v>855</v>
      </c>
      <c r="I1001" s="17">
        <v>7.4942044413380803E+18</v>
      </c>
      <c r="J1001" s="5"/>
      <c r="K1001" s="5"/>
      <c r="L1001" s="5"/>
      <c r="M1001" s="5" t="s">
        <v>1276</v>
      </c>
    </row>
    <row r="1002" spans="3:13" x14ac:dyDescent="0.35">
      <c r="C1002" s="5"/>
      <c r="D1002" s="5" t="s">
        <v>856</v>
      </c>
      <c r="E1002" s="5">
        <v>950793915</v>
      </c>
      <c r="F1002" s="5"/>
      <c r="G1002" s="5"/>
      <c r="H1002" s="5" t="s">
        <v>856</v>
      </c>
      <c r="I1002" s="17">
        <v>7.4941800091293696E+18</v>
      </c>
      <c r="J1002" s="5"/>
      <c r="K1002" s="5"/>
      <c r="L1002" s="5"/>
      <c r="M1002" s="5" t="s">
        <v>1276</v>
      </c>
    </row>
    <row r="1003" spans="3:13" x14ac:dyDescent="0.35">
      <c r="C1003" s="5"/>
      <c r="D1003" s="5" t="s">
        <v>857</v>
      </c>
      <c r="E1003" s="5">
        <v>1205610005</v>
      </c>
      <c r="F1003" s="5"/>
      <c r="G1003" s="5"/>
      <c r="H1003" s="5" t="s">
        <v>857</v>
      </c>
      <c r="I1003" s="17">
        <v>7.4961900603833999E+18</v>
      </c>
      <c r="J1003" s="5"/>
      <c r="K1003" s="5"/>
      <c r="L1003" s="5"/>
      <c r="M1003" s="5" t="s">
        <v>1276</v>
      </c>
    </row>
    <row r="1004" spans="3:13" x14ac:dyDescent="0.35">
      <c r="C1004" s="5"/>
      <c r="D1004" s="5" t="s">
        <v>858</v>
      </c>
      <c r="E1004" s="5">
        <v>1670335645</v>
      </c>
      <c r="F1004" s="5"/>
      <c r="G1004" s="5"/>
      <c r="H1004" s="5" t="s">
        <v>858</v>
      </c>
      <c r="I1004" s="17">
        <v>7.4941309604384205E+18</v>
      </c>
      <c r="J1004" s="5"/>
      <c r="K1004" s="5"/>
      <c r="L1004" s="5"/>
      <c r="M1004" s="5" t="s">
        <v>1276</v>
      </c>
    </row>
    <row r="1005" spans="3:13" x14ac:dyDescent="0.35">
      <c r="C1005" s="5"/>
      <c r="D1005" s="5" t="s">
        <v>859</v>
      </c>
      <c r="E1005" s="5">
        <v>311489677</v>
      </c>
      <c r="F1005" s="5"/>
      <c r="G1005" s="5"/>
      <c r="H1005" s="5" t="s">
        <v>859</v>
      </c>
      <c r="I1005" s="17">
        <v>7.4961886433408102E+18</v>
      </c>
      <c r="J1005" s="5"/>
      <c r="K1005" s="5"/>
      <c r="L1005" s="5"/>
      <c r="M1005" s="5" t="s">
        <v>1276</v>
      </c>
    </row>
    <row r="1006" spans="3:13" x14ac:dyDescent="0.35">
      <c r="C1006" s="5"/>
      <c r="D1006" s="5" t="s">
        <v>860</v>
      </c>
      <c r="E1006" s="5">
        <v>1553752047</v>
      </c>
      <c r="F1006" s="5"/>
      <c r="G1006" s="5"/>
      <c r="H1006" s="5" t="s">
        <v>860</v>
      </c>
      <c r="I1006" s="17">
        <v>7.4962065042038098E+18</v>
      </c>
      <c r="J1006" s="5"/>
      <c r="K1006" s="5"/>
      <c r="L1006" s="5"/>
      <c r="M1006" s="5" t="s">
        <v>1276</v>
      </c>
    </row>
    <row r="1007" spans="3:13" x14ac:dyDescent="0.35">
      <c r="C1007" s="5"/>
      <c r="D1007" s="5" t="s">
        <v>861</v>
      </c>
      <c r="E1007" s="5">
        <v>505370631</v>
      </c>
      <c r="F1007" s="5"/>
      <c r="G1007" s="5"/>
      <c r="H1007" s="5" t="s">
        <v>861</v>
      </c>
      <c r="I1007" s="17">
        <v>7.49421973035106E+18</v>
      </c>
      <c r="J1007" s="5"/>
      <c r="K1007" s="5"/>
      <c r="L1007" s="5"/>
      <c r="M1007" s="5" t="s">
        <v>1276</v>
      </c>
    </row>
    <row r="1008" spans="3:13" x14ac:dyDescent="0.35">
      <c r="C1008" s="5"/>
      <c r="D1008" s="5" t="s">
        <v>862</v>
      </c>
      <c r="E1008" s="5">
        <v>322584913</v>
      </c>
      <c r="F1008" s="5"/>
      <c r="G1008" s="5"/>
      <c r="H1008" s="5" t="s">
        <v>862</v>
      </c>
      <c r="I1008" s="17">
        <v>7.49620905609216E+18</v>
      </c>
      <c r="J1008" s="5"/>
      <c r="K1008" s="5"/>
      <c r="L1008" s="5"/>
      <c r="M1008" s="5" t="s">
        <v>1276</v>
      </c>
    </row>
    <row r="1009" spans="3:13" x14ac:dyDescent="0.35">
      <c r="C1009" s="5"/>
      <c r="D1009" s="5" t="s">
        <v>629</v>
      </c>
      <c r="E1009" s="5">
        <v>542974007</v>
      </c>
      <c r="F1009" s="5"/>
      <c r="G1009" s="5"/>
      <c r="H1009" s="5" t="s">
        <v>629</v>
      </c>
      <c r="I1009" s="17">
        <v>7.4961608419157903E+18</v>
      </c>
      <c r="J1009" s="5"/>
      <c r="K1009" s="5"/>
      <c r="L1009" s="5"/>
      <c r="M1009" s="5" t="s">
        <v>1276</v>
      </c>
    </row>
    <row r="1010" spans="3:13" x14ac:dyDescent="0.35">
      <c r="C1010" s="5"/>
      <c r="D1010" s="5" t="s">
        <v>863</v>
      </c>
      <c r="E1010" s="5">
        <v>1220492895</v>
      </c>
      <c r="F1010" s="5"/>
      <c r="G1010" s="5"/>
      <c r="H1010" s="5" t="s">
        <v>863</v>
      </c>
      <c r="I1010" s="17">
        <v>7.4942101061368801E+18</v>
      </c>
      <c r="J1010" s="5"/>
      <c r="K1010" s="5"/>
      <c r="L1010" s="5"/>
      <c r="M1010" s="5" t="s">
        <v>1276</v>
      </c>
    </row>
    <row r="1011" spans="3:13" x14ac:dyDescent="0.35">
      <c r="C1011" s="5"/>
      <c r="D1011" s="5" t="s">
        <v>864</v>
      </c>
      <c r="E1011" s="5">
        <v>1000085085</v>
      </c>
      <c r="F1011" s="5"/>
      <c r="G1011" s="5"/>
      <c r="H1011" s="5" t="s">
        <v>864</v>
      </c>
      <c r="I1011" s="17">
        <v>7.49418008488781E+18</v>
      </c>
      <c r="J1011" s="5"/>
      <c r="K1011" s="5"/>
      <c r="L1011" s="5"/>
      <c r="M1011" s="5" t="s">
        <v>1276</v>
      </c>
    </row>
    <row r="1012" spans="3:13" x14ac:dyDescent="0.35">
      <c r="C1012" s="5"/>
      <c r="D1012" s="5" t="s">
        <v>865</v>
      </c>
      <c r="E1012" s="5">
        <v>1494995608</v>
      </c>
      <c r="F1012" s="5"/>
      <c r="G1012" s="5"/>
      <c r="H1012" s="5" t="s">
        <v>865</v>
      </c>
      <c r="I1012" s="17">
        <v>7.4941303619913902E+18</v>
      </c>
      <c r="J1012" s="5"/>
      <c r="K1012" s="5"/>
      <c r="L1012" s="5"/>
      <c r="M1012" s="5" t="s">
        <v>1276</v>
      </c>
    </row>
    <row r="1013" spans="3:13" x14ac:dyDescent="0.35">
      <c r="C1013" s="5"/>
      <c r="D1013" s="5" t="s">
        <v>866</v>
      </c>
      <c r="E1013" s="5">
        <v>998725688</v>
      </c>
      <c r="F1013" s="5"/>
      <c r="G1013" s="5"/>
      <c r="H1013" s="5" t="s">
        <v>866</v>
      </c>
      <c r="I1013" s="17">
        <v>7.4942361005892905E+18</v>
      </c>
      <c r="J1013" s="5"/>
      <c r="K1013" s="5"/>
      <c r="L1013" s="5"/>
      <c r="M1013" s="5" t="s">
        <v>1276</v>
      </c>
    </row>
    <row r="1014" spans="3:13" x14ac:dyDescent="0.35">
      <c r="C1014" s="5"/>
      <c r="D1014" s="5" t="s">
        <v>867</v>
      </c>
      <c r="E1014" s="5">
        <v>988182060</v>
      </c>
      <c r="F1014" s="5"/>
      <c r="G1014" s="5"/>
      <c r="H1014" s="5" t="s">
        <v>867</v>
      </c>
      <c r="I1014" s="17">
        <v>7.4942013576800799E+18</v>
      </c>
      <c r="J1014" s="5"/>
      <c r="K1014" s="5"/>
      <c r="L1014" s="5"/>
      <c r="M1014" s="5" t="s">
        <v>1276</v>
      </c>
    </row>
    <row r="1015" spans="3:13" x14ac:dyDescent="0.35">
      <c r="C1015" s="5"/>
      <c r="D1015" s="5" t="s">
        <v>868</v>
      </c>
      <c r="E1015" s="5">
        <v>1598954691</v>
      </c>
      <c r="F1015" s="5"/>
      <c r="G1015" s="5"/>
      <c r="H1015" s="5" t="s">
        <v>868</v>
      </c>
      <c r="I1015" s="17">
        <v>7.4941814398506404E+18</v>
      </c>
      <c r="J1015" s="5"/>
      <c r="K1015" s="5"/>
      <c r="L1015" s="5"/>
      <c r="M1015" s="5" t="s">
        <v>1276</v>
      </c>
    </row>
    <row r="1016" spans="3:13" x14ac:dyDescent="0.35">
      <c r="C1016" s="5"/>
      <c r="D1016" s="5" t="s">
        <v>869</v>
      </c>
      <c r="E1016" s="5">
        <v>1419639054</v>
      </c>
      <c r="F1016" s="5"/>
      <c r="G1016" s="5"/>
      <c r="H1016" s="5" t="s">
        <v>869</v>
      </c>
      <c r="I1016" s="17">
        <v>7.49631631616111E+18</v>
      </c>
      <c r="J1016" s="5"/>
      <c r="K1016" s="5"/>
      <c r="L1016" s="5"/>
      <c r="M1016" s="5" t="s">
        <v>1276</v>
      </c>
    </row>
    <row r="1017" spans="3:13" x14ac:dyDescent="0.35">
      <c r="C1017" s="5"/>
      <c r="D1017" s="5" t="s">
        <v>870</v>
      </c>
      <c r="E1017" s="5">
        <v>557985681</v>
      </c>
      <c r="F1017" s="5"/>
      <c r="G1017" s="5"/>
      <c r="H1017" s="5" t="s">
        <v>870</v>
      </c>
      <c r="I1017" s="17">
        <v>7.4962537970750198E+18</v>
      </c>
      <c r="J1017" s="5"/>
      <c r="K1017" s="5"/>
      <c r="L1017" s="5"/>
      <c r="M1017" s="5" t="s">
        <v>1276</v>
      </c>
    </row>
    <row r="1018" spans="3:13" x14ac:dyDescent="0.35">
      <c r="C1018" s="5"/>
      <c r="D1018" s="5" t="s">
        <v>871</v>
      </c>
      <c r="E1018" s="5">
        <v>1615249318</v>
      </c>
      <c r="F1018" s="5"/>
      <c r="G1018" s="5"/>
      <c r="H1018" s="5" t="s">
        <v>871</v>
      </c>
      <c r="I1018" s="17">
        <v>7.4941763682797097E+18</v>
      </c>
      <c r="J1018" s="5"/>
      <c r="K1018" s="5"/>
      <c r="L1018" s="5"/>
      <c r="M1018" s="5" t="s">
        <v>1276</v>
      </c>
    </row>
    <row r="1019" spans="3:13" x14ac:dyDescent="0.35">
      <c r="C1019" s="5"/>
      <c r="D1019" s="5" t="s">
        <v>872</v>
      </c>
      <c r="E1019" s="5">
        <v>580059933</v>
      </c>
      <c r="F1019" s="5"/>
      <c r="G1019" s="5"/>
      <c r="H1019" s="5" t="s">
        <v>872</v>
      </c>
      <c r="I1019" s="17">
        <v>7.4961885457044296E+18</v>
      </c>
      <c r="J1019" s="5"/>
      <c r="K1019" s="5"/>
      <c r="L1019" s="5"/>
      <c r="M1019" s="5" t="s">
        <v>1276</v>
      </c>
    </row>
    <row r="1020" spans="3:13" x14ac:dyDescent="0.35">
      <c r="C1020" s="5"/>
      <c r="D1020" s="5" t="s">
        <v>873</v>
      </c>
      <c r="E1020" s="5">
        <v>1308580859</v>
      </c>
      <c r="F1020" s="5"/>
      <c r="G1020" s="5"/>
      <c r="H1020" s="5" t="s">
        <v>873</v>
      </c>
      <c r="I1020" s="17">
        <v>7.49416512209246E+18</v>
      </c>
      <c r="J1020" s="5"/>
      <c r="K1020" s="5"/>
      <c r="L1020" s="5"/>
      <c r="M1020" s="5" t="s">
        <v>1276</v>
      </c>
    </row>
    <row r="1021" spans="3:13" x14ac:dyDescent="0.35">
      <c r="C1021" s="5"/>
      <c r="D1021" s="5" t="s">
        <v>874</v>
      </c>
      <c r="E1021" s="5">
        <v>271521717</v>
      </c>
      <c r="F1021" s="5"/>
      <c r="G1021" s="5"/>
      <c r="H1021" s="5" t="s">
        <v>874</v>
      </c>
      <c r="I1021" s="17">
        <v>7.4961823584560998E+18</v>
      </c>
      <c r="J1021" s="5"/>
      <c r="K1021" s="5"/>
      <c r="L1021" s="5"/>
      <c r="M1021" s="5" t="s">
        <v>1276</v>
      </c>
    </row>
    <row r="1022" spans="3:13" x14ac:dyDescent="0.35">
      <c r="C1022" s="5"/>
      <c r="D1022" s="5" t="s">
        <v>875</v>
      </c>
      <c r="E1022" s="5">
        <v>667607022</v>
      </c>
      <c r="F1022" s="5"/>
      <c r="G1022" s="5"/>
      <c r="H1022" s="5" t="s">
        <v>875</v>
      </c>
      <c r="I1022" s="17">
        <v>7.4941829785092997E+18</v>
      </c>
      <c r="J1022" s="5"/>
      <c r="K1022" s="5"/>
      <c r="L1022" s="5"/>
      <c r="M1022" s="5" t="s">
        <v>1276</v>
      </c>
    </row>
    <row r="1023" spans="3:13" x14ac:dyDescent="0.35">
      <c r="C1023" s="5"/>
      <c r="D1023" s="5" t="s">
        <v>876</v>
      </c>
      <c r="E1023" s="5">
        <v>1086428031</v>
      </c>
      <c r="F1023" s="5"/>
      <c r="G1023" s="5"/>
      <c r="H1023" s="5" t="s">
        <v>347</v>
      </c>
      <c r="I1023" s="17">
        <v>7.4962583341434399E+18</v>
      </c>
      <c r="J1023" s="5" t="s">
        <v>924</v>
      </c>
      <c r="K1023" s="5"/>
      <c r="L1023" s="5" t="s">
        <v>1070</v>
      </c>
      <c r="M1023" s="5" t="s">
        <v>1276</v>
      </c>
    </row>
    <row r="1024" spans="3:13" x14ac:dyDescent="0.35">
      <c r="C1024" s="5"/>
      <c r="D1024" s="5" t="s">
        <v>877</v>
      </c>
      <c r="E1024" s="5">
        <v>1005235365</v>
      </c>
      <c r="F1024" s="5"/>
      <c r="G1024" s="5"/>
      <c r="H1024" s="5" t="s">
        <v>877</v>
      </c>
      <c r="I1024" s="17">
        <v>7.49618524288781E+18</v>
      </c>
      <c r="J1024" s="5"/>
      <c r="K1024" s="5"/>
      <c r="L1024" s="5"/>
      <c r="M1024" s="5" t="s">
        <v>1276</v>
      </c>
    </row>
    <row r="1025" spans="3:13" x14ac:dyDescent="0.35">
      <c r="C1025" s="5"/>
      <c r="D1025" s="5" t="s">
        <v>258</v>
      </c>
      <c r="E1025" s="5">
        <v>1429781525</v>
      </c>
      <c r="F1025" s="5"/>
      <c r="G1025" s="5"/>
      <c r="H1025" s="5" t="s">
        <v>258</v>
      </c>
      <c r="I1025" s="17">
        <v>7.4961615625089495E+18</v>
      </c>
      <c r="J1025" s="5"/>
      <c r="K1025" s="5"/>
      <c r="L1025" s="5"/>
      <c r="M1025" s="5" t="s">
        <v>1276</v>
      </c>
    </row>
    <row r="1026" spans="3:13" x14ac:dyDescent="0.35">
      <c r="C1026" s="5"/>
      <c r="D1026" s="5" t="s">
        <v>878</v>
      </c>
      <c r="E1026" s="5">
        <v>283145548</v>
      </c>
      <c r="F1026" s="5"/>
      <c r="G1026" s="5"/>
      <c r="H1026" s="5" t="s">
        <v>878</v>
      </c>
      <c r="I1026" s="17">
        <v>7.4941461101765898E+18</v>
      </c>
      <c r="J1026" s="5"/>
      <c r="K1026" s="5"/>
      <c r="L1026" s="5"/>
      <c r="M1026" s="5" t="s">
        <v>1276</v>
      </c>
    </row>
    <row r="1027" spans="3:13" x14ac:dyDescent="0.35">
      <c r="C1027" s="5"/>
      <c r="D1027" s="5" t="s">
        <v>879</v>
      </c>
      <c r="E1027" s="5">
        <v>1620515295</v>
      </c>
      <c r="F1027" s="5"/>
      <c r="G1027" s="5"/>
      <c r="H1027" s="5" t="s">
        <v>879</v>
      </c>
      <c r="I1027" s="17">
        <v>7.4942685548423096E+18</v>
      </c>
      <c r="J1027" s="5"/>
      <c r="K1027" s="5"/>
      <c r="L1027" s="5"/>
      <c r="M1027" s="5" t="s">
        <v>1276</v>
      </c>
    </row>
    <row r="1028" spans="3:13" x14ac:dyDescent="0.35">
      <c r="C1028" s="5"/>
      <c r="D1028" s="5" t="s">
        <v>880</v>
      </c>
      <c r="E1028" s="5">
        <v>1267696445</v>
      </c>
      <c r="F1028" s="5"/>
      <c r="G1028" s="5"/>
      <c r="H1028" s="5" t="s">
        <v>880</v>
      </c>
      <c r="I1028" s="17">
        <v>7.4941020475687199E+18</v>
      </c>
      <c r="J1028" s="5"/>
      <c r="K1028" s="5"/>
      <c r="L1028" s="5"/>
      <c r="M1028" s="5" t="s">
        <v>1276</v>
      </c>
    </row>
    <row r="1029" spans="3:13" x14ac:dyDescent="0.35">
      <c r="C1029" s="5"/>
      <c r="D1029" s="5" t="s">
        <v>881</v>
      </c>
      <c r="E1029" s="5">
        <v>449186740</v>
      </c>
      <c r="F1029" s="5"/>
      <c r="G1029" s="5"/>
      <c r="H1029" s="5" t="s">
        <v>881</v>
      </c>
      <c r="I1029" s="17">
        <v>7.4961818255450102E+18</v>
      </c>
      <c r="J1029" s="5"/>
      <c r="K1029" s="5"/>
      <c r="L1029" s="5"/>
      <c r="M1029" s="5" t="s">
        <v>1276</v>
      </c>
    </row>
    <row r="1030" spans="3:13" x14ac:dyDescent="0.35">
      <c r="C1030" s="5"/>
      <c r="D1030" s="5" t="s">
        <v>882</v>
      </c>
      <c r="E1030" s="5">
        <v>372238728</v>
      </c>
      <c r="F1030" s="5"/>
      <c r="G1030" s="5"/>
      <c r="H1030" s="5" t="s">
        <v>882</v>
      </c>
      <c r="I1030" s="17">
        <v>7.4942117658811095E+18</v>
      </c>
      <c r="J1030" s="5"/>
      <c r="K1030" s="5"/>
      <c r="L1030" s="5"/>
      <c r="M1030" s="5" t="s">
        <v>1276</v>
      </c>
    </row>
    <row r="1031" spans="3:13" x14ac:dyDescent="0.35">
      <c r="C1031" s="5"/>
      <c r="D1031" s="5" t="s">
        <v>883</v>
      </c>
      <c r="E1031" s="5">
        <v>378093609</v>
      </c>
      <c r="F1031" s="5"/>
      <c r="G1031" s="5"/>
      <c r="H1031" s="5" t="s">
        <v>883</v>
      </c>
      <c r="I1031" s="17">
        <v>7.4961811741606195E+18</v>
      </c>
      <c r="J1031" s="5"/>
      <c r="K1031" s="5"/>
      <c r="L1031" s="5"/>
      <c r="M1031" s="5" t="s">
        <v>1276</v>
      </c>
    </row>
    <row r="1032" spans="3:13" x14ac:dyDescent="0.35">
      <c r="C1032" s="5"/>
      <c r="D1032" s="5" t="s">
        <v>884</v>
      </c>
      <c r="E1032" s="5">
        <v>1467221745</v>
      </c>
      <c r="F1032" s="5"/>
      <c r="G1032" s="5"/>
      <c r="H1032" s="5" t="s">
        <v>884</v>
      </c>
      <c r="I1032" s="17">
        <v>7.4941550915097999E+18</v>
      </c>
      <c r="J1032" s="5"/>
      <c r="K1032" s="5"/>
      <c r="L1032" s="5"/>
      <c r="M1032" s="5" t="s">
        <v>1276</v>
      </c>
    </row>
    <row r="1033" spans="3:13" x14ac:dyDescent="0.35">
      <c r="C1033" s="5"/>
      <c r="D1033" s="5" t="s">
        <v>885</v>
      </c>
      <c r="E1033" s="5">
        <v>345744108</v>
      </c>
      <c r="F1033" s="5"/>
      <c r="G1033" s="5"/>
      <c r="H1033" s="5" t="s">
        <v>885</v>
      </c>
      <c r="I1033" s="17">
        <v>7.4961818933011702E+18</v>
      </c>
      <c r="J1033" s="5"/>
      <c r="K1033" s="5"/>
      <c r="L1033" s="5"/>
      <c r="M1033" s="5" t="s">
        <v>1276</v>
      </c>
    </row>
    <row r="1034" spans="3:13" x14ac:dyDescent="0.35">
      <c r="C1034" s="5"/>
      <c r="D1034" s="5" t="s">
        <v>886</v>
      </c>
      <c r="E1034" s="5">
        <v>1191862620</v>
      </c>
      <c r="F1034" s="5"/>
      <c r="G1034" s="5"/>
      <c r="H1034" s="5" t="s">
        <v>886</v>
      </c>
      <c r="I1034" s="17">
        <v>7.49409302584495E+18</v>
      </c>
      <c r="J1034" s="5"/>
      <c r="K1034" s="5"/>
      <c r="L1034" s="5"/>
      <c r="M1034" s="5" t="s">
        <v>1276</v>
      </c>
    </row>
    <row r="1035" spans="3:13" x14ac:dyDescent="0.35">
      <c r="C1035" s="5"/>
      <c r="D1035" s="5" t="s">
        <v>887</v>
      </c>
      <c r="E1035" s="5">
        <v>1430626556</v>
      </c>
      <c r="F1035" s="5"/>
      <c r="G1035" s="5"/>
      <c r="H1035" s="5" t="s">
        <v>887</v>
      </c>
      <c r="I1035" s="17">
        <v>7.4942416334340403E+18</v>
      </c>
      <c r="J1035" s="5"/>
      <c r="K1035" s="5"/>
      <c r="L1035" s="5"/>
      <c r="M1035" s="5" t="s">
        <v>1276</v>
      </c>
    </row>
    <row r="1036" spans="3:13" x14ac:dyDescent="0.35">
      <c r="C1036" s="5"/>
      <c r="D1036" s="5" t="s">
        <v>888</v>
      </c>
      <c r="E1036" s="5">
        <v>721213201</v>
      </c>
      <c r="F1036" s="5"/>
      <c r="G1036" s="5"/>
      <c r="H1036" s="5" t="s">
        <v>888</v>
      </c>
      <c r="I1036" s="17">
        <v>7.4962440312952904E+18</v>
      </c>
      <c r="J1036" s="5"/>
      <c r="K1036" s="5"/>
      <c r="L1036" s="5"/>
      <c r="M1036" s="5" t="s">
        <v>1276</v>
      </c>
    </row>
    <row r="1037" spans="3:13" x14ac:dyDescent="0.35">
      <c r="C1037" s="5"/>
      <c r="D1037" s="5" t="s">
        <v>889</v>
      </c>
      <c r="E1037" s="5">
        <v>458312705</v>
      </c>
      <c r="F1037" s="5"/>
      <c r="G1037" s="5"/>
      <c r="H1037" s="5" t="s">
        <v>889</v>
      </c>
      <c r="I1037" s="17">
        <v>7.4963148321252004E+18</v>
      </c>
      <c r="J1037" s="5"/>
      <c r="K1037" s="5"/>
      <c r="L1037" s="5"/>
      <c r="M1037" s="5" t="s">
        <v>1276</v>
      </c>
    </row>
    <row r="1038" spans="3:13" x14ac:dyDescent="0.35">
      <c r="C1038" s="5"/>
      <c r="D1038" s="5" t="s">
        <v>890</v>
      </c>
      <c r="E1038" s="5">
        <v>1562142458</v>
      </c>
      <c r="F1038" s="5"/>
      <c r="G1038" s="5"/>
      <c r="H1038" s="5" t="s">
        <v>890</v>
      </c>
      <c r="I1038" s="17">
        <v>7.4941800489348905E+18</v>
      </c>
      <c r="J1038" s="5"/>
      <c r="K1038" s="5"/>
      <c r="L1038" s="5"/>
      <c r="M1038" s="5" t="s">
        <v>1276</v>
      </c>
    </row>
    <row r="1039" spans="3:13" x14ac:dyDescent="0.35">
      <c r="C1039" s="5"/>
      <c r="D1039" s="5" t="s">
        <v>891</v>
      </c>
      <c r="E1039" s="5">
        <v>1369557762</v>
      </c>
      <c r="F1039" s="5"/>
      <c r="G1039" s="5"/>
      <c r="H1039" s="5" t="s">
        <v>891</v>
      </c>
      <c r="I1039" s="17">
        <v>7.4962556492550902E+18</v>
      </c>
      <c r="J1039" s="5"/>
      <c r="K1039" s="5"/>
      <c r="L1039" s="5"/>
      <c r="M1039" s="5" t="s">
        <v>1276</v>
      </c>
    </row>
    <row r="1040" spans="3:13" x14ac:dyDescent="0.35">
      <c r="C1040" s="5"/>
      <c r="D1040" s="5" t="s">
        <v>892</v>
      </c>
      <c r="E1040" s="5">
        <v>1384738256</v>
      </c>
      <c r="F1040" s="5"/>
      <c r="G1040" s="5"/>
      <c r="H1040" s="5" t="s">
        <v>892</v>
      </c>
      <c r="I1040" s="17">
        <v>7.4963208801380198E+18</v>
      </c>
      <c r="J1040" s="5"/>
      <c r="K1040" s="5"/>
      <c r="L1040" s="5"/>
      <c r="M1040" s="5" t="s">
        <v>1276</v>
      </c>
    </row>
    <row r="1041" spans="3:13" x14ac:dyDescent="0.35">
      <c r="C1041" s="5"/>
      <c r="D1041" s="5" t="s">
        <v>893</v>
      </c>
      <c r="E1041" s="5">
        <v>630468467</v>
      </c>
      <c r="F1041" s="5"/>
      <c r="G1041" s="5"/>
      <c r="H1041" s="5" t="s">
        <v>893</v>
      </c>
      <c r="I1041" s="17">
        <v>7.49615496154641E+18</v>
      </c>
      <c r="J1041" s="5"/>
      <c r="K1041" s="5"/>
      <c r="L1041" s="5"/>
      <c r="M1041" s="5" t="s">
        <v>1276</v>
      </c>
    </row>
    <row r="1042" spans="3:13" x14ac:dyDescent="0.35">
      <c r="C1042" s="5"/>
      <c r="D1042" s="5" t="s">
        <v>894</v>
      </c>
      <c r="E1042" s="5">
        <v>557450125</v>
      </c>
      <c r="F1042" s="5"/>
      <c r="G1042" s="5"/>
      <c r="H1042" s="5" t="s">
        <v>894</v>
      </c>
      <c r="I1042" s="17">
        <v>7.4941196415581798E+18</v>
      </c>
      <c r="J1042" s="5"/>
      <c r="K1042" s="5"/>
      <c r="L1042" s="5"/>
      <c r="M1042" s="5" t="s">
        <v>1276</v>
      </c>
    </row>
    <row r="1043" spans="3:13" x14ac:dyDescent="0.35">
      <c r="C1043" s="5"/>
      <c r="D1043" s="5" t="s">
        <v>895</v>
      </c>
      <c r="E1043" s="5">
        <v>346391109</v>
      </c>
      <c r="F1043" s="5"/>
      <c r="G1043" s="5"/>
      <c r="H1043" s="5" t="s">
        <v>895</v>
      </c>
      <c r="I1043" s="17">
        <v>7.4941172784110899E+18</v>
      </c>
      <c r="J1043" s="5"/>
      <c r="K1043" s="5"/>
      <c r="L1043" s="5"/>
      <c r="M1043" s="5" t="s">
        <v>1276</v>
      </c>
    </row>
    <row r="1044" spans="3:13" x14ac:dyDescent="0.35">
      <c r="C1044" s="5"/>
      <c r="D1044" s="5" t="s">
        <v>896</v>
      </c>
      <c r="E1044" s="5">
        <v>983290979</v>
      </c>
      <c r="F1044" s="5"/>
      <c r="G1044" s="5"/>
      <c r="H1044" s="5" t="s">
        <v>896</v>
      </c>
      <c r="I1044" s="17">
        <v>7.4963050744077701E+18</v>
      </c>
      <c r="J1044" s="5"/>
      <c r="K1044" s="5"/>
      <c r="L1044" s="5"/>
      <c r="M1044" s="5" t="s">
        <v>1276</v>
      </c>
    </row>
    <row r="1045" spans="3:13" x14ac:dyDescent="0.35">
      <c r="C1045" s="5"/>
      <c r="D1045" s="5" t="s">
        <v>897</v>
      </c>
      <c r="E1045" s="5">
        <v>717498842</v>
      </c>
      <c r="F1045" s="5"/>
      <c r="G1045" s="5"/>
      <c r="H1045" s="5" t="s">
        <v>897</v>
      </c>
      <c r="I1045" s="17">
        <v>7.4961818325127301E+18</v>
      </c>
      <c r="J1045" s="5"/>
      <c r="K1045" s="5"/>
      <c r="L1045" s="5"/>
      <c r="M1045" s="5" t="s">
        <v>1276</v>
      </c>
    </row>
    <row r="1046" spans="3:13" x14ac:dyDescent="0.35">
      <c r="C1046" s="5"/>
      <c r="D1046" s="5" t="s">
        <v>898</v>
      </c>
      <c r="E1046" s="5">
        <v>1577747933</v>
      </c>
      <c r="F1046" s="5"/>
      <c r="G1046" s="5"/>
      <c r="H1046" s="5" t="s">
        <v>898</v>
      </c>
      <c r="I1046" s="17">
        <v>7.4941888444645704E+18</v>
      </c>
      <c r="J1046" s="5"/>
      <c r="K1046" s="5"/>
      <c r="L1046" s="5"/>
      <c r="M1046" s="5" t="s">
        <v>1276</v>
      </c>
    </row>
    <row r="1047" spans="3:13" x14ac:dyDescent="0.35">
      <c r="C1047" s="5"/>
      <c r="D1047" s="5" t="s">
        <v>899</v>
      </c>
      <c r="E1047" s="5">
        <v>754144273</v>
      </c>
      <c r="F1047" s="5"/>
      <c r="G1047" s="5"/>
      <c r="H1047" s="5" t="s">
        <v>899</v>
      </c>
      <c r="I1047" s="17">
        <v>7.4941685956726303E+18</v>
      </c>
      <c r="J1047" s="5"/>
      <c r="K1047" s="5"/>
      <c r="L1047" s="5"/>
      <c r="M1047" s="5" t="s">
        <v>1276</v>
      </c>
    </row>
    <row r="1048" spans="3:13" x14ac:dyDescent="0.35">
      <c r="C1048" s="5"/>
      <c r="D1048" s="5" t="s">
        <v>900</v>
      </c>
      <c r="E1048" s="5">
        <v>1088017491</v>
      </c>
      <c r="F1048" s="5"/>
      <c r="G1048" s="5"/>
      <c r="H1048" s="5" t="s">
        <v>900</v>
      </c>
      <c r="I1048" s="17">
        <v>7.4962923831496796E+18</v>
      </c>
      <c r="J1048" s="5"/>
      <c r="K1048" s="5"/>
      <c r="L1048" s="5"/>
      <c r="M1048" s="5" t="s">
        <v>1276</v>
      </c>
    </row>
    <row r="1049" spans="3:13" x14ac:dyDescent="0.35">
      <c r="C1049" s="5"/>
      <c r="D1049" s="5" t="s">
        <v>901</v>
      </c>
      <c r="E1049" s="5">
        <v>329201119</v>
      </c>
      <c r="F1049" s="5"/>
      <c r="G1049" s="5"/>
      <c r="H1049" s="5" t="s">
        <v>901</v>
      </c>
      <c r="I1049" s="17">
        <v>7.4940938608383396E+18</v>
      </c>
      <c r="J1049" s="5"/>
      <c r="K1049" s="5"/>
      <c r="L1049" s="5"/>
      <c r="M1049" s="5" t="s">
        <v>1276</v>
      </c>
    </row>
    <row r="1050" spans="3:13" x14ac:dyDescent="0.35">
      <c r="C1050" s="5"/>
      <c r="D1050" s="5" t="s">
        <v>60</v>
      </c>
      <c r="E1050" s="5">
        <v>1025824477</v>
      </c>
      <c r="F1050" s="5"/>
      <c r="G1050" s="5"/>
      <c r="H1050" s="5" t="s">
        <v>60</v>
      </c>
      <c r="I1050" s="17">
        <v>7.4941815193772698E+18</v>
      </c>
      <c r="J1050" s="5"/>
      <c r="K1050" s="5"/>
      <c r="L1050" s="5"/>
      <c r="M1050" s="5" t="s">
        <v>1276</v>
      </c>
    </row>
    <row r="1051" spans="3:13" x14ac:dyDescent="0.35">
      <c r="C1051" s="5"/>
      <c r="D1051" s="5" t="s">
        <v>902</v>
      </c>
      <c r="E1051" s="5">
        <v>421577530</v>
      </c>
      <c r="F1051" s="5"/>
      <c r="G1051" s="5"/>
      <c r="H1051" s="5" t="s">
        <v>902</v>
      </c>
      <c r="I1051" s="17">
        <v>7.4941325565380803E+18</v>
      </c>
      <c r="J1051" s="5"/>
      <c r="K1051" s="5"/>
      <c r="L1051" s="5"/>
      <c r="M1051" s="5" t="s">
        <v>1276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E532F-A5DE-4122-86E0-BB24868F2CED}">
  <sheetPr>
    <tabColor theme="5" tint="0.79998168889431442"/>
  </sheetPr>
  <dimension ref="B1:G100"/>
  <sheetViews>
    <sheetView zoomScale="70" zoomScaleNormal="70" workbookViewId="0">
      <selection activeCell="M10" sqref="M10"/>
    </sheetView>
  </sheetViews>
  <sheetFormatPr defaultRowHeight="14.5" x14ac:dyDescent="0.35"/>
  <cols>
    <col min="1" max="2" width="2.6328125" customWidth="1"/>
    <col min="3" max="7" width="13.6328125" customWidth="1"/>
  </cols>
  <sheetData>
    <row r="1" spans="2:7" s="1" customFormat="1" x14ac:dyDescent="0.35"/>
    <row r="2" spans="2:7" s="1" customFormat="1" x14ac:dyDescent="0.35"/>
    <row r="3" spans="2:7" s="1" customFormat="1" ht="21" x14ac:dyDescent="0.5">
      <c r="B3" s="4" t="s">
        <v>11</v>
      </c>
    </row>
    <row r="4" spans="2:7" s="1" customFormat="1" x14ac:dyDescent="0.35"/>
    <row r="5" spans="2:7" s="2" customFormat="1" x14ac:dyDescent="0.35"/>
    <row r="7" spans="2:7" x14ac:dyDescent="0.35">
      <c r="C7" s="3" t="s">
        <v>0</v>
      </c>
      <c r="D7" s="3" t="s">
        <v>5</v>
      </c>
      <c r="E7" s="3" t="s">
        <v>6</v>
      </c>
      <c r="F7" s="3" t="s">
        <v>12</v>
      </c>
      <c r="G7" s="3" t="s">
        <v>13</v>
      </c>
    </row>
    <row r="8" spans="2:7" x14ac:dyDescent="0.35">
      <c r="C8" s="5"/>
      <c r="D8" s="5"/>
      <c r="E8" s="5"/>
      <c r="F8" s="5"/>
      <c r="G8" s="5"/>
    </row>
    <row r="9" spans="2:7" x14ac:dyDescent="0.35">
      <c r="C9" s="5"/>
      <c r="D9" s="5"/>
      <c r="E9" s="5"/>
      <c r="F9" s="5"/>
      <c r="G9" s="5"/>
    </row>
    <row r="10" spans="2:7" x14ac:dyDescent="0.35">
      <c r="C10" s="5"/>
      <c r="D10" s="5"/>
      <c r="E10" s="5"/>
      <c r="F10" s="5"/>
      <c r="G10" s="5"/>
    </row>
    <row r="11" spans="2:7" x14ac:dyDescent="0.35">
      <c r="C11" s="5"/>
      <c r="D11" s="5"/>
      <c r="E11" s="5"/>
      <c r="F11" s="5"/>
      <c r="G11" s="5"/>
    </row>
    <row r="12" spans="2:7" x14ac:dyDescent="0.35">
      <c r="C12" s="5"/>
      <c r="D12" s="5"/>
      <c r="E12" s="5"/>
      <c r="F12" s="5"/>
      <c r="G12" s="5"/>
    </row>
    <row r="13" spans="2:7" x14ac:dyDescent="0.35">
      <c r="C13" s="5"/>
      <c r="D13" s="5"/>
      <c r="E13" s="5"/>
      <c r="F13" s="5"/>
      <c r="G13" s="5"/>
    </row>
    <row r="14" spans="2:7" x14ac:dyDescent="0.35">
      <c r="C14" s="5"/>
      <c r="D14" s="5"/>
      <c r="E14" s="5"/>
      <c r="F14" s="5"/>
      <c r="G14" s="5"/>
    </row>
    <row r="15" spans="2:7" x14ac:dyDescent="0.35">
      <c r="C15" s="5"/>
      <c r="D15" s="5"/>
      <c r="E15" s="5"/>
      <c r="F15" s="5"/>
      <c r="G15" s="5"/>
    </row>
    <row r="16" spans="2:7" x14ac:dyDescent="0.35">
      <c r="C16" s="5"/>
      <c r="D16" s="5"/>
      <c r="E16" s="5"/>
      <c r="F16" s="5"/>
      <c r="G16" s="5"/>
    </row>
    <row r="17" spans="3:7" x14ac:dyDescent="0.35">
      <c r="C17" s="5"/>
      <c r="D17" s="5"/>
      <c r="E17" s="5"/>
      <c r="F17" s="5"/>
      <c r="G17" s="5"/>
    </row>
    <row r="18" spans="3:7" x14ac:dyDescent="0.35">
      <c r="C18" s="5"/>
      <c r="D18" s="5"/>
      <c r="E18" s="5"/>
      <c r="F18" s="5"/>
      <c r="G18" s="5"/>
    </row>
    <row r="19" spans="3:7" x14ac:dyDescent="0.35">
      <c r="C19" s="5"/>
      <c r="D19" s="5"/>
      <c r="E19" s="5"/>
      <c r="F19" s="5"/>
      <c r="G19" s="5"/>
    </row>
    <row r="20" spans="3:7" x14ac:dyDescent="0.35">
      <c r="C20" s="5"/>
      <c r="D20" s="5"/>
      <c r="E20" s="5"/>
      <c r="F20" s="5"/>
      <c r="G20" s="5"/>
    </row>
    <row r="21" spans="3:7" x14ac:dyDescent="0.35">
      <c r="C21" s="5"/>
      <c r="D21" s="5"/>
      <c r="E21" s="5"/>
      <c r="F21" s="5"/>
      <c r="G21" s="5"/>
    </row>
    <row r="22" spans="3:7" x14ac:dyDescent="0.35">
      <c r="C22" s="5"/>
      <c r="D22" s="5"/>
      <c r="E22" s="5"/>
      <c r="F22" s="5"/>
      <c r="G22" s="5"/>
    </row>
    <row r="23" spans="3:7" x14ac:dyDescent="0.35">
      <c r="C23" s="5"/>
      <c r="D23" s="5"/>
      <c r="E23" s="5"/>
      <c r="F23" s="5"/>
      <c r="G23" s="5"/>
    </row>
    <row r="24" spans="3:7" x14ac:dyDescent="0.35">
      <c r="C24" s="5"/>
      <c r="D24" s="5"/>
      <c r="E24" s="5"/>
      <c r="F24" s="5"/>
      <c r="G24" s="5"/>
    </row>
    <row r="25" spans="3:7" x14ac:dyDescent="0.35">
      <c r="C25" s="5"/>
      <c r="D25" s="5"/>
      <c r="E25" s="5"/>
      <c r="F25" s="5"/>
      <c r="G25" s="5"/>
    </row>
    <row r="26" spans="3:7" x14ac:dyDescent="0.35">
      <c r="C26" s="5"/>
      <c r="D26" s="5"/>
      <c r="E26" s="5"/>
      <c r="F26" s="5"/>
      <c r="G26" s="5"/>
    </row>
    <row r="27" spans="3:7" x14ac:dyDescent="0.35">
      <c r="C27" s="5"/>
      <c r="D27" s="5"/>
      <c r="E27" s="5"/>
      <c r="F27" s="5"/>
      <c r="G27" s="5"/>
    </row>
    <row r="28" spans="3:7" x14ac:dyDescent="0.35">
      <c r="C28" s="5"/>
      <c r="D28" s="5"/>
      <c r="E28" s="5"/>
      <c r="F28" s="5"/>
      <c r="G28" s="5"/>
    </row>
    <row r="29" spans="3:7" x14ac:dyDescent="0.35">
      <c r="C29" s="5"/>
      <c r="D29" s="5"/>
      <c r="E29" s="5"/>
      <c r="F29" s="5"/>
      <c r="G29" s="5"/>
    </row>
    <row r="30" spans="3:7" x14ac:dyDescent="0.35">
      <c r="C30" s="5"/>
      <c r="D30" s="5"/>
      <c r="E30" s="5"/>
      <c r="F30" s="5"/>
      <c r="G30" s="5"/>
    </row>
    <row r="31" spans="3:7" x14ac:dyDescent="0.35">
      <c r="C31" s="5"/>
      <c r="D31" s="5"/>
      <c r="E31" s="5"/>
      <c r="F31" s="5"/>
      <c r="G31" s="5"/>
    </row>
    <row r="32" spans="3:7" x14ac:dyDescent="0.35">
      <c r="C32" s="5"/>
      <c r="D32" s="5"/>
      <c r="E32" s="5"/>
      <c r="F32" s="5"/>
      <c r="G32" s="5"/>
    </row>
    <row r="33" spans="3:7" x14ac:dyDescent="0.35">
      <c r="C33" s="5"/>
      <c r="D33" s="5"/>
      <c r="E33" s="5"/>
      <c r="F33" s="5"/>
      <c r="G33" s="5"/>
    </row>
    <row r="34" spans="3:7" x14ac:dyDescent="0.35">
      <c r="C34" s="5"/>
      <c r="D34" s="5"/>
      <c r="E34" s="5"/>
      <c r="F34" s="5"/>
      <c r="G34" s="5"/>
    </row>
    <row r="35" spans="3:7" x14ac:dyDescent="0.35">
      <c r="C35" s="5"/>
      <c r="D35" s="5"/>
      <c r="E35" s="5"/>
      <c r="F35" s="5"/>
      <c r="G35" s="5"/>
    </row>
    <row r="36" spans="3:7" x14ac:dyDescent="0.35">
      <c r="C36" s="5"/>
      <c r="D36" s="5"/>
      <c r="E36" s="5"/>
      <c r="F36" s="5"/>
      <c r="G36" s="5"/>
    </row>
    <row r="37" spans="3:7" x14ac:dyDescent="0.35">
      <c r="C37" s="5"/>
      <c r="D37" s="5"/>
      <c r="E37" s="5"/>
      <c r="F37" s="5"/>
      <c r="G37" s="5"/>
    </row>
    <row r="38" spans="3:7" x14ac:dyDescent="0.35">
      <c r="C38" s="5"/>
      <c r="D38" s="5"/>
      <c r="E38" s="5"/>
      <c r="F38" s="5"/>
      <c r="G38" s="5"/>
    </row>
    <row r="39" spans="3:7" x14ac:dyDescent="0.35">
      <c r="C39" s="5"/>
      <c r="D39" s="5"/>
      <c r="E39" s="5"/>
      <c r="F39" s="5"/>
      <c r="G39" s="5"/>
    </row>
    <row r="40" spans="3:7" x14ac:dyDescent="0.35">
      <c r="C40" s="5"/>
      <c r="D40" s="5"/>
      <c r="E40" s="5"/>
      <c r="F40" s="5"/>
      <c r="G40" s="5"/>
    </row>
    <row r="41" spans="3:7" x14ac:dyDescent="0.35">
      <c r="C41" s="5"/>
      <c r="D41" s="5"/>
      <c r="E41" s="5"/>
      <c r="F41" s="5"/>
      <c r="G41" s="5"/>
    </row>
    <row r="42" spans="3:7" x14ac:dyDescent="0.35">
      <c r="C42" s="5"/>
      <c r="D42" s="5"/>
      <c r="E42" s="5"/>
      <c r="F42" s="5"/>
      <c r="G42" s="5"/>
    </row>
    <row r="43" spans="3:7" x14ac:dyDescent="0.35">
      <c r="C43" s="5"/>
      <c r="D43" s="5"/>
      <c r="E43" s="5"/>
      <c r="F43" s="5"/>
      <c r="G43" s="5"/>
    </row>
    <row r="44" spans="3:7" x14ac:dyDescent="0.35">
      <c r="C44" s="5"/>
      <c r="D44" s="5"/>
      <c r="E44" s="5"/>
      <c r="F44" s="5"/>
      <c r="G44" s="5"/>
    </row>
    <row r="45" spans="3:7" x14ac:dyDescent="0.35">
      <c r="C45" s="5"/>
      <c r="D45" s="5"/>
      <c r="E45" s="5"/>
      <c r="F45" s="5"/>
      <c r="G45" s="5"/>
    </row>
    <row r="46" spans="3:7" x14ac:dyDescent="0.35">
      <c r="C46" s="5"/>
      <c r="D46" s="5"/>
      <c r="E46" s="5"/>
      <c r="F46" s="5"/>
      <c r="G46" s="5"/>
    </row>
    <row r="47" spans="3:7" x14ac:dyDescent="0.35">
      <c r="C47" s="5"/>
      <c r="D47" s="5"/>
      <c r="E47" s="5"/>
      <c r="F47" s="5"/>
      <c r="G47" s="5"/>
    </row>
    <row r="48" spans="3:7" x14ac:dyDescent="0.35">
      <c r="C48" s="5"/>
      <c r="D48" s="5"/>
      <c r="E48" s="5"/>
      <c r="F48" s="5"/>
      <c r="G48" s="5"/>
    </row>
    <row r="49" spans="3:7" x14ac:dyDescent="0.35">
      <c r="C49" s="5"/>
      <c r="D49" s="5"/>
      <c r="E49" s="5"/>
      <c r="F49" s="5"/>
      <c r="G49" s="5"/>
    </row>
    <row r="50" spans="3:7" x14ac:dyDescent="0.35">
      <c r="C50" s="5"/>
      <c r="D50" s="5"/>
      <c r="E50" s="5"/>
      <c r="F50" s="5"/>
      <c r="G50" s="5"/>
    </row>
    <row r="51" spans="3:7" x14ac:dyDescent="0.35">
      <c r="C51" s="5"/>
      <c r="D51" s="5"/>
      <c r="E51" s="5"/>
      <c r="F51" s="5"/>
      <c r="G51" s="5"/>
    </row>
    <row r="52" spans="3:7" x14ac:dyDescent="0.35">
      <c r="C52" s="5"/>
      <c r="D52" s="5"/>
      <c r="E52" s="5"/>
      <c r="F52" s="5"/>
      <c r="G52" s="5"/>
    </row>
    <row r="53" spans="3:7" x14ac:dyDescent="0.35">
      <c r="C53" s="5"/>
      <c r="D53" s="5"/>
      <c r="E53" s="5"/>
      <c r="F53" s="5"/>
      <c r="G53" s="5"/>
    </row>
    <row r="54" spans="3:7" x14ac:dyDescent="0.35">
      <c r="C54" s="5"/>
      <c r="D54" s="5"/>
      <c r="E54" s="5"/>
      <c r="F54" s="5"/>
      <c r="G54" s="5"/>
    </row>
    <row r="55" spans="3:7" x14ac:dyDescent="0.35">
      <c r="C55" s="5"/>
      <c r="D55" s="5"/>
      <c r="E55" s="5"/>
      <c r="F55" s="5"/>
      <c r="G55" s="5"/>
    </row>
    <row r="56" spans="3:7" x14ac:dyDescent="0.35">
      <c r="C56" s="5"/>
      <c r="D56" s="5"/>
      <c r="E56" s="5"/>
      <c r="F56" s="5"/>
      <c r="G56" s="5"/>
    </row>
    <row r="57" spans="3:7" x14ac:dyDescent="0.35">
      <c r="C57" s="5"/>
      <c r="D57" s="5"/>
      <c r="E57" s="5"/>
      <c r="F57" s="5"/>
      <c r="G57" s="5"/>
    </row>
    <row r="58" spans="3:7" x14ac:dyDescent="0.35">
      <c r="C58" s="5"/>
      <c r="D58" s="5"/>
      <c r="E58" s="5"/>
      <c r="F58" s="5"/>
      <c r="G58" s="5"/>
    </row>
    <row r="59" spans="3:7" x14ac:dyDescent="0.35">
      <c r="C59" s="5"/>
      <c r="D59" s="5"/>
      <c r="E59" s="5"/>
      <c r="F59" s="5"/>
      <c r="G59" s="5"/>
    </row>
    <row r="60" spans="3:7" x14ac:dyDescent="0.35">
      <c r="C60" s="5"/>
      <c r="D60" s="5"/>
      <c r="E60" s="5"/>
      <c r="F60" s="5"/>
      <c r="G60" s="5"/>
    </row>
    <row r="61" spans="3:7" x14ac:dyDescent="0.35">
      <c r="C61" s="5"/>
      <c r="D61" s="5"/>
      <c r="E61" s="5"/>
      <c r="F61" s="5"/>
      <c r="G61" s="5"/>
    </row>
    <row r="62" spans="3:7" x14ac:dyDescent="0.35">
      <c r="C62" s="5"/>
      <c r="D62" s="5"/>
      <c r="E62" s="5"/>
      <c r="F62" s="5"/>
      <c r="G62" s="5"/>
    </row>
    <row r="63" spans="3:7" x14ac:dyDescent="0.35">
      <c r="C63" s="5"/>
      <c r="D63" s="5"/>
      <c r="E63" s="5"/>
      <c r="F63" s="5"/>
      <c r="G63" s="5"/>
    </row>
    <row r="64" spans="3:7" x14ac:dyDescent="0.35">
      <c r="C64" s="5"/>
      <c r="D64" s="5"/>
      <c r="E64" s="5"/>
      <c r="F64" s="5"/>
      <c r="G64" s="5"/>
    </row>
    <row r="65" spans="3:7" x14ac:dyDescent="0.35">
      <c r="C65" s="5"/>
      <c r="D65" s="5"/>
      <c r="E65" s="5"/>
      <c r="F65" s="5"/>
      <c r="G65" s="5"/>
    </row>
    <row r="66" spans="3:7" x14ac:dyDescent="0.35">
      <c r="C66" s="5"/>
      <c r="D66" s="5"/>
      <c r="E66" s="5"/>
      <c r="F66" s="5"/>
      <c r="G66" s="5"/>
    </row>
    <row r="67" spans="3:7" x14ac:dyDescent="0.35">
      <c r="C67" s="5"/>
      <c r="D67" s="5"/>
      <c r="E67" s="5"/>
      <c r="F67" s="5"/>
      <c r="G67" s="5"/>
    </row>
    <row r="68" spans="3:7" x14ac:dyDescent="0.35">
      <c r="C68" s="5"/>
      <c r="D68" s="5"/>
      <c r="E68" s="5"/>
      <c r="F68" s="5"/>
      <c r="G68" s="5"/>
    </row>
    <row r="69" spans="3:7" x14ac:dyDescent="0.35">
      <c r="C69" s="5"/>
      <c r="D69" s="5"/>
      <c r="E69" s="5"/>
      <c r="F69" s="5"/>
      <c r="G69" s="5"/>
    </row>
    <row r="70" spans="3:7" x14ac:dyDescent="0.35">
      <c r="C70" s="5"/>
      <c r="D70" s="5"/>
      <c r="E70" s="5"/>
      <c r="F70" s="5"/>
      <c r="G70" s="5"/>
    </row>
    <row r="71" spans="3:7" x14ac:dyDescent="0.35">
      <c r="C71" s="5"/>
      <c r="D71" s="5"/>
      <c r="E71" s="5"/>
      <c r="F71" s="5"/>
      <c r="G71" s="5"/>
    </row>
    <row r="72" spans="3:7" x14ac:dyDescent="0.35">
      <c r="C72" s="5"/>
      <c r="D72" s="5"/>
      <c r="E72" s="5"/>
      <c r="F72" s="5"/>
      <c r="G72" s="5"/>
    </row>
    <row r="73" spans="3:7" x14ac:dyDescent="0.35">
      <c r="C73" s="5"/>
      <c r="D73" s="5"/>
      <c r="E73" s="5"/>
      <c r="F73" s="5"/>
      <c r="G73" s="5"/>
    </row>
    <row r="74" spans="3:7" x14ac:dyDescent="0.35">
      <c r="C74" s="5"/>
      <c r="D74" s="5"/>
      <c r="E74" s="5"/>
      <c r="F74" s="5"/>
      <c r="G74" s="5"/>
    </row>
    <row r="75" spans="3:7" x14ac:dyDescent="0.35">
      <c r="C75" s="5"/>
      <c r="D75" s="5"/>
      <c r="E75" s="5"/>
      <c r="F75" s="5"/>
      <c r="G75" s="5"/>
    </row>
    <row r="76" spans="3:7" x14ac:dyDescent="0.35">
      <c r="C76" s="5"/>
      <c r="D76" s="5"/>
      <c r="E76" s="5"/>
      <c r="F76" s="5"/>
      <c r="G76" s="5"/>
    </row>
    <row r="77" spans="3:7" x14ac:dyDescent="0.35">
      <c r="C77" s="5"/>
      <c r="D77" s="5"/>
      <c r="E77" s="5"/>
      <c r="F77" s="5"/>
      <c r="G77" s="5"/>
    </row>
    <row r="78" spans="3:7" x14ac:dyDescent="0.35">
      <c r="C78" s="5"/>
      <c r="D78" s="5"/>
      <c r="E78" s="5"/>
      <c r="F78" s="5"/>
      <c r="G78" s="5"/>
    </row>
    <row r="79" spans="3:7" x14ac:dyDescent="0.35">
      <c r="C79" s="5"/>
      <c r="D79" s="5"/>
      <c r="E79" s="5"/>
      <c r="F79" s="5"/>
      <c r="G79" s="5"/>
    </row>
    <row r="80" spans="3:7" x14ac:dyDescent="0.35">
      <c r="C80" s="5"/>
      <c r="D80" s="5"/>
      <c r="E80" s="5"/>
      <c r="F80" s="5"/>
      <c r="G80" s="5"/>
    </row>
    <row r="81" spans="3:7" x14ac:dyDescent="0.35">
      <c r="C81" s="5"/>
      <c r="D81" s="5"/>
      <c r="E81" s="5"/>
      <c r="F81" s="5"/>
      <c r="G81" s="5"/>
    </row>
    <row r="82" spans="3:7" x14ac:dyDescent="0.35">
      <c r="C82" s="5"/>
      <c r="D82" s="5"/>
      <c r="E82" s="5"/>
      <c r="F82" s="5"/>
      <c r="G82" s="5"/>
    </row>
    <row r="83" spans="3:7" x14ac:dyDescent="0.35">
      <c r="C83" s="5"/>
      <c r="D83" s="5"/>
      <c r="E83" s="5"/>
      <c r="F83" s="5"/>
      <c r="G83" s="5"/>
    </row>
    <row r="84" spans="3:7" x14ac:dyDescent="0.35">
      <c r="C84" s="5"/>
      <c r="D84" s="5"/>
      <c r="E84" s="5"/>
      <c r="F84" s="5"/>
      <c r="G84" s="5"/>
    </row>
    <row r="85" spans="3:7" x14ac:dyDescent="0.35">
      <c r="C85" s="5"/>
      <c r="D85" s="5"/>
      <c r="E85" s="5"/>
      <c r="F85" s="5"/>
      <c r="G85" s="5"/>
    </row>
    <row r="86" spans="3:7" x14ac:dyDescent="0.35">
      <c r="C86" s="5"/>
      <c r="D86" s="5"/>
      <c r="E86" s="5"/>
      <c r="F86" s="5"/>
      <c r="G86" s="5"/>
    </row>
    <row r="87" spans="3:7" x14ac:dyDescent="0.35">
      <c r="C87" s="5"/>
      <c r="D87" s="5"/>
      <c r="E87" s="5"/>
      <c r="F87" s="5"/>
      <c r="G87" s="5"/>
    </row>
    <row r="88" spans="3:7" x14ac:dyDescent="0.35">
      <c r="C88" s="5"/>
      <c r="D88" s="5"/>
      <c r="E88" s="5"/>
      <c r="F88" s="5"/>
      <c r="G88" s="5"/>
    </row>
    <row r="89" spans="3:7" x14ac:dyDescent="0.35">
      <c r="C89" s="5"/>
      <c r="D89" s="5"/>
      <c r="E89" s="5"/>
      <c r="F89" s="5"/>
      <c r="G89" s="5"/>
    </row>
    <row r="90" spans="3:7" x14ac:dyDescent="0.35">
      <c r="C90" s="5"/>
      <c r="D90" s="5"/>
      <c r="E90" s="5"/>
      <c r="F90" s="5"/>
      <c r="G90" s="5"/>
    </row>
    <row r="91" spans="3:7" x14ac:dyDescent="0.35">
      <c r="C91" s="5"/>
      <c r="D91" s="5"/>
      <c r="E91" s="5"/>
      <c r="F91" s="5"/>
      <c r="G91" s="5"/>
    </row>
    <row r="92" spans="3:7" x14ac:dyDescent="0.35">
      <c r="C92" s="5"/>
      <c r="D92" s="5"/>
      <c r="E92" s="5"/>
      <c r="F92" s="5"/>
      <c r="G92" s="5"/>
    </row>
    <row r="93" spans="3:7" x14ac:dyDescent="0.35">
      <c r="C93" s="5"/>
      <c r="D93" s="5"/>
      <c r="E93" s="5"/>
      <c r="F93" s="5"/>
      <c r="G93" s="5"/>
    </row>
    <row r="94" spans="3:7" x14ac:dyDescent="0.35">
      <c r="C94" s="5"/>
      <c r="D94" s="5"/>
      <c r="E94" s="5"/>
      <c r="F94" s="5"/>
      <c r="G94" s="5"/>
    </row>
    <row r="95" spans="3:7" x14ac:dyDescent="0.35">
      <c r="C95" s="5"/>
      <c r="D95" s="5"/>
      <c r="E95" s="5"/>
      <c r="F95" s="5"/>
      <c r="G95" s="5"/>
    </row>
    <row r="96" spans="3:7" x14ac:dyDescent="0.35">
      <c r="C96" s="5"/>
      <c r="D96" s="5"/>
      <c r="E96" s="5"/>
      <c r="F96" s="5"/>
      <c r="G96" s="5"/>
    </row>
    <row r="97" spans="3:7" x14ac:dyDescent="0.35">
      <c r="C97" s="5"/>
      <c r="D97" s="5"/>
      <c r="E97" s="5"/>
      <c r="F97" s="5"/>
      <c r="G97" s="5"/>
    </row>
    <row r="98" spans="3:7" x14ac:dyDescent="0.35">
      <c r="C98" s="5"/>
      <c r="D98" s="5"/>
      <c r="E98" s="5"/>
      <c r="F98" s="5"/>
      <c r="G98" s="5"/>
    </row>
    <row r="99" spans="3:7" x14ac:dyDescent="0.35">
      <c r="C99" s="5"/>
      <c r="D99" s="5"/>
      <c r="E99" s="5"/>
      <c r="F99" s="5"/>
      <c r="G99" s="5"/>
    </row>
    <row r="100" spans="3:7" x14ac:dyDescent="0.35">
      <c r="C100" s="5"/>
      <c r="D100" s="5"/>
      <c r="E100" s="5"/>
      <c r="F100" s="5"/>
      <c r="G1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Analysis Table</vt:lpstr>
      <vt:lpstr>Analysis Table dup</vt:lpstr>
      <vt:lpstr>Validate</vt:lpstr>
      <vt:lpstr>TTS to Shp</vt:lpstr>
      <vt:lpstr>Shp to TTS</vt:lpstr>
      <vt:lpstr>Shp 500</vt:lpstr>
      <vt:lpstr>Fastmoss 500</vt:lpstr>
      <vt:lpstr>Same Seller Hist</vt:lpstr>
      <vt:lpstr>Same Seller Perf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Braga [SPEBR4026]</dc:creator>
  <cp:lastModifiedBy>Caio Braga [SPEBR4026]</cp:lastModifiedBy>
  <dcterms:created xsi:type="dcterms:W3CDTF">2026-01-13T20:03:47Z</dcterms:created>
  <dcterms:modified xsi:type="dcterms:W3CDTF">2026-01-15T19:43:17Z</dcterms:modified>
</cp:coreProperties>
</file>